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pivotCache/pivotCacheDefinition1.xml" ContentType="application/vnd.openxmlformats-officedocument.spreadsheetml.pivotCacheDefinition+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tables/table1.xml" ContentType="application/vnd.openxmlformats-officedocument.spreadsheetml.table+xml"/>
  <Override PartName="/xl/pivotTables/pivotTable.xml" ContentType="application/vnd.openxmlformats-officedocument.spreadsheetml.pivotTable+xml"/>
  <Override PartName="/xl/worksheets/sheet3.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tables/table2.xml" ContentType="application/vnd.openxmlformats-officedocument.spreadsheetml.table+xml"/>
  <Override PartName="/xl/tables/table3.xml" ContentType="application/vnd.openxmlformats-officedocument.spreadsheetml.table+xml"/>
  <Override PartName="/xl/worksheets/sheet4.xml" ContentType="application/vnd.openxmlformats-officedocument.spreadsheetml.worksheet+xml"/>
  <Override PartName="/xl/drawings/drawing4.xml" ContentType="application/vnd.openxmlformats-officedocument.drawing+xml"/>
  <Override PartName="/xl/drawings/charts/chart4.xml" ContentType="application/vnd.openxmlformats-officedocument.drawingml.chart+xml"/>
  <Override PartName="/xl/tables/table4.xml" ContentType="application/vnd.openxmlformats-officedocument.spreadsheetml.table+xml"/>
  <Override PartName="/xl/worksheets/sheet5.xml" ContentType="application/vnd.openxmlformats-officedocument.spreadsheetml.worksheet+xml"/>
  <Override PartName="/xl/drawings/drawing5.xml" ContentType="application/vnd.openxmlformats-officedocument.drawing+xml"/>
  <Override PartName="/xl/drawings/charts/chart5.xml" ContentType="application/vnd.openxmlformats-officedocument.drawingml.chart+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19ac3d0be0d418d" /></Relationships>
</file>

<file path=xl/workbook.xml><?xml version="1.0" encoding="utf-8"?>
<x:workbook xmlns:x="http://schemas.openxmlformats.org/spreadsheetml/2006/main">
  <x:sheets>
    <x:sheet xmlns:r="http://schemas.openxmlformats.org/officeDocument/2006/relationships" name="Executive Summary" sheetId="1" r:id="R8ef8a204f06e49dc"/>
    <x:sheet xmlns:r="http://schemas.openxmlformats.org/officeDocument/2006/relationships" name="Delay Trends" sheetId="2" r:id="R546813c5a25146b7"/>
    <x:sheet xmlns:r="http://schemas.openxmlformats.org/officeDocument/2006/relationships" name="Delay Drivers" sheetId="3" r:id="Rbcd40b44dc5140a6"/>
    <x:sheet xmlns:r="http://schemas.openxmlformats.org/officeDocument/2006/relationships" name="Airport Analysis" sheetId="4" r:id="R2fd1d8b91d6d4fed"/>
    <x:sheet xmlns:r="http://schemas.openxmlformats.org/officeDocument/2006/relationships" name="Carrier and Route Analysis" sheetId="5" r:id="R0dca3d27d7e14dc0"/>
    <x:sheet xmlns:r="http://schemas.openxmlformats.org/officeDocument/2006/relationships" name="Data Quality" sheetId="6" r:id="R2bbf488e8c9d486d"/>
    <x:sheet xmlns:r="http://schemas.openxmlformats.org/officeDocument/2006/relationships" name="Definitions" sheetId="7" r:id="R7e9ed3debbf54a46"/>
  </x:sheets>
  <x:pivotCaches>
    <x:pivotCache xmlns:r="http://schemas.openxmlformats.org/officeDocument/2006/relationships" cacheId="1" r:id="R05bc46985ec0417c"/>
  </x:pivotCache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0.0%"/>
    <x:numFmt numFmtId="202" formatCode="0.0"/>
  </x:numFmts>
  <x:fonts count="10">
    <x:font>
      <x:sz val="11"/>
      <x:name val="Carlito"/>
    </x:font>
    <x:font>
      <x:b/>
      <x:sz val="18"/>
      <x:color rgb="FFFFFFFF"/>
      <x:name val="Carlito"/>
    </x:font>
    <x:font>
      <x:i/>
      <x:sz val="10"/>
      <x:color rgb="FF203040"/>
      <x:name val="Carlito"/>
    </x:font>
    <x:font>
      <x:b/>
      <x:sz val="11"/>
      <x:color rgb="FFFFFFFF"/>
      <x:name val="Carlito"/>
    </x:font>
    <x:font>
      <x:i/>
      <x:sz val="11"/>
      <x:color rgb="FF203040"/>
      <x:name val="Carlito"/>
    </x:font>
    <x:font>
      <x:b/>
      <x:sz val="10"/>
      <x:color rgb="FF203040"/>
      <x:name val="Carlito"/>
    </x:font>
    <x:font>
      <x:b/>
      <x:sz val="18"/>
      <x:color rgb="FF163A5F"/>
      <x:name val="Carlito"/>
    </x:font>
    <x:font>
      <x:b/>
      <x:sz val="12"/>
      <x:color rgb="FFFFFFFF"/>
      <x:name val="Carlito"/>
    </x:font>
    <x:font>
      <x:b/>
      <x:sz val="11"/>
      <x:color rgb="FF163A5F"/>
      <x:name val="Carlito"/>
    </x:font>
    <x:font>
      <x:sz val="11"/>
      <x:color rgb="FF203040"/>
      <x:name val="Carlito"/>
    </x:font>
  </x:fonts>
  <x:fills count="11">
    <x:fill>
      <x:patternFill patternType="none"/>
    </x:fill>
    <x:fill>
      <x:patternFill patternType="gray125"/>
    </x:fill>
    <x:fill>
      <x:patternFill patternType="solid">
        <x:fgColor rgb="FF163A5F"/>
      </x:patternFill>
    </x:fill>
    <x:fill>
      <x:patternFill patternType="solid">
        <x:fgColor rgb="FFDCE8F2"/>
      </x:patternFill>
    </x:fill>
    <x:fill>
      <x:patternFill patternType="solid">
        <x:fgColor rgb="FF1B998B"/>
      </x:patternFill>
    </x:fill>
    <x:fill>
      <x:patternFill patternType="solid">
        <x:fgColor rgb="FFEAF2F8"/>
      </x:patternFill>
    </x:fill>
    <x:fill>
      <x:patternFill patternType="solid">
        <x:fgColor rgb="FFFFFFFF"/>
      </x:patternFill>
    </x:fill>
    <x:fill>
      <x:patternFill patternType="solid">
        <x:fgColor rgb="FFE7F5F2"/>
      </x:patternFill>
    </x:fill>
    <x:fill>
      <x:patternFill patternType="solid">
        <x:fgColor rgb="FFFFF3E0"/>
      </x:patternFill>
    </x:fill>
    <x:fill>
      <x:patternFill patternType="solid">
        <x:fgColor rgb="FFFCECEC"/>
      </x:patternFill>
    </x:fill>
    <x:fill>
      <x:patternFill patternType="solid">
        <x:fgColor rgb="FFF28E2B"/>
      </x:patternFill>
    </x:fill>
  </x:fills>
  <x:borders count="15">
    <x:border/>
    <x:border>
      <x:left style="thin">
        <x:color rgb="FFD5DEE8"/>
      </x:left>
      <x:top style="thin">
        <x:color rgb="FFD5DEE8"/>
      </x:top>
      <x:bottom style="thin">
        <x:color rgb="FFD5DEE8"/>
      </x:bottom>
    </x:border>
    <x:border>
      <x:top style="thin">
        <x:color rgb="FFD5DEE8"/>
      </x:top>
      <x:bottom style="thin">
        <x:color rgb="FFD5DEE8"/>
      </x:bottom>
    </x:border>
    <x:border>
      <x:right style="thin">
        <x:color rgb="FFD5DEE8"/>
      </x:right>
      <x:top style="thin">
        <x:color rgb="FFD5DEE8"/>
      </x:top>
      <x:bottom style="thin">
        <x:color rgb="FFD5DEE8"/>
      </x:bottom>
    </x:border>
    <x:border>
      <x:left style="thin">
        <x:color rgb="FFD5DEE8"/>
      </x:left>
    </x:border>
    <x:border>
      <x:right style="thin">
        <x:color rgb="FFD5DEE8"/>
      </x:right>
    </x:border>
    <x:border>
      <x:left style="thin">
        <x:color rgb="FFD5DEE8"/>
      </x:left>
      <x:bottom style="thin">
        <x:color rgb="FFD5DEE8"/>
      </x:bottom>
    </x:border>
    <x:border>
      <x:bottom style="thin">
        <x:color rgb="FFD5DEE8"/>
      </x:bottom>
    </x:border>
    <x:border>
      <x:right style="thin">
        <x:color rgb="FFD5DEE8"/>
      </x:right>
      <x:bottom style="thin">
        <x:color rgb="FFD5DEE8"/>
      </x:bottom>
    </x:border>
    <x:border>
      <x:left style="thin">
        <x:color rgb="FFD5DEE8"/>
      </x:left>
      <x:top style="thin">
        <x:color rgb="FFD5DEE8"/>
      </x:top>
    </x:border>
    <x:border>
      <x:top style="thin">
        <x:color rgb="FFD5DEE8"/>
      </x:top>
    </x:border>
    <x:border>
      <x:right style="thin">
        <x:color rgb="FFD5DEE8"/>
      </x:right>
      <x:top style="thin">
        <x:color rgb="FFD5DEE8"/>
      </x:top>
    </x:border>
    <x:border>
      <x:left style="thin">
        <x:color rgb="FFD5DEE8"/>
      </x:left>
      <x:right style="thin">
        <x:color rgb="FFD5DEE8"/>
      </x:right>
      <x:top style="thin">
        <x:color rgb="FFD5DEE8"/>
      </x:top>
    </x:border>
    <x:border>
      <x:left style="thin">
        <x:color rgb="FFD5DEE8"/>
      </x:left>
      <x:right style="thin">
        <x:color rgb="FFD5DEE8"/>
      </x:right>
    </x:border>
    <x:border>
      <x:left style="thin">
        <x:color rgb="FFD5DEE8"/>
      </x:left>
      <x:right style="thin">
        <x:color rgb="FFD5DEE8"/>
      </x:right>
      <x:bottom style="thin">
        <x:color rgb="FFD5DEE8"/>
      </x:bottom>
    </x:border>
  </x:borders>
  <x:cellStyleXfs count="1">
    <x:xf numFmtId="0" fontId="0" fillId="0" borderId="0"/>
  </x:cellStyleXfs>
  <x:cellXfs count="3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3" fillId="2" borderId="0" xfId="0" applyNumberFormat="1" applyFont="1" applyFill="1" applyBorder="1"/>
    <x:xf numFmtId="0" fontId="3" fillId="2" borderId="1" xfId="0" applyNumberFormat="1" applyFont="1" applyFill="1" applyBorder="1"/>
    <x:xf numFmtId="0" fontId="3" fillId="2" borderId="2" xfId="0" applyNumberFormat="1" applyFont="1" applyFill="1" applyBorder="1"/>
    <x:xf numFmtId="0" fontId="3" fillId="2" borderId="3" xfId="0" applyNumberFormat="1" applyFont="1" applyFill="1" applyBorder="1"/>
    <x:xf numFmtId="0" fontId="3" fillId="2" borderId="1" xfId="0" applyNumberFormat="1" applyFont="1" applyFill="1" applyBorder="1" applyAlignment="1">
      <x:alignment wrapText="1"/>
    </x:xf>
    <x:xf numFmtId="0" fontId="3" fillId="2" borderId="2" xfId="0" applyNumberFormat="1" applyFont="1" applyFill="1" applyBorder="1" applyAlignment="1">
      <x:alignment wrapText="1"/>
    </x:xf>
    <x:xf numFmtId="0" fontId="3" fillId="2" borderId="3" xfId="0" applyNumberFormat="1" applyFont="1" applyFill="1" applyBorder="1" applyAlignment="1">
      <x:alignment wrapText="1"/>
    </x:xf>
    <x:xf numFmtId="0" fontId="3" fillId="2" borderId="1" xfId="0" applyNumberFormat="1" applyFont="1" applyFill="1" applyBorder="1" applyAlignment="1">
      <x:alignment horizontal="center" wrapText="1"/>
    </x:xf>
    <x:xf numFmtId="0" fontId="3" fillId="2" borderId="2" xfId="0" applyNumberFormat="1" applyFont="1" applyFill="1" applyBorder="1" applyAlignment="1">
      <x:alignment horizontal="center" wrapText="1"/>
    </x:xf>
    <x:xf numFmtId="0" fontId="3" fillId="2" borderId="3" xfId="0" applyNumberFormat="1" applyFont="1" applyFill="1" applyBorder="1" applyAlignment="1">
      <x:alignment horizontal="center" wrapText="1"/>
    </x:xf>
    <x:xf numFmtId="0" fontId="3" fillId="2" borderId="1"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0" fillId="0" borderId="0" xfId="0" applyNumberFormat="1" applyFont="1" applyFill="1" applyBorder="1"/>
    <x:xf numFmtId="201" fontId="0" fillId="0" borderId="0" xfId="0" applyNumberFormat="1" applyFont="1" applyFill="1" applyBorder="1"/>
    <x:xf numFmtId="202" fontId="0" fillId="0" borderId="0" xfId="0" applyNumberFormat="1" applyFont="1" applyFill="1" applyBorder="1"/>
    <x:xf numFmtId="0" fontId="0" fillId="0" borderId="4" xfId="0" applyNumberFormat="1" applyFont="1" applyFill="1" applyBorder="1"/>
    <x:xf numFmtId="0" fontId="0" fillId="0" borderId="0" xfId="0" applyNumberFormat="1" applyFont="1" applyFill="1" applyBorder="1"/>
    <x:xf numFmtId="20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200" fontId="0" fillId="0" borderId="7" xfId="0" applyNumberFormat="1" applyFont="1" applyFill="1" applyBorder="1"/>
    <x:xf numFmtId="201" fontId="0" fillId="0" borderId="7" xfId="0" applyNumberFormat="1" applyFont="1" applyFill="1" applyBorder="1"/>
    <x:xf numFmtId="202" fontId="0" fillId="0" borderId="7" xfId="0" applyNumberFormat="1" applyFont="1" applyFill="1" applyBorder="1"/>
    <x:xf numFmtId="200" fontId="0" fillId="0" borderId="8" xfId="0" applyNumberFormat="1" applyFont="1" applyFill="1" applyBorder="1"/>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3" fillId="4" borderId="3" xfId="0" applyNumberFormat="1" applyFont="1" applyFill="1" applyBorder="1"/>
    <x:xf numFmtId="0" fontId="3" fillId="4" borderId="1" xfId="0" applyNumberFormat="1" applyFont="1" applyFill="1" applyBorder="1" applyAlignment="1">
      <x:alignment wrapText="1"/>
    </x:xf>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2" xfId="0" applyNumberFormat="1" applyFont="1" applyFill="1" applyBorder="1" applyAlignment="1">
      <x:alignment horizontal="center" wrapText="1"/>
    </x:xf>
    <x:xf numFmtId="0" fontId="3" fillId="4" borderId="3"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3" fillId="4" borderId="2"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201" fontId="0" fillId="0" borderId="5" xfId="0" applyNumberFormat="1" applyFont="1" applyFill="1" applyBorder="1"/>
    <x:xf numFmtId="201" fontId="0" fillId="0" borderId="8" xfId="0" applyNumberFormat="1" applyFont="1" applyFill="1" applyBorder="1"/>
    <x:xf numFmtId="0" fontId="0" fillId="5" borderId="0" xfId="0" applyNumberFormat="1" applyFont="1" applyFill="1" applyBorder="1"/>
    <x:xf numFmtId="0" fontId="4" fillId="5" borderId="0" xfId="0" applyNumberFormat="1" applyFont="1" applyFill="1" applyBorder="1"/>
    <x:xf numFmtId="0" fontId="4" fillId="5" borderId="9" xfId="0" applyNumberFormat="1" applyFont="1" applyFill="1" applyBorder="1"/>
    <x:xf numFmtId="0" fontId="4" fillId="5" borderId="10" xfId="0" applyNumberFormat="1" applyFont="1" applyFill="1" applyBorder="1"/>
    <x:xf numFmtId="0" fontId="4" fillId="5" borderId="11" xfId="0" applyNumberFormat="1" applyFont="1" applyFill="1" applyBorder="1"/>
    <x:xf numFmtId="0" fontId="4" fillId="5" borderId="6" xfId="0" applyNumberFormat="1" applyFont="1" applyFill="1" applyBorder="1"/>
    <x:xf numFmtId="0" fontId="4" fillId="5" borderId="7" xfId="0" applyNumberFormat="1" applyFont="1" applyFill="1" applyBorder="1"/>
    <x:xf numFmtId="0" fontId="4" fillId="5" borderId="8" xfId="0" applyNumberFormat="1" applyFont="1" applyFill="1" applyBorder="1"/>
    <x:xf numFmtId="0" fontId="4" fillId="5" borderId="9" xfId="0" applyNumberFormat="1" applyFont="1" applyFill="1" applyBorder="1" applyAlignment="1">
      <x:alignment wrapText="1"/>
    </x:xf>
    <x:xf numFmtId="0" fontId="4" fillId="5" borderId="10" xfId="0" applyNumberFormat="1" applyFont="1" applyFill="1" applyBorder="1" applyAlignment="1">
      <x:alignment wrapText="1"/>
    </x:xf>
    <x:xf numFmtId="0" fontId="4" fillId="5" borderId="11" xfId="0" applyNumberFormat="1" applyFont="1" applyFill="1" applyBorder="1" applyAlignment="1">
      <x:alignment wrapText="1"/>
    </x:xf>
    <x:xf numFmtId="0" fontId="4" fillId="5" borderId="6" xfId="0" applyNumberFormat="1" applyFont="1" applyFill="1" applyBorder="1" applyAlignment="1">
      <x:alignment wrapText="1"/>
    </x:xf>
    <x:xf numFmtId="0" fontId="4" fillId="5" borderId="7" xfId="0" applyNumberFormat="1" applyFont="1" applyFill="1" applyBorder="1" applyAlignment="1">
      <x:alignment wrapText="1"/>
    </x:xf>
    <x:xf numFmtId="0" fontId="4" fillId="5" borderId="8" xfId="0" applyNumberFormat="1" applyFont="1" applyFill="1" applyBorder="1" applyAlignment="1">
      <x:alignment wrapText="1"/>
    </x:xf>
    <x:xf numFmtId="0" fontId="4" fillId="5" borderId="9" xfId="0" applyNumberFormat="1" applyFont="1" applyFill="1" applyBorder="1" applyAlignment="1">
      <x:alignment vertical="center" wrapText="1"/>
    </x:xf>
    <x:xf numFmtId="0" fontId="4" fillId="5" borderId="10" xfId="0" applyNumberFormat="1" applyFont="1" applyFill="1" applyBorder="1" applyAlignment="1">
      <x:alignment vertical="center" wrapText="1"/>
    </x:xf>
    <x:xf numFmtId="0" fontId="4" fillId="5" borderId="11" xfId="0" applyNumberFormat="1" applyFont="1" applyFill="1" applyBorder="1" applyAlignment="1">
      <x:alignment vertical="center" wrapText="1"/>
    </x:xf>
    <x:xf numFmtId="0" fontId="4" fillId="5" borderId="6" xfId="0" applyNumberFormat="1" applyFont="1" applyFill="1" applyBorder="1" applyAlignment="1">
      <x:alignment vertical="center" wrapText="1"/>
    </x:xf>
    <x:xf numFmtId="0" fontId="4" fillId="5" borderId="7" xfId="0" applyNumberFormat="1" applyFont="1" applyFill="1" applyBorder="1" applyAlignment="1">
      <x:alignment vertical="center" wrapText="1"/>
    </x:xf>
    <x:xf numFmtId="0" fontId="4" fillId="5" borderId="8" xfId="0" applyNumberFormat="1" applyFont="1" applyFill="1" applyBorder="1" applyAlignment="1">
      <x:alignment vertical="center" wrapText="1"/>
    </x:xf>
    <x:xf numFmtId="0" fontId="5" fillId="5" borderId="0" xfId="0" applyNumberFormat="1" applyFont="1" applyFill="1" applyBorder="1"/>
    <x:xf numFmtId="0" fontId="5" fillId="5" borderId="1" xfId="0" applyNumberFormat="1" applyFont="1" applyFill="1" applyBorder="1"/>
    <x:xf numFmtId="0" fontId="5" fillId="5" borderId="2" xfId="0" applyNumberFormat="1" applyFont="1" applyFill="1" applyBorder="1"/>
    <x:xf numFmtId="0" fontId="5" fillId="5" borderId="3" xfId="0" applyNumberFormat="1" applyFont="1" applyFill="1" applyBorder="1"/>
    <x:xf numFmtId="0" fontId="5" fillId="5" borderId="1" xfId="0" applyNumberFormat="1" applyFont="1" applyFill="1" applyBorder="1" applyAlignment="1">
      <x:alignment wrapText="1"/>
    </x:xf>
    <x:xf numFmtId="0" fontId="5" fillId="5" borderId="2" xfId="0" applyNumberFormat="1" applyFont="1" applyFill="1" applyBorder="1" applyAlignment="1">
      <x:alignment wrapText="1"/>
    </x:xf>
    <x:xf numFmtId="0" fontId="5" fillId="5" borderId="3" xfId="0" applyNumberFormat="1" applyFont="1" applyFill="1" applyBorder="1" applyAlignment="1">
      <x:alignment wrapText="1"/>
    </x:xf>
    <x:xf numFmtId="0" fontId="5" fillId="5" borderId="1" xfId="0" applyNumberFormat="1" applyFont="1" applyFill="1" applyBorder="1" applyAlignment="1">
      <x:alignment horizontal="center" wrapText="1"/>
    </x:xf>
    <x:xf numFmtId="0" fontId="5" fillId="5" borderId="2" xfId="0" applyNumberFormat="1" applyFont="1" applyFill="1" applyBorder="1" applyAlignment="1">
      <x:alignment horizontal="center" wrapText="1"/>
    </x:xf>
    <x:xf numFmtId="0" fontId="5" fillId="5" borderId="3" xfId="0" applyNumberFormat="1" applyFont="1" applyFill="1" applyBorder="1" applyAlignment="1">
      <x:alignment horizontal="center" wrapText="1"/>
    </x:xf>
    <x:xf numFmtId="0" fontId="5" fillId="5" borderId="1" xfId="0" applyNumberFormat="1" applyFont="1" applyFill="1" applyBorder="1" applyAlignment="1">
      <x:alignment horizontal="center" vertical="center" wrapText="1"/>
    </x:xf>
    <x:xf numFmtId="0" fontId="5" fillId="5" borderId="2" xfId="0" applyNumberFormat="1" applyFont="1" applyFill="1" applyBorder="1" applyAlignment="1">
      <x:alignment horizontal="center" vertical="center" wrapText="1"/>
    </x:xf>
    <x:xf numFmtId="0" fontId="5" fillId="5" borderId="3" xfId="0" applyNumberFormat="1" applyFont="1" applyFill="1" applyBorder="1" applyAlignment="1">
      <x:alignment horizontal="center" vertical="center" wrapText="1"/>
    </x:xf>
    <x:xf numFmtId="0" fontId="0" fillId="6" borderId="0" xfId="0" applyNumberFormat="1" applyFont="1" applyFill="1" applyBorder="1"/>
    <x:xf numFmtId="0" fontId="6" fillId="6" borderId="0" xfId="0" applyNumberFormat="1" applyFont="1" applyFill="1" applyBorder="1"/>
    <x:xf numFmtId="0" fontId="6" fillId="6" borderId="9" xfId="0" applyNumberFormat="1" applyFont="1" applyFill="1" applyBorder="1"/>
    <x:xf numFmtId="0" fontId="6" fillId="6" borderId="10" xfId="0" applyNumberFormat="1" applyFont="1" applyFill="1" applyBorder="1"/>
    <x:xf numFmtId="0" fontId="6" fillId="6" borderId="11" xfId="0" applyNumberFormat="1" applyFont="1" applyFill="1" applyBorder="1"/>
    <x:xf numFmtId="0" fontId="6" fillId="6" borderId="4" xfId="0" applyNumberFormat="1" applyFont="1" applyFill="1" applyBorder="1"/>
    <x:xf numFmtId="0" fontId="6" fillId="6" borderId="5" xfId="0" applyNumberFormat="1" applyFont="1" applyFill="1" applyBorder="1"/>
    <x:xf numFmtId="0" fontId="6" fillId="6" borderId="6" xfId="0" applyNumberFormat="1" applyFont="1" applyFill="1" applyBorder="1"/>
    <x:xf numFmtId="0" fontId="6" fillId="6" borderId="7" xfId="0" applyNumberFormat="1" applyFont="1" applyFill="1" applyBorder="1"/>
    <x:xf numFmtId="0" fontId="6" fillId="6" borderId="8" xfId="0" applyNumberFormat="1" applyFont="1" applyFill="1" applyBorder="1"/>
    <x:xf numFmtId="200" fontId="6" fillId="6" borderId="9" xfId="0" applyNumberFormat="1" applyFont="1" applyFill="1" applyBorder="1"/>
    <x:xf numFmtId="200" fontId="6" fillId="6" borderId="10" xfId="0" applyNumberFormat="1" applyFont="1" applyFill="1" applyBorder="1"/>
    <x:xf numFmtId="200" fontId="6" fillId="6" borderId="11" xfId="0" applyNumberFormat="1" applyFont="1" applyFill="1" applyBorder="1"/>
    <x:xf numFmtId="200" fontId="6" fillId="6" borderId="4" xfId="0" applyNumberFormat="1" applyFont="1" applyFill="1" applyBorder="1"/>
    <x:xf numFmtId="200" fontId="6" fillId="6" borderId="0" xfId="0" applyNumberFormat="1" applyFont="1" applyFill="1" applyBorder="1"/>
    <x:xf numFmtId="200" fontId="6" fillId="6" borderId="5" xfId="0" applyNumberFormat="1" applyFont="1" applyFill="1" applyBorder="1"/>
    <x:xf numFmtId="200" fontId="6" fillId="6" borderId="6" xfId="0" applyNumberFormat="1" applyFont="1" applyFill="1" applyBorder="1"/>
    <x:xf numFmtId="200" fontId="6" fillId="6" borderId="7" xfId="0" applyNumberFormat="1" applyFont="1" applyFill="1" applyBorder="1"/>
    <x:xf numFmtId="200" fontId="6" fillId="6" borderId="8" xfId="0" applyNumberFormat="1" applyFont="1" applyFill="1" applyBorder="1"/>
    <x:xf numFmtId="200" fontId="6" fillId="6" borderId="9" xfId="0" applyNumberFormat="1" applyFont="1" applyFill="1" applyBorder="1" applyAlignment="1">
      <x:alignment horizontal="center"/>
    </x:xf>
    <x:xf numFmtId="200" fontId="6" fillId="6" borderId="10" xfId="0" applyNumberFormat="1" applyFont="1" applyFill="1" applyBorder="1" applyAlignment="1">
      <x:alignment horizontal="center"/>
    </x:xf>
    <x:xf numFmtId="200" fontId="6" fillId="6" borderId="11" xfId="0" applyNumberFormat="1" applyFont="1" applyFill="1" applyBorder="1" applyAlignment="1">
      <x:alignment horizontal="center"/>
    </x:xf>
    <x:xf numFmtId="200" fontId="6" fillId="6" borderId="4" xfId="0" applyNumberFormat="1" applyFont="1" applyFill="1" applyBorder="1" applyAlignment="1">
      <x:alignment horizontal="center"/>
    </x:xf>
    <x:xf numFmtId="200" fontId="6" fillId="6" borderId="0" xfId="0" applyNumberFormat="1" applyFont="1" applyFill="1" applyBorder="1" applyAlignment="1">
      <x:alignment horizontal="center"/>
    </x:xf>
    <x:xf numFmtId="200" fontId="6" fillId="6" borderId="5" xfId="0" applyNumberFormat="1" applyFont="1" applyFill="1" applyBorder="1" applyAlignment="1">
      <x:alignment horizontal="center"/>
    </x:xf>
    <x:xf numFmtId="200" fontId="6" fillId="6" borderId="6" xfId="0" applyNumberFormat="1" applyFont="1" applyFill="1" applyBorder="1" applyAlignment="1">
      <x:alignment horizontal="center"/>
    </x:xf>
    <x:xf numFmtId="200" fontId="6" fillId="6" borderId="7" xfId="0" applyNumberFormat="1" applyFont="1" applyFill="1" applyBorder="1" applyAlignment="1">
      <x:alignment horizontal="center"/>
    </x:xf>
    <x:xf numFmtId="200" fontId="6" fillId="6" borderId="8" xfId="0" applyNumberFormat="1" applyFont="1" applyFill="1" applyBorder="1" applyAlignment="1">
      <x:alignment horizontal="center"/>
    </x:xf>
    <x:xf numFmtId="200" fontId="6" fillId="6" borderId="9" xfId="0" applyNumberFormat="1" applyFont="1" applyFill="1" applyBorder="1" applyAlignment="1">
      <x:alignment horizontal="center" vertical="center"/>
    </x:xf>
    <x:xf numFmtId="200" fontId="6" fillId="6" borderId="10" xfId="0" applyNumberFormat="1" applyFont="1" applyFill="1" applyBorder="1" applyAlignment="1">
      <x:alignment horizontal="center" vertical="center"/>
    </x:xf>
    <x:xf numFmtId="200" fontId="6" fillId="6" borderId="11" xfId="0" applyNumberFormat="1" applyFont="1" applyFill="1" applyBorder="1" applyAlignment="1">
      <x:alignment horizontal="center" vertical="center"/>
    </x:xf>
    <x:xf numFmtId="200" fontId="6" fillId="6" borderId="4" xfId="0" applyNumberFormat="1" applyFont="1" applyFill="1" applyBorder="1" applyAlignment="1">
      <x:alignment horizontal="center" vertical="center"/>
    </x:xf>
    <x:xf numFmtId="200" fontId="6" fillId="6" borderId="0" xfId="0" applyNumberFormat="1" applyFont="1" applyFill="1" applyBorder="1" applyAlignment="1">
      <x:alignment horizontal="center" vertical="center"/>
    </x:xf>
    <x:xf numFmtId="200" fontId="6" fillId="6" borderId="5" xfId="0" applyNumberFormat="1" applyFont="1" applyFill="1" applyBorder="1" applyAlignment="1">
      <x:alignment horizontal="center" vertical="center"/>
    </x:xf>
    <x:xf numFmtId="200" fontId="6" fillId="6" borderId="6" xfId="0" applyNumberFormat="1" applyFont="1" applyFill="1" applyBorder="1" applyAlignment="1">
      <x:alignment horizontal="center" vertical="center"/>
    </x:xf>
    <x:xf numFmtId="200" fontId="6" fillId="6" borderId="7" xfId="0" applyNumberFormat="1" applyFont="1" applyFill="1" applyBorder="1" applyAlignment="1">
      <x:alignment horizontal="center" vertical="center"/>
    </x:xf>
    <x:xf numFmtId="200" fontId="6" fillId="6" borderId="8"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1" xfId="0" applyNumberFormat="1" applyFont="1" applyFill="1" applyBorder="1"/>
    <x:xf numFmtId="0" fontId="5" fillId="7" borderId="2" xfId="0" applyNumberFormat="1" applyFont="1" applyFill="1" applyBorder="1"/>
    <x:xf numFmtId="0" fontId="5" fillId="7" borderId="3" xfId="0" applyNumberFormat="1" applyFont="1" applyFill="1" applyBorder="1"/>
    <x:xf numFmtId="0" fontId="5" fillId="7" borderId="1" xfId="0" applyNumberFormat="1" applyFont="1" applyFill="1" applyBorder="1" applyAlignment="1">
      <x:alignment wrapText="1"/>
    </x:xf>
    <x:xf numFmtId="0" fontId="5" fillId="7" borderId="2" xfId="0" applyNumberFormat="1" applyFont="1" applyFill="1" applyBorder="1" applyAlignment="1">
      <x:alignment wrapText="1"/>
    </x:xf>
    <x:xf numFmtId="0" fontId="5" fillId="7" borderId="3" xfId="0" applyNumberFormat="1" applyFont="1" applyFill="1" applyBorder="1" applyAlignment="1">
      <x:alignment wrapText="1"/>
    </x:xf>
    <x:xf numFmtId="0" fontId="5" fillId="7" borderId="1" xfId="0" applyNumberFormat="1" applyFont="1" applyFill="1" applyBorder="1" applyAlignment="1">
      <x:alignment horizontal="center" wrapText="1"/>
    </x:xf>
    <x:xf numFmtId="0" fontId="5" fillId="7" borderId="2" xfId="0" applyNumberFormat="1" applyFont="1" applyFill="1" applyBorder="1" applyAlignment="1">
      <x:alignment horizontal="center" wrapText="1"/>
    </x:xf>
    <x:xf numFmtId="0" fontId="5" fillId="7" borderId="3" xfId="0" applyNumberFormat="1" applyFont="1" applyFill="1" applyBorder="1" applyAlignment="1">
      <x:alignment horizontal="center" wrapText="1"/>
    </x:xf>
    <x:xf numFmtId="0" fontId="5" fillId="7" borderId="1" xfId="0" applyNumberFormat="1" applyFont="1" applyFill="1" applyBorder="1" applyAlignment="1">
      <x:alignment horizontal="center" vertical="center" wrapText="1"/>
    </x:xf>
    <x:xf numFmtId="0" fontId="5" fillId="7" borderId="2" xfId="0" applyNumberFormat="1" applyFont="1" applyFill="1" applyBorder="1" applyAlignment="1">
      <x:alignment horizontal="center" vertical="center" wrapText="1"/>
    </x:xf>
    <x:xf numFmtId="0" fontId="5" fillId="7" borderId="3" xfId="0" applyNumberFormat="1" applyFont="1" applyFill="1" applyBorder="1" applyAlignment="1">
      <x:alignment horizontal="center" vertical="center" wrapText="1"/>
    </x:xf>
    <x:xf numFmtId="201" fontId="6" fillId="6" borderId="9" xfId="0" applyNumberFormat="1" applyFont="1" applyFill="1" applyBorder="1"/>
    <x:xf numFmtId="201" fontId="6" fillId="6" borderId="10" xfId="0" applyNumberFormat="1" applyFont="1" applyFill="1" applyBorder="1"/>
    <x:xf numFmtId="201" fontId="6" fillId="6" borderId="11" xfId="0" applyNumberFormat="1" applyFont="1" applyFill="1" applyBorder="1"/>
    <x:xf numFmtId="201" fontId="6" fillId="6" borderId="4" xfId="0" applyNumberFormat="1" applyFont="1" applyFill="1" applyBorder="1"/>
    <x:xf numFmtId="201" fontId="6" fillId="6" borderId="0" xfId="0" applyNumberFormat="1" applyFont="1" applyFill="1" applyBorder="1"/>
    <x:xf numFmtId="201" fontId="6" fillId="6" borderId="5" xfId="0" applyNumberFormat="1" applyFont="1" applyFill="1" applyBorder="1"/>
    <x:xf numFmtId="201" fontId="6" fillId="6" borderId="6" xfId="0" applyNumberFormat="1" applyFont="1" applyFill="1" applyBorder="1"/>
    <x:xf numFmtId="201" fontId="6" fillId="6" borderId="7" xfId="0" applyNumberFormat="1" applyFont="1" applyFill="1" applyBorder="1"/>
    <x:xf numFmtId="201" fontId="6" fillId="6" borderId="8" xfId="0" applyNumberFormat="1" applyFont="1" applyFill="1" applyBorder="1"/>
    <x:xf numFmtId="201" fontId="6" fillId="6" borderId="9" xfId="0" applyNumberFormat="1" applyFont="1" applyFill="1" applyBorder="1" applyAlignment="1">
      <x:alignment horizontal="center"/>
    </x:xf>
    <x:xf numFmtId="201" fontId="6" fillId="6" borderId="10" xfId="0" applyNumberFormat="1" applyFont="1" applyFill="1" applyBorder="1" applyAlignment="1">
      <x:alignment horizontal="center"/>
    </x:xf>
    <x:xf numFmtId="201" fontId="6" fillId="6" borderId="11" xfId="0" applyNumberFormat="1" applyFont="1" applyFill="1" applyBorder="1" applyAlignment="1">
      <x:alignment horizontal="center"/>
    </x:xf>
    <x:xf numFmtId="201" fontId="6" fillId="6" borderId="4" xfId="0" applyNumberFormat="1" applyFont="1" applyFill="1" applyBorder="1" applyAlignment="1">
      <x:alignment horizontal="center"/>
    </x:xf>
    <x:xf numFmtId="201" fontId="6" fillId="6" borderId="0" xfId="0" applyNumberFormat="1" applyFont="1" applyFill="1" applyBorder="1" applyAlignment="1">
      <x:alignment horizontal="center"/>
    </x:xf>
    <x:xf numFmtId="201" fontId="6" fillId="6" borderId="5" xfId="0" applyNumberFormat="1" applyFont="1" applyFill="1" applyBorder="1" applyAlignment="1">
      <x:alignment horizontal="center"/>
    </x:xf>
    <x:xf numFmtId="201" fontId="6" fillId="6" borderId="6" xfId="0" applyNumberFormat="1" applyFont="1" applyFill="1" applyBorder="1" applyAlignment="1">
      <x:alignment horizontal="center"/>
    </x:xf>
    <x:xf numFmtId="201" fontId="6" fillId="6" borderId="7" xfId="0" applyNumberFormat="1" applyFont="1" applyFill="1" applyBorder="1" applyAlignment="1">
      <x:alignment horizontal="center"/>
    </x:xf>
    <x:xf numFmtId="201" fontId="6" fillId="6" borderId="8" xfId="0" applyNumberFormat="1" applyFont="1" applyFill="1" applyBorder="1" applyAlignment="1">
      <x:alignment horizontal="center"/>
    </x:xf>
    <x:xf numFmtId="201" fontId="6" fillId="6" borderId="9" xfId="0" applyNumberFormat="1" applyFont="1" applyFill="1" applyBorder="1" applyAlignment="1">
      <x:alignment horizontal="center" vertical="center"/>
    </x:xf>
    <x:xf numFmtId="201" fontId="6" fillId="6" borderId="10" xfId="0" applyNumberFormat="1" applyFont="1" applyFill="1" applyBorder="1" applyAlignment="1">
      <x:alignment horizontal="center" vertical="center"/>
    </x:xf>
    <x:xf numFmtId="201" fontId="6" fillId="6" borderId="11" xfId="0" applyNumberFormat="1" applyFont="1" applyFill="1" applyBorder="1" applyAlignment="1">
      <x:alignment horizontal="center" vertical="center"/>
    </x:xf>
    <x:xf numFmtId="201" fontId="6" fillId="6" borderId="4" xfId="0" applyNumberFormat="1" applyFont="1" applyFill="1" applyBorder="1" applyAlignment="1">
      <x:alignment horizontal="center" vertical="center"/>
    </x:xf>
    <x:xf numFmtId="201" fontId="6" fillId="6" borderId="0" xfId="0" applyNumberFormat="1" applyFont="1" applyFill="1" applyBorder="1" applyAlignment="1">
      <x:alignment horizontal="center" vertical="center"/>
    </x:xf>
    <x:xf numFmtId="201" fontId="6" fillId="6" borderId="5" xfId="0" applyNumberFormat="1" applyFont="1" applyFill="1" applyBorder="1" applyAlignment="1">
      <x:alignment horizontal="center" vertical="center"/>
    </x:xf>
    <x:xf numFmtId="201" fontId="6" fillId="6" borderId="6" xfId="0" applyNumberFormat="1" applyFont="1" applyFill="1" applyBorder="1" applyAlignment="1">
      <x:alignment horizontal="center" vertical="center"/>
    </x:xf>
    <x:xf numFmtId="201" fontId="6" fillId="6" borderId="7" xfId="0" applyNumberFormat="1" applyFont="1" applyFill="1" applyBorder="1" applyAlignment="1">
      <x:alignment horizontal="center" vertical="center"/>
    </x:xf>
    <x:xf numFmtId="201" fontId="6" fillId="6" borderId="8" xfId="0" applyNumberFormat="1" applyFont="1" applyFill="1" applyBorder="1" applyAlignment="1">
      <x:alignment horizontal="center" vertical="center"/>
    </x:xf>
    <x:xf numFmtId="0" fontId="0" fillId="8" borderId="0" xfId="0" applyNumberFormat="1" applyFont="1" applyFill="1" applyBorder="1"/>
    <x:xf numFmtId="0" fontId="5" fillId="8" borderId="0" xfId="0" applyNumberFormat="1" applyFont="1" applyFill="1" applyBorder="1"/>
    <x:xf numFmtId="0" fontId="5" fillId="8" borderId="1" xfId="0" applyNumberFormat="1" applyFont="1" applyFill="1" applyBorder="1"/>
    <x:xf numFmtId="0" fontId="5" fillId="8" borderId="2" xfId="0" applyNumberFormat="1" applyFont="1" applyFill="1" applyBorder="1"/>
    <x:xf numFmtId="0" fontId="5" fillId="8" borderId="3" xfId="0" applyNumberFormat="1" applyFont="1" applyFill="1" applyBorder="1"/>
    <x:xf numFmtId="0" fontId="5" fillId="8" borderId="1" xfId="0" applyNumberFormat="1" applyFont="1" applyFill="1" applyBorder="1" applyAlignment="1">
      <x:alignment wrapText="1"/>
    </x:xf>
    <x:xf numFmtId="0" fontId="5" fillId="8" borderId="2" xfId="0" applyNumberFormat="1" applyFont="1" applyFill="1" applyBorder="1" applyAlignment="1">
      <x:alignment wrapText="1"/>
    </x:xf>
    <x:xf numFmtId="0" fontId="5" fillId="8" borderId="3" xfId="0" applyNumberFormat="1" applyFont="1" applyFill="1" applyBorder="1" applyAlignment="1">
      <x:alignment wrapText="1"/>
    </x:xf>
    <x:xf numFmtId="0" fontId="5" fillId="8" borderId="1" xfId="0" applyNumberFormat="1" applyFont="1" applyFill="1" applyBorder="1" applyAlignment="1">
      <x:alignment horizontal="center" wrapText="1"/>
    </x:xf>
    <x:xf numFmtId="0" fontId="5" fillId="8" borderId="2" xfId="0" applyNumberFormat="1" applyFont="1" applyFill="1" applyBorder="1" applyAlignment="1">
      <x:alignment horizontal="center" wrapText="1"/>
    </x:xf>
    <x:xf numFmtId="0" fontId="5" fillId="8" borderId="3" xfId="0" applyNumberFormat="1" applyFont="1" applyFill="1" applyBorder="1" applyAlignment="1">
      <x:alignment horizontal="center" wrapText="1"/>
    </x:xf>
    <x:xf numFmtId="0" fontId="5" fillId="8" borderId="1" xfId="0" applyNumberFormat="1" applyFont="1" applyFill="1" applyBorder="1" applyAlignment="1">
      <x:alignment horizontal="center" vertical="center" wrapText="1"/>
    </x:xf>
    <x:xf numFmtId="0" fontId="5" fillId="8" borderId="2" xfId="0" applyNumberFormat="1" applyFont="1" applyFill="1" applyBorder="1" applyAlignment="1">
      <x:alignment horizontal="center" vertical="center" wrapText="1"/>
    </x:xf>
    <x:xf numFmtId="0" fontId="5" fillId="8" borderId="3" xfId="0" applyNumberFormat="1" applyFont="1" applyFill="1" applyBorder="1" applyAlignment="1">
      <x:alignment horizontal="center" vertical="center" wrapText="1"/>
    </x:xf>
    <x:xf numFmtId="0" fontId="0" fillId="9" borderId="0" xfId="0" applyNumberFormat="1" applyFont="1" applyFill="1" applyBorder="1"/>
    <x:xf numFmtId="0" fontId="5" fillId="9" borderId="0" xfId="0" applyNumberFormat="1" applyFont="1" applyFill="1" applyBorder="1"/>
    <x:xf numFmtId="0" fontId="5" fillId="9" borderId="1" xfId="0" applyNumberFormat="1" applyFont="1" applyFill="1" applyBorder="1"/>
    <x:xf numFmtId="0" fontId="5" fillId="9" borderId="2" xfId="0" applyNumberFormat="1" applyFont="1" applyFill="1" applyBorder="1"/>
    <x:xf numFmtId="0" fontId="5" fillId="9" borderId="3" xfId="0" applyNumberFormat="1" applyFont="1" applyFill="1" applyBorder="1"/>
    <x:xf numFmtId="0" fontId="5" fillId="9" borderId="1" xfId="0" applyNumberFormat="1" applyFont="1" applyFill="1" applyBorder="1" applyAlignment="1">
      <x:alignment wrapText="1"/>
    </x:xf>
    <x:xf numFmtId="0" fontId="5" fillId="9" borderId="2" xfId="0" applyNumberFormat="1" applyFont="1" applyFill="1" applyBorder="1" applyAlignment="1">
      <x:alignment wrapText="1"/>
    </x:xf>
    <x:xf numFmtId="0" fontId="5" fillId="9" borderId="3" xfId="0" applyNumberFormat="1" applyFont="1" applyFill="1" applyBorder="1" applyAlignment="1">
      <x:alignment wrapText="1"/>
    </x:xf>
    <x:xf numFmtId="0" fontId="5" fillId="9" borderId="1" xfId="0" applyNumberFormat="1" applyFont="1" applyFill="1" applyBorder="1" applyAlignment="1">
      <x:alignment horizontal="center" wrapText="1"/>
    </x:xf>
    <x:xf numFmtId="0" fontId="5" fillId="9" borderId="2" xfId="0" applyNumberFormat="1" applyFont="1" applyFill="1" applyBorder="1" applyAlignment="1">
      <x:alignment horizontal="center" wrapText="1"/>
    </x:xf>
    <x:xf numFmtId="0" fontId="5" fillId="9" borderId="3" xfId="0" applyNumberFormat="1" applyFont="1" applyFill="1" applyBorder="1" applyAlignment="1">
      <x:alignment horizontal="center" wrapText="1"/>
    </x:xf>
    <x:xf numFmtId="0" fontId="5" fillId="9" borderId="1" xfId="0" applyNumberFormat="1" applyFont="1" applyFill="1" applyBorder="1" applyAlignment="1">
      <x:alignment horizontal="center" vertical="center" wrapText="1"/>
    </x:xf>
    <x:xf numFmtId="0" fontId="5" fillId="9" borderId="2" xfId="0" applyNumberFormat="1" applyFont="1" applyFill="1" applyBorder="1" applyAlignment="1">
      <x:alignment horizontal="center" vertical="center" wrapText="1"/>
    </x:xf>
    <x:xf numFmtId="0" fontId="5" fillId="9" borderId="3" xfId="0" applyNumberFormat="1" applyFont="1" applyFill="1" applyBorder="1" applyAlignment="1">
      <x:alignment horizontal="center" vertical="center" wrapText="1"/>
    </x:xf>
    <x:xf numFmtId="0" fontId="7" fillId="2" borderId="0" xfId="0" applyNumberFormat="1" applyFont="1" applyFill="1" applyBorder="1"/>
    <x:xf numFmtId="0" fontId="7" fillId="2" borderId="0" xfId="0" applyNumberFormat="1" applyFont="1" applyFill="1" applyBorder="1" applyAlignment="1">
      <x:alignment vertical="center"/>
    </x:xf>
    <x:xf numFmtId="0" fontId="8" fillId="5" borderId="0" xfId="0" applyNumberFormat="1" applyFont="1" applyFill="1" applyBorder="1"/>
    <x:xf numFmtId="0" fontId="8" fillId="5" borderId="0" xfId="0" applyNumberFormat="1" applyFont="1" applyFill="1" applyBorder="1" applyAlignment="1">
      <x:alignment wrapText="1"/>
    </x:xf>
    <x:xf numFmtId="0" fontId="8" fillId="5" borderId="0" xfId="0" applyNumberFormat="1" applyFont="1" applyFill="1" applyBorder="1" applyAlignment="1">
      <x:alignment vertical="top" wrapText="1"/>
    </x:xf>
    <x:xf numFmtId="0" fontId="8" fillId="5" borderId="9" xfId="0" applyNumberFormat="1" applyFont="1" applyFill="1" applyBorder="1" applyAlignment="1">
      <x:alignment vertical="top" wrapText="1"/>
    </x:xf>
    <x:xf numFmtId="0" fontId="0" fillId="0" borderId="10" xfId="0" applyNumberFormat="1" applyFont="1" applyFill="1" applyBorder="1"/>
    <x:xf numFmtId="0" fontId="0" fillId="0" borderId="11" xfId="0" applyNumberFormat="1" applyFont="1" applyFill="1" applyBorder="1"/>
    <x:xf numFmtId="0" fontId="8" fillId="5" borderId="4" xfId="0" applyNumberFormat="1" applyFont="1" applyFill="1" applyBorder="1" applyAlignment="1">
      <x:alignment vertical="top" wrapText="1"/>
    </x:xf>
    <x:xf numFmtId="0" fontId="0" fillId="0" borderId="5" xfId="0" applyNumberFormat="1" applyFont="1" applyFill="1" applyBorder="1"/>
    <x:xf numFmtId="0" fontId="8" fillId="5" borderId="6" xfId="0" applyNumberFormat="1" applyFont="1" applyFill="1" applyBorder="1" applyAlignment="1">
      <x:alignment vertical="top" wrapText="1"/>
    </x:xf>
    <x:xf numFmtId="0" fontId="0" fillId="0" borderId="8" xfId="0" applyNumberFormat="1" applyFont="1" applyFill="1" applyBorder="1"/>
    <x:xf numFmtId="0" fontId="0" fillId="6" borderId="10" xfId="0" applyNumberFormat="1" applyFont="1" applyFill="1" applyBorder="1"/>
    <x:xf numFmtId="0" fontId="0" fillId="6" borderId="11" xfId="0" applyNumberFormat="1" applyFont="1" applyFill="1" applyBorder="1"/>
    <x:xf numFmtId="0" fontId="0" fillId="6" borderId="5" xfId="0" applyNumberFormat="1" applyFont="1" applyFill="1" applyBorder="1"/>
    <x:xf numFmtId="0" fontId="0" fillId="6" borderId="7" xfId="0" applyNumberFormat="1" applyFont="1" applyFill="1" applyBorder="1"/>
    <x:xf numFmtId="0" fontId="0" fillId="6" borderId="8" xfId="0" applyNumberFormat="1" applyFont="1" applyFill="1" applyBorder="1"/>
    <x:xf numFmtId="0" fontId="9" fillId="6" borderId="10" xfId="0" applyNumberFormat="1" applyFont="1" applyFill="1" applyBorder="1"/>
    <x:xf numFmtId="0" fontId="9" fillId="6" borderId="11" xfId="0" applyNumberFormat="1" applyFont="1" applyFill="1" applyBorder="1"/>
    <x:xf numFmtId="0" fontId="9" fillId="6" borderId="0" xfId="0" applyNumberFormat="1" applyFont="1" applyFill="1" applyBorder="1"/>
    <x:xf numFmtId="0" fontId="9" fillId="6" borderId="5" xfId="0" applyNumberFormat="1" applyFont="1" applyFill="1" applyBorder="1"/>
    <x:xf numFmtId="0" fontId="9" fillId="6" borderId="7" xfId="0" applyNumberFormat="1" applyFont="1" applyFill="1" applyBorder="1"/>
    <x:xf numFmtId="0" fontId="9" fillId="6" borderId="8" xfId="0" applyNumberFormat="1" applyFont="1" applyFill="1" applyBorder="1"/>
    <x:xf numFmtId="0" fontId="9" fillId="6" borderId="9" xfId="0" applyNumberFormat="1" applyFont="1" applyFill="1" applyBorder="1"/>
    <x:xf numFmtId="0" fontId="9" fillId="6" borderId="4" xfId="0" applyNumberFormat="1" applyFont="1" applyFill="1" applyBorder="1"/>
    <x:xf numFmtId="0" fontId="9" fillId="6" borderId="6" xfId="0" applyNumberFormat="1" applyFont="1" applyFill="1" applyBorder="1"/>
    <x:xf numFmtId="0" fontId="9" fillId="6" borderId="9" xfId="0" applyNumberFormat="1" applyFont="1" applyFill="1" applyBorder="1" applyAlignment="1">
      <x:alignment wrapText="1"/>
    </x:xf>
    <x:xf numFmtId="0" fontId="9" fillId="6" borderId="10" xfId="0" applyNumberFormat="1" applyFont="1" applyFill="1" applyBorder="1" applyAlignment="1">
      <x:alignment wrapText="1"/>
    </x:xf>
    <x:xf numFmtId="0" fontId="9" fillId="6" borderId="11" xfId="0" applyNumberFormat="1" applyFont="1" applyFill="1" applyBorder="1" applyAlignment="1">
      <x:alignment wrapText="1"/>
    </x:xf>
    <x:xf numFmtId="0" fontId="9" fillId="6" borderId="4" xfId="0" applyNumberFormat="1" applyFont="1" applyFill="1" applyBorder="1" applyAlignment="1">
      <x:alignment wrapText="1"/>
    </x:xf>
    <x:xf numFmtId="0" fontId="9" fillId="6" borderId="0" xfId="0" applyNumberFormat="1" applyFont="1" applyFill="1" applyBorder="1" applyAlignment="1">
      <x:alignment wrapText="1"/>
    </x:xf>
    <x:xf numFmtId="0" fontId="9" fillId="6" borderId="5" xfId="0" applyNumberFormat="1" applyFont="1" applyFill="1" applyBorder="1" applyAlignment="1">
      <x:alignment wrapText="1"/>
    </x:xf>
    <x:xf numFmtId="0" fontId="9" fillId="6" borderId="6" xfId="0" applyNumberFormat="1" applyFont="1" applyFill="1" applyBorder="1" applyAlignment="1">
      <x:alignment wrapText="1"/>
    </x:xf>
    <x:xf numFmtId="0" fontId="9" fillId="6" borderId="7" xfId="0" applyNumberFormat="1" applyFont="1" applyFill="1" applyBorder="1" applyAlignment="1">
      <x:alignment wrapText="1"/>
    </x:xf>
    <x:xf numFmtId="0" fontId="9" fillId="6" borderId="8" xfId="0" applyNumberFormat="1" applyFont="1" applyFill="1" applyBorder="1" applyAlignment="1">
      <x:alignment wrapText="1"/>
    </x:xf>
    <x:xf numFmtId="0" fontId="9" fillId="6" borderId="9" xfId="0" applyNumberFormat="1" applyFont="1" applyFill="1" applyBorder="1" applyAlignment="1">
      <x:alignment vertical="top" wrapText="1"/>
    </x:xf>
    <x:xf numFmtId="0" fontId="9" fillId="6" borderId="10" xfId="0" applyNumberFormat="1" applyFont="1" applyFill="1" applyBorder="1" applyAlignment="1">
      <x:alignment vertical="top" wrapText="1"/>
    </x:xf>
    <x:xf numFmtId="0" fontId="9" fillId="6" borderId="11" xfId="0" applyNumberFormat="1" applyFont="1" applyFill="1" applyBorder="1" applyAlignment="1">
      <x:alignment vertical="top" wrapText="1"/>
    </x:xf>
    <x:xf numFmtId="0" fontId="9" fillId="6" borderId="4" xfId="0" applyNumberFormat="1" applyFont="1" applyFill="1" applyBorder="1" applyAlignment="1">
      <x:alignment vertical="top" wrapText="1"/>
    </x:xf>
    <x:xf numFmtId="0" fontId="9" fillId="6" borderId="0" xfId="0" applyNumberFormat="1" applyFont="1" applyFill="1" applyBorder="1" applyAlignment="1">
      <x:alignment vertical="top" wrapText="1"/>
    </x:xf>
    <x:xf numFmtId="0" fontId="9" fillId="6" borderId="5" xfId="0" applyNumberFormat="1" applyFont="1" applyFill="1" applyBorder="1" applyAlignment="1">
      <x:alignment vertical="top" wrapText="1"/>
    </x:xf>
    <x:xf numFmtId="0" fontId="9" fillId="6" borderId="6" xfId="0" applyNumberFormat="1" applyFont="1" applyFill="1" applyBorder="1" applyAlignment="1">
      <x:alignment vertical="top" wrapText="1"/>
    </x:xf>
    <x:xf numFmtId="0" fontId="9" fillId="6" borderId="7" xfId="0" applyNumberFormat="1" applyFont="1" applyFill="1" applyBorder="1" applyAlignment="1">
      <x:alignment vertical="top" wrapText="1"/>
    </x:xf>
    <x:xf numFmtId="0" fontId="9" fillId="6" borderId="8" xfId="0" applyNumberFormat="1" applyFont="1" applyFill="1" applyBorder="1" applyAlignment="1">
      <x:alignment vertical="top" wrapText="1"/>
    </x:xf>
    <x:xf numFmtId="0" fontId="0" fillId="0" borderId="9" xfId="0" applyNumberFormat="1" applyFont="1" applyFill="1" applyBorder="1"/>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7" borderId="9" xfId="0" applyNumberFormat="1" applyFont="1" applyFill="1" applyBorder="1" applyAlignment="1">
      <x:alignment vertical="top" wrapText="1"/>
    </x:xf>
    <x:xf numFmtId="0" fontId="0" fillId="7" borderId="4" xfId="0" applyNumberFormat="1" applyFont="1" applyFill="1" applyBorder="1" applyAlignment="1">
      <x:alignment vertical="top" wrapText="1"/>
    </x:xf>
    <x:xf numFmtId="0" fontId="0" fillId="7" borderId="6" xfId="0" applyNumberFormat="1" applyFont="1" applyFill="1" applyBorder="1" applyAlignment="1">
      <x:alignment vertical="top" wrapText="1"/>
    </x:xf>
    <x:xf numFmtId="0" fontId="8" fillId="7" borderId="9" xfId="0" applyNumberFormat="1" applyFont="1" applyFill="1" applyBorder="1" applyAlignment="1">
      <x:alignment vertical="top" wrapText="1"/>
    </x:xf>
    <x:xf numFmtId="0" fontId="8" fillId="7" borderId="4" xfId="0" applyNumberFormat="1" applyFont="1" applyFill="1" applyBorder="1" applyAlignment="1">
      <x:alignment vertical="top" wrapText="1"/>
    </x:xf>
    <x:xf numFmtId="0" fontId="8" fillId="7" borderId="6" xfId="0" applyNumberFormat="1" applyFont="1" applyFill="1" applyBorder="1" applyAlignment="1">
      <x:alignment vertical="top" wrapText="1"/>
    </x:xf>
    <x:xf numFmtId="0" fontId="8" fillId="7" borderId="12" xfId="0" applyNumberFormat="1" applyFont="1" applyFill="1" applyBorder="1" applyAlignment="1">
      <x:alignment vertical="top" wrapText="1"/>
    </x:xf>
    <x:xf numFmtId="0" fontId="8" fillId="7" borderId="13" xfId="0" applyNumberFormat="1" applyFont="1" applyFill="1" applyBorder="1" applyAlignment="1">
      <x:alignment vertical="top" wrapText="1"/>
    </x:xf>
    <x:xf numFmtId="0" fontId="8" fillId="7" borderId="14" xfId="0" applyNumberFormat="1" applyFont="1" applyFill="1" applyBorder="1" applyAlignment="1">
      <x:alignment vertical="top" wrapText="1"/>
    </x:xf>
    <x:xf numFmtId="0" fontId="4" fillId="8" borderId="0" xfId="0" applyNumberFormat="1" applyFont="1" applyFill="1" applyBorder="1"/>
    <x:xf numFmtId="0" fontId="4" fillId="8" borderId="9" xfId="0" applyNumberFormat="1" applyFont="1" applyFill="1" applyBorder="1"/>
    <x:xf numFmtId="0" fontId="4" fillId="8" borderId="10" xfId="0" applyNumberFormat="1" applyFont="1" applyFill="1" applyBorder="1"/>
    <x:xf numFmtId="0" fontId="4" fillId="8" borderId="11" xfId="0" applyNumberFormat="1" applyFont="1" applyFill="1" applyBorder="1"/>
    <x:xf numFmtId="0" fontId="4" fillId="8" borderId="4" xfId="0" applyNumberFormat="1" applyFont="1" applyFill="1" applyBorder="1"/>
    <x:xf numFmtId="0" fontId="4" fillId="8" borderId="5" xfId="0" applyNumberFormat="1" applyFont="1" applyFill="1" applyBorder="1"/>
    <x:xf numFmtId="0" fontId="4" fillId="8" borderId="6" xfId="0" applyNumberFormat="1" applyFont="1" applyFill="1" applyBorder="1"/>
    <x:xf numFmtId="0" fontId="4" fillId="8" borderId="7" xfId="0" applyNumberFormat="1" applyFont="1" applyFill="1" applyBorder="1"/>
    <x:xf numFmtId="0" fontId="4" fillId="8" borderId="8" xfId="0" applyNumberFormat="1" applyFont="1" applyFill="1" applyBorder="1"/>
    <x:xf numFmtId="0" fontId="4" fillId="8" borderId="9" xfId="0" applyNumberFormat="1" applyFont="1" applyFill="1" applyBorder="1" applyAlignment="1">
      <x:alignment wrapText="1"/>
    </x:xf>
    <x:xf numFmtId="0" fontId="4" fillId="8" borderId="10" xfId="0" applyNumberFormat="1" applyFont="1" applyFill="1" applyBorder="1" applyAlignment="1">
      <x:alignment wrapText="1"/>
    </x:xf>
    <x:xf numFmtId="0" fontId="4" fillId="8" borderId="11" xfId="0" applyNumberFormat="1" applyFont="1" applyFill="1" applyBorder="1" applyAlignment="1">
      <x:alignment wrapText="1"/>
    </x:xf>
    <x:xf numFmtId="0" fontId="4" fillId="8" borderId="4" xfId="0" applyNumberFormat="1" applyFont="1" applyFill="1" applyBorder="1" applyAlignment="1">
      <x:alignment wrapText="1"/>
    </x:xf>
    <x:xf numFmtId="0" fontId="4" fillId="8" borderId="0" xfId="0" applyNumberFormat="1" applyFont="1" applyFill="1" applyBorder="1" applyAlignment="1">
      <x:alignment wrapText="1"/>
    </x:xf>
    <x:xf numFmtId="0" fontId="4" fillId="8" borderId="5" xfId="0" applyNumberFormat="1" applyFont="1" applyFill="1" applyBorder="1" applyAlignment="1">
      <x:alignment wrapText="1"/>
    </x:xf>
    <x:xf numFmtId="0" fontId="4" fillId="8" borderId="6" xfId="0" applyNumberFormat="1" applyFont="1" applyFill="1" applyBorder="1" applyAlignment="1">
      <x:alignment wrapText="1"/>
    </x:xf>
    <x:xf numFmtId="0" fontId="4" fillId="8" borderId="7" xfId="0" applyNumberFormat="1" applyFont="1" applyFill="1" applyBorder="1" applyAlignment="1">
      <x:alignment wrapText="1"/>
    </x:xf>
    <x:xf numFmtId="0" fontId="4" fillId="8" borderId="8" xfId="0" applyNumberFormat="1" applyFont="1" applyFill="1" applyBorder="1" applyAlignment="1">
      <x:alignment wrapText="1"/>
    </x:xf>
    <x:xf numFmtId="0" fontId="4" fillId="8" borderId="9" xfId="0" applyNumberFormat="1" applyFont="1" applyFill="1" applyBorder="1" applyAlignment="1">
      <x:alignment vertical="center" wrapText="1"/>
    </x:xf>
    <x:xf numFmtId="0" fontId="4" fillId="8" borderId="10" xfId="0" applyNumberFormat="1" applyFont="1" applyFill="1" applyBorder="1" applyAlignment="1">
      <x:alignment vertical="center" wrapText="1"/>
    </x:xf>
    <x:xf numFmtId="0" fontId="4" fillId="8" borderId="11" xfId="0" applyNumberFormat="1" applyFont="1" applyFill="1" applyBorder="1" applyAlignment="1">
      <x:alignment vertical="center" wrapText="1"/>
    </x:xf>
    <x:xf numFmtId="0" fontId="4" fillId="8" borderId="4" xfId="0" applyNumberFormat="1" applyFont="1" applyFill="1" applyBorder="1" applyAlignment="1">
      <x:alignment vertical="center" wrapText="1"/>
    </x:xf>
    <x:xf numFmtId="0" fontId="4" fillId="8" borderId="0" xfId="0" applyNumberFormat="1" applyFont="1" applyFill="1" applyBorder="1" applyAlignment="1">
      <x:alignment vertical="center" wrapText="1"/>
    </x:xf>
    <x:xf numFmtId="0" fontId="4" fillId="8" borderId="5" xfId="0" applyNumberFormat="1" applyFont="1" applyFill="1" applyBorder="1" applyAlignment="1">
      <x:alignment vertical="center" wrapText="1"/>
    </x:xf>
    <x:xf numFmtId="0" fontId="4" fillId="8" borderId="6" xfId="0" applyNumberFormat="1" applyFont="1" applyFill="1" applyBorder="1" applyAlignment="1">
      <x:alignment vertical="center" wrapText="1"/>
    </x:xf>
    <x:xf numFmtId="0" fontId="4" fillId="8" borderId="7" xfId="0" applyNumberFormat="1" applyFont="1" applyFill="1" applyBorder="1" applyAlignment="1">
      <x:alignment vertical="center" wrapText="1"/>
    </x:xf>
    <x:xf numFmtId="0" fontId="4" fillId="8" borderId="8" xfId="0" applyNumberFormat="1" applyFont="1" applyFill="1" applyBorder="1" applyAlignment="1">
      <x:alignment vertical="center" wrapText="1"/>
    </x:xf>
    <x:xf numFmtId="0" fontId="3" fillId="4" borderId="0" xfId="0" applyNumberFormat="1" applyFont="1" applyFill="1" applyBorder="1" applyAlignment="1">
      <x:alignment horizontal="center"/>
    </x:xf>
    <x:xf numFmtId="0" fontId="8" fillId="5" borderId="12" xfId="0" applyNumberFormat="1" applyFont="1" applyFill="1" applyBorder="1"/>
    <x:xf numFmtId="0" fontId="8" fillId="5" borderId="13" xfId="0" applyNumberFormat="1" applyFont="1" applyFill="1" applyBorder="1"/>
    <x:xf numFmtId="0" fontId="8" fillId="5" borderId="14" xfId="0" applyNumberFormat="1" applyFont="1" applyFill="1" applyBorder="1"/>
    <x:xf numFmtId="0" fontId="0" fillId="6" borderId="12" xfId="0" applyNumberFormat="1" applyFont="1" applyFill="1" applyBorder="1"/>
    <x:xf numFmtId="0" fontId="0" fillId="6" borderId="13" xfId="0" applyNumberFormat="1" applyFont="1" applyFill="1" applyBorder="1"/>
    <x:xf numFmtId="0" fontId="0" fillId="6" borderId="14" xfId="0" applyNumberFormat="1" applyFont="1" applyFill="1" applyBorder="1"/>
    <x:xf numFmtId="200" fontId="0" fillId="6" borderId="13" xfId="0" applyNumberFormat="1" applyFont="1" applyFill="1" applyBorder="1"/>
    <x:xf numFmtId="201" fontId="0" fillId="6" borderId="13" xfId="0" applyNumberFormat="1" applyFont="1" applyFill="1" applyBorder="1"/>
    <x:xf numFmtId="202" fontId="0" fillId="6" borderId="14" xfId="0" applyNumberFormat="1" applyFont="1" applyFill="1" applyBorder="1"/>
    <x:xf numFmtId="0" fontId="0" fillId="10" borderId="0" xfId="0" applyNumberFormat="1" applyFont="1" applyFill="1" applyBorder="1"/>
    <x:xf numFmtId="0" fontId="3" fillId="10" borderId="0" xfId="0" applyNumberFormat="1" applyFont="1" applyFill="1" applyBorder="1"/>
    <x:xf numFmtId="0" fontId="3" fillId="10" borderId="1" xfId="0" applyNumberFormat="1" applyFont="1" applyFill="1" applyBorder="1"/>
    <x:xf numFmtId="0" fontId="3" fillId="10" borderId="2" xfId="0" applyNumberFormat="1" applyFont="1" applyFill="1" applyBorder="1"/>
    <x:xf numFmtId="0" fontId="3" fillId="10" borderId="3" xfId="0" applyNumberFormat="1" applyFont="1" applyFill="1" applyBorder="1"/>
    <x:xf numFmtId="0" fontId="3" fillId="10" borderId="1" xfId="0" applyNumberFormat="1" applyFont="1" applyFill="1" applyBorder="1" applyAlignment="1">
      <x:alignment wrapText="1"/>
    </x:xf>
    <x:xf numFmtId="0" fontId="3" fillId="10" borderId="2" xfId="0" applyNumberFormat="1" applyFont="1" applyFill="1" applyBorder="1" applyAlignment="1">
      <x:alignment wrapText="1"/>
    </x:xf>
    <x:xf numFmtId="0" fontId="3" fillId="10" borderId="3" xfId="0" applyNumberFormat="1" applyFont="1" applyFill="1" applyBorder="1" applyAlignment="1">
      <x:alignment wrapText="1"/>
    </x:xf>
    <x:xf numFmtId="0" fontId="3" fillId="10" borderId="1" xfId="0" applyNumberFormat="1" applyFont="1" applyFill="1" applyBorder="1" applyAlignment="1">
      <x:alignment horizontal="center" wrapText="1"/>
    </x:xf>
    <x:xf numFmtId="0" fontId="3" fillId="10" borderId="2" xfId="0" applyNumberFormat="1" applyFont="1" applyFill="1" applyBorder="1" applyAlignment="1">
      <x:alignment horizontal="center" wrapText="1"/>
    </x:xf>
    <x:xf numFmtId="0" fontId="3" fillId="10" borderId="3" xfId="0" applyNumberFormat="1" applyFont="1" applyFill="1" applyBorder="1" applyAlignment="1">
      <x:alignment horizontal="center" wrapText="1"/>
    </x:xf>
    <x:xf numFmtId="0" fontId="3" fillId="10" borderId="1" xfId="0" applyNumberFormat="1" applyFont="1" applyFill="1" applyBorder="1" applyAlignment="1">
      <x:alignment horizontal="center" vertical="center" wrapText="1"/>
    </x:xf>
    <x:xf numFmtId="0" fontId="3" fillId="10" borderId="2" xfId="0" applyNumberFormat="1" applyFont="1" applyFill="1" applyBorder="1" applyAlignment="1">
      <x:alignment horizontal="center" vertical="center" wrapText="1"/>
    </x:xf>
    <x:xf numFmtId="0" fontId="3" fillId="10" borderId="3" xfId="0" applyNumberFormat="1" applyFont="1" applyFill="1" applyBorder="1" applyAlignment="1">
      <x:alignment horizontal="center" vertical="center" wrapText="1"/>
    </x:xf>
    <x:xf numFmtId="0" fontId="4" fillId="5" borderId="4" xfId="0" applyNumberFormat="1" applyFont="1" applyFill="1" applyBorder="1"/>
    <x:xf numFmtId="0" fontId="4" fillId="5" borderId="5" xfId="0" applyNumberFormat="1" applyFont="1" applyFill="1" applyBorder="1"/>
    <x:xf numFmtId="0" fontId="4" fillId="5" borderId="4" xfId="0" applyNumberFormat="1" applyFont="1" applyFill="1" applyBorder="1" applyAlignment="1">
      <x:alignment wrapText="1"/>
    </x:xf>
    <x:xf numFmtId="0" fontId="4" fillId="5" borderId="0" xfId="0" applyNumberFormat="1" applyFont="1" applyFill="1" applyBorder="1" applyAlignment="1">
      <x:alignment wrapText="1"/>
    </x:xf>
    <x:xf numFmtId="0" fontId="4" fillId="5" borderId="5" xfId="0" applyNumberFormat="1" applyFont="1" applyFill="1" applyBorder="1" applyAlignment="1">
      <x:alignment wrapText="1"/>
    </x:xf>
    <x:xf numFmtId="0" fontId="4" fillId="5" borderId="4" xfId="0" applyNumberFormat="1" applyFont="1" applyFill="1" applyBorder="1" applyAlignment="1">
      <x:alignment vertical="center" wrapText="1"/>
    </x:xf>
    <x:xf numFmtId="0" fontId="4" fillId="5" borderId="0" xfId="0" applyNumberFormat="1" applyFont="1" applyFill="1" applyBorder="1" applyAlignment="1">
      <x:alignment vertical="center" wrapText="1"/>
    </x:xf>
    <x:xf numFmtId="0" fontId="4" fillId="5" borderId="5" xfId="0" applyNumberFormat="1" applyFont="1" applyFill="1" applyBorder="1" applyAlignment="1">
      <x:alignment vertical="center" wrapText="1"/>
    </x:xf>
    <x:xf numFmtId="0" fontId="0" fillId="5" borderId="9" xfId="0" applyNumberFormat="1" applyFont="1" applyFill="1" applyBorder="1" applyAlignment="1">
      <x:alignment vertical="top" wrapText="1"/>
    </x:xf>
    <x:xf numFmtId="0" fontId="0" fillId="5" borderId="4" xfId="0" applyNumberFormat="1" applyFont="1" applyFill="1" applyBorder="1" applyAlignment="1">
      <x:alignment vertical="top" wrapText="1"/>
    </x:xf>
    <x:xf numFmtId="0" fontId="0" fillId="5" borderId="6" xfId="0" applyNumberFormat="1" applyFont="1" applyFill="1" applyBorder="1" applyAlignment="1">
      <x:alignment vertical="top" wrapText="1"/>
    </x:xf>
    <x:xf numFmtId="0" fontId="8" fillId="5" borderId="12" xfId="0" applyNumberFormat="1" applyFont="1" applyFill="1" applyBorder="1" applyAlignment="1">
      <x:alignment vertical="top" wrapText="1"/>
    </x:xf>
    <x:xf numFmtId="0" fontId="8" fillId="5" borderId="13" xfId="0" applyNumberFormat="1" applyFont="1" applyFill="1" applyBorder="1" applyAlignment="1">
      <x:alignment vertical="top" wrapText="1"/>
    </x:xf>
    <x:xf numFmtId="0" fontId="8" fillId="5" borderId="14" xfId="0" applyNumberFormat="1" applyFont="1" applyFill="1" applyBorder="1" applyAlignment="1">
      <x:alignment vertical="top" wrapText="1"/>
    </x:xf>
    <x:xf numFmtId="0" fontId="9" fillId="5" borderId="0" xfId="0" applyNumberFormat="1" applyFont="1" applyFill="1" applyBorder="1"/>
    <x:xf numFmtId="0" fontId="9" fillId="5" borderId="9" xfId="0" applyNumberFormat="1" applyFont="1" applyFill="1" applyBorder="1"/>
    <x:xf numFmtId="0" fontId="9" fillId="5" borderId="10" xfId="0" applyNumberFormat="1" applyFont="1" applyFill="1" applyBorder="1"/>
    <x:xf numFmtId="0" fontId="9" fillId="5" borderId="11" xfId="0" applyNumberFormat="1" applyFont="1" applyFill="1" applyBorder="1"/>
    <x:xf numFmtId="0" fontId="9" fillId="5" borderId="6" xfId="0" applyNumberFormat="1" applyFont="1" applyFill="1" applyBorder="1"/>
    <x:xf numFmtId="0" fontId="9" fillId="5" borderId="7" xfId="0" applyNumberFormat="1" applyFont="1" applyFill="1" applyBorder="1"/>
    <x:xf numFmtId="0" fontId="9" fillId="5" borderId="8" xfId="0" applyNumberFormat="1" applyFont="1" applyFill="1" applyBorder="1"/>
    <x:xf numFmtId="0" fontId="9" fillId="5" borderId="9" xfId="0" applyNumberFormat="1" applyFont="1" applyFill="1" applyBorder="1" applyAlignment="1">
      <x:alignment wrapText="1"/>
    </x:xf>
    <x:xf numFmtId="0" fontId="9" fillId="5" borderId="10" xfId="0" applyNumberFormat="1" applyFont="1" applyFill="1" applyBorder="1" applyAlignment="1">
      <x:alignment wrapText="1"/>
    </x:xf>
    <x:xf numFmtId="0" fontId="9" fillId="5" borderId="11" xfId="0" applyNumberFormat="1" applyFont="1" applyFill="1" applyBorder="1" applyAlignment="1">
      <x:alignment wrapText="1"/>
    </x:xf>
    <x:xf numFmtId="0" fontId="9" fillId="5" borderId="6" xfId="0" applyNumberFormat="1" applyFont="1" applyFill="1" applyBorder="1" applyAlignment="1">
      <x:alignment wrapText="1"/>
    </x:xf>
    <x:xf numFmtId="0" fontId="9" fillId="5" borderId="7" xfId="0" applyNumberFormat="1" applyFont="1" applyFill="1" applyBorder="1" applyAlignment="1">
      <x:alignment wrapText="1"/>
    </x:xf>
    <x:xf numFmtId="0" fontId="9" fillId="5" borderId="8" xfId="0" applyNumberFormat="1" applyFont="1" applyFill="1" applyBorder="1" applyAlignment="1">
      <x:alignment wrapText="1"/>
    </x:xf>
    <x:xf numFmtId="0" fontId="9" fillId="5" borderId="9" xfId="0" applyNumberFormat="1" applyFont="1" applyFill="1" applyBorder="1" applyAlignment="1">
      <x:alignment vertical="center" wrapText="1"/>
    </x:xf>
    <x:xf numFmtId="0" fontId="9" fillId="5" borderId="10" xfId="0" applyNumberFormat="1" applyFont="1" applyFill="1" applyBorder="1" applyAlignment="1">
      <x:alignment vertical="center" wrapText="1"/>
    </x:xf>
    <x:xf numFmtId="0" fontId="9" fillId="5" borderId="11" xfId="0" applyNumberFormat="1" applyFont="1" applyFill="1" applyBorder="1" applyAlignment="1">
      <x:alignment vertical="center" wrapText="1"/>
    </x:xf>
    <x:xf numFmtId="0" fontId="9" fillId="5" borderId="6" xfId="0" applyNumberFormat="1" applyFont="1" applyFill="1" applyBorder="1" applyAlignment="1">
      <x:alignment vertical="center" wrapText="1"/>
    </x:xf>
    <x:xf numFmtId="0" fontId="9" fillId="5" borderId="7" xfId="0" applyNumberFormat="1" applyFont="1" applyFill="1" applyBorder="1" applyAlignment="1">
      <x:alignment vertical="center" wrapText="1"/>
    </x:xf>
    <x:xf numFmtId="0" fontId="9" fillId="5" borderId="8" xfId="0" applyNumberFormat="1" applyFont="1" applyFill="1" applyBorder="1" applyAlignment="1">
      <x:alignment vertical="center" wrapText="1"/>
    </x:xf>
  </x:cellXfs>
  <x:cellStyles count="1">
    <x:cellStyle name="Normal" xfId="0"/>
  </x:cellStyles>
  <x:dxfs count="2">
    <x:dxf>
      <x:font>
        <x:b/>
        <x:color rgb="FF274E13"/>
      </x:font>
      <x:fill>
        <x:patternFill patternType="solid">
          <x:bgColor rgb="FFD9EAD3"/>
        </x:patternFill>
      </x:fill>
    </x:dxf>
    <x:dxf>
      <x:font>
        <x:b/>
        <x:color rgb="FF990000"/>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46e85c331ce428a" /><Relationship Type="http://schemas.openxmlformats.org/officeDocument/2006/relationships/theme" Target="/xl/theme/theme1.xml" Id="Re3ffeca153924298" /><Relationship Type="http://schemas.openxmlformats.org/officeDocument/2006/relationships/sharedStrings" Target="/xl/sharedStrings.xml" Id="Re46ef2896ebd466b" /><Relationship Type="http://schemas.openxmlformats.org/officeDocument/2006/relationships/pivotCacheDefinition" Target="/pivotCache/pivotCacheDefinition1.xml" Id="R05bc46985ec0417c" /><Relationship Type="http://schemas.openxmlformats.org/officeDocument/2006/relationships/worksheet" Target="/xl/worksheets/sheet1.xml" Id="R8ef8a204f06e49dc" /><Relationship Type="http://schemas.openxmlformats.org/officeDocument/2006/relationships/worksheet" Target="/xl/worksheets/sheet2.xml" Id="R546813c5a25146b7" /><Relationship Type="http://schemas.openxmlformats.org/officeDocument/2006/relationships/worksheet" Target="/xl/worksheets/sheet3.xml" Id="Rbcd40b44dc5140a6" /><Relationship Type="http://schemas.openxmlformats.org/officeDocument/2006/relationships/worksheet" Target="/xl/worksheets/sheet4.xml" Id="R2fd1d8b91d6d4fed" /><Relationship Type="http://schemas.openxmlformats.org/officeDocument/2006/relationships/worksheet" Target="/xl/worksheets/sheet5.xml" Id="R0dca3d27d7e14dc0" /><Relationship Type="http://schemas.openxmlformats.org/officeDocument/2006/relationships/worksheet" Target="/xl/worksheets/sheet6.xml" Id="R2bbf488e8c9d486d" /><Relationship Type="http://schemas.openxmlformats.org/officeDocument/2006/relationships/worksheet" Target="/xl/worksheets/sheet7.xml" Id="R7e9ed3debbf54a4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d3b40e40b1945b4" /></Relationships>
</file>

<file path=xl/drawings/_rels/drawing2.xml.rels>&#65279;<?xml version="1.0" encoding="utf-8"?><Relationships xmlns="http://schemas.openxmlformats.org/package/2006/relationships"><Relationship Type="http://schemas.openxmlformats.org/officeDocument/2006/relationships/chart" Target="/xl/drawings/charts/chart2.xml" Id="Rbc7506a96a4044c5" /></Relationships>
</file>

<file path=xl/drawings/_rels/drawing3.xml.rels>&#65279;<?xml version="1.0" encoding="utf-8"?><Relationships xmlns="http://schemas.openxmlformats.org/package/2006/relationships"><Relationship Type="http://schemas.openxmlformats.org/officeDocument/2006/relationships/chart" Target="/xl/drawings/charts/chart3.xml" Id="Rce5f4efef58b45dd" /></Relationships>
</file>

<file path=xl/drawings/_rels/drawing4.xml.rels>&#65279;<?xml version="1.0" encoding="utf-8"?><Relationships xmlns="http://schemas.openxmlformats.org/package/2006/relationships"><Relationship Type="http://schemas.openxmlformats.org/officeDocument/2006/relationships/chart" Target="/xl/drawings/charts/chart4.xml" Id="R30e65332118a4697" /></Relationships>
</file>

<file path=xl/drawings/_rels/drawing5.xml.rels>&#65279;<?xml version="1.0" encoding="utf-8"?><Relationships xmlns="http://schemas.openxmlformats.org/package/2006/relationships"><Relationship Type="http://schemas.openxmlformats.org/officeDocument/2006/relationships/chart" Target="/xl/drawings/charts/chart5.xml" Id="Rc1d63efa7a2f4cce"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Monthly on-time and arrival-delay rates</a:t>
            </a:r>
          </a:p>
        </c:rich>
      </c:tx>
    </c:title>
    <c:plotArea>
      <c:lineChart>
        <c:grouping val="standard"/>
        <c:ser>
          <c:idx val="0"/>
          <c:order val="0"/>
          <c:tx>
            <c:v>On-Time Rate</c:v>
          </c:tx>
          <c:spPr>
            <a:solidFill xmlns:a="http://schemas.openxmlformats.org/drawingml/2006/main">
              <a:srgbClr val="1B998B"/>
            </a:solidFill>
          </c:spPr>
          <c:marker>
            <c:symbol val="none"/>
          </c:marker>
          <c:cat>
            <c:strRef>
              <c:f>'Delay Trends'!$A$5:$A$40</c:f>
              <c:strCache>
                <c:ptCount val="0"/>
              </c:strCache>
            </c:strRef>
          </c:cat>
          <c:val>
            <c:numRef>
              <c:f>'Delay Trends'!$F$5:$F$40</c:f>
              <c:numCache>
                <c:formatCode>0%</c:formatCode>
                <c:ptCount val="0"/>
              </c:numCache>
            </c:numRef>
          </c:val>
        </c:ser>
        <c:ser>
          <c:idx val="1"/>
          <c:order val="1"/>
          <c:tx>
            <c:v>Arrival Delay Rate</c:v>
          </c:tx>
          <c:spPr>
            <a:solidFill xmlns:a="http://schemas.openxmlformats.org/drawingml/2006/main">
              <a:srgbClr val="D1495B"/>
            </a:solidFill>
          </c:spPr>
          <c:marker>
            <c:symbol val="none"/>
          </c:marker>
          <c:cat>
            <c:strRef>
              <c:f>'Delay Trends'!$A$5:$A$40</c:f>
              <c:strCache>
                <c:ptCount val="0"/>
              </c:strCache>
            </c:strRef>
          </c:cat>
          <c:val>
            <c:numRef>
              <c:f>'Delay Trends'!$G$5:$G$40</c:f>
              <c:numCache>
                <c:formatCode>0%</c:formatCode>
                <c:ptCount val="0"/>
              </c:numCache>
            </c:numRef>
          </c:val>
        </c:ser>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Scheduled flights by year (PivotTable)</a:t>
            </a:r>
          </a:p>
        </c:rich>
      </c:tx>
    </c:title>
    <c:plotArea>
      <c:barChart>
        <c:barDir val="col"/>
        <c:varyColors val="0"/>
        <c:ser>
          <c:idx val="0"/>
          <c:order val="0"/>
          <c:tx>
            <c:v>Sum of Scheduled Flights</c:v>
          </c:tx>
          <c:cat>
            <c:strRef>
              <c:f>'Delay Trends'!$P$13:$P$15</c:f>
              <c:strCache>
                <c:ptCount val="0"/>
              </c:strCache>
            </c:strRef>
          </c:cat>
          <c:val>
            <c:numRef>
              <c:f>'Delay Trends'!$Q$13:$Q$15</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2025 reported delay-minute shares</a:t>
            </a:r>
          </a:p>
        </c:rich>
      </c:tx>
    </c:title>
    <c:plotArea>
      <c:barChart>
        <c:barDir val="col"/>
        <c:varyColors val="0"/>
        <c:ser>
          <c:idx val="0"/>
          <c:order val="0"/>
          <c:tx>
            <c:v>Share of Reported Delay Minutes</c:v>
          </c:tx>
          <c:spPr>
            <a:solidFill xmlns:a="http://schemas.openxmlformats.org/drawingml/2006/main">
              <a:srgbClr val="F28E2B"/>
            </a:solidFill>
          </c:spPr>
          <c:cat>
            <c:strRef>
              <c:f>'Delay Drivers'!$I$5:$I$9</c:f>
              <c:strCache>
                <c:ptCount val="0"/>
              </c:strCache>
            </c:strRef>
          </c:cat>
          <c:val>
            <c:numRef>
              <c:f>'Delay Drivers'!$J$5:$J$9</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Highest observed delay rates (5,000+ departures)</a:t>
            </a:r>
          </a:p>
        </c:rich>
      </c:tx>
    </c:title>
    <c:plotArea>
      <c:barChart>
        <c:barDir val="col"/>
        <c:varyColors val="0"/>
        <c:ser>
          <c:idx val="0"/>
          <c:order val="0"/>
          <c:tx>
            <c:v>Highest observed delay rates (5,000+ departures)</c:v>
          </c:tx>
          <c:spPr>
            <a:solidFill xmlns:a="http://schemas.openxmlformats.org/drawingml/2006/main">
              <a:srgbClr val="D1495B"/>
            </a:solidFill>
          </c:spPr>
          <c:cat>
            <c:strRef>
              <c:f>'Airport Analysis'!$A$15:$A$24</c:f>
              <c:strCache>
                <c:ptCount val="0"/>
              </c:strCache>
            </c:strRef>
          </c:cat>
          <c:val>
            <c:numRef>
              <c:f>'Airport Analysis'!$E$15:$E$24</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5.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Worst high-volume routes by observed delay rate</a:t>
            </a:r>
          </a:p>
        </c:rich>
      </c:tx>
    </c:title>
    <c:plotArea>
      <c:barChart>
        <c:barDir val="col"/>
        <c:varyColors val="0"/>
        <c:ser>
          <c:idx val="0"/>
          <c:order val="0"/>
          <c:tx>
            <c:v>Worst high-volume routes by observed delay rate</c:v>
          </c:tx>
          <c:spPr>
            <a:solidFill xmlns:a="http://schemas.openxmlformats.org/drawingml/2006/main">
              <a:srgbClr val="D1495B"/>
            </a:solidFill>
          </c:spPr>
          <c:cat>
            <c:strRef>
              <c:f>'Carrier and Route Analysis'!$G$5:$G$14</c:f>
              <c:strCache>
                <c:ptCount val="0"/>
              </c:strCache>
            </c:strRef>
          </c:cat>
          <c:val>
            <c:numRef>
              <c:f>'Carrier and Route Analysis'!$K$5:$K$14</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8</xdr:row>
      <xdr:rowOff>0</xdr:rowOff>
    </xdr:from>
    <xdr:to>
      <xdr:col>14</xdr:col>
      <xdr:colOff>0</xdr:colOff>
      <xdr:row>14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d3b40e40b1945b4"/>
        </a:graphicData>
      </a:graphic>
    </xdr:graphicFrame>
    <xdr:clientData/>
  </xdr:twoCellAnchor>
</xdr:wsDr>
</file>

<file path=xl/drawings/drawing2.xml><?xml version="1.0" encoding="utf-8"?>
<xdr:wsDr xmlns:xdr="http://schemas.openxmlformats.org/drawingml/2006/spreadsheetDrawing">
  <xdr:twoCellAnchor>
    <xdr:from>
      <xdr:col>15</xdr:col>
      <xdr:colOff>0</xdr:colOff>
      <xdr:row>18</xdr:row>
      <xdr:rowOff>0</xdr:rowOff>
    </xdr:from>
    <xdr:to>
      <xdr:col>22</xdr:col>
      <xdr:colOff>0</xdr:colOff>
      <xdr:row>34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c7506a96a4044c5"/>
        </a:graphicData>
      </a:graphic>
    </xdr:graphicFrame>
    <xdr:clientData/>
  </xdr:twoCellAnchor>
</xdr:wsDr>
</file>

<file path=xl/drawings/drawing3.xml><?xml version="1.0" encoding="utf-8"?>
<xdr:wsDr xmlns:xdr="http://schemas.openxmlformats.org/drawingml/2006/spreadsheetDrawing">
  <xdr:twoCellAnchor>
    <xdr:from>
      <xdr:col>8</xdr:col>
      <xdr:colOff>0</xdr:colOff>
      <xdr:row>14</xdr:row>
      <xdr:rowOff>0</xdr:rowOff>
    </xdr:from>
    <xdr:to>
      <xdr:col>11</xdr:col>
      <xdr:colOff>0</xdr:colOff>
      <xdr:row>29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e5f4efef58b45dd"/>
        </a:graphicData>
      </a:graphic>
    </xdr:graphicFrame>
    <xdr:clientData/>
  </xdr:twoCellAnchor>
</xdr:wsDr>
</file>

<file path=xl/drawings/drawing4.xml><?xml version="1.0" encoding="utf-8"?>
<xdr:wsDr xmlns:xdr="http://schemas.openxmlformats.org/drawingml/2006/spreadsheetDrawing">
  <xdr:twoCellAnchor>
    <xdr:from>
      <xdr:col>9</xdr:col>
      <xdr:colOff>0</xdr:colOff>
      <xdr:row>3</xdr:row>
      <xdr:rowOff>0</xdr:rowOff>
    </xdr:from>
    <xdr:to>
      <xdr:col>16</xdr:col>
      <xdr:colOff>0</xdr:colOff>
      <xdr:row>19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0e65332118a4697"/>
        </a:graphicData>
      </a:graphic>
    </xdr:graphicFrame>
    <xdr:clientData/>
  </xdr:twoCellAnchor>
</xdr:wsDr>
</file>

<file path=xl/drawings/drawing5.xml><?xml version="1.0" encoding="utf-8"?>
<xdr:wsDr xmlns:xdr="http://schemas.openxmlformats.org/drawingml/2006/spreadsheetDrawing">
  <xdr:twoCellAnchor>
    <xdr:from>
      <xdr:col>0</xdr:col>
      <xdr:colOff>0</xdr:colOff>
      <xdr:row>22</xdr:row>
      <xdr:rowOff>0</xdr:rowOff>
    </xdr:from>
    <xdr:to>
      <xdr:col>6</xdr:col>
      <xdr:colOff>0</xdr:colOff>
      <xdr:row>39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1d63efa7a2f4cce"/>
        </a:graphicData>
      </a:graphic>
    </xdr:graphicFrame>
    <xdr:clientData/>
  </xdr:twoCellAnchor>
</xdr:wsDr>
</file>

<file path=xl/pivotTables/_rels/pivotTable.xml.rels>&#65279;<?xml version="1.0" encoding="utf-8"?><Relationships xmlns="http://schemas.openxmlformats.org/package/2006/relationships"><Relationship Type="http://schemas.openxmlformats.org/officeDocument/2006/relationships/pivotCacheDefinition" Target="/pivotCache/pivotCacheDefinition1.xml" Id="R27e80b28accd4065" /></Relationships>
</file>

<file path=xl/pivotTables/pivotTable.xml><?xml version="1.0" encoding="utf-8"?>
<x:pivotTableDefinition xmlns:x="http://schemas.openxmlformats.org/spreadsheetml/2006/main" name="YearlyScheduledFlightsPivot" cacheId="1" dataOnRows="0" showDrill="1" rowGrandTotals="1" colGrandTotals="1" compact="1" outline="0">
  <x:location ref="P12:Q16" firstHeaderRow="0" firstDataRow="1" firstDataCol="1"/>
  <x:pivotFields count="14">
    <x:pivotField name="Month" dataField="0" subtotalTop="1" showAll="1">
      <x:items count="36">
        <x:item x="3"/>
        <x:item x="15"/>
        <x:item x="27"/>
        <x:item x="7"/>
        <x:item x="19"/>
        <x:item x="31"/>
        <x:item x="11"/>
        <x:item x="23"/>
        <x:item x="35"/>
        <x:item x="1"/>
        <x:item x="13"/>
        <x:item x="25"/>
        <x:item x="0"/>
        <x:item x="12"/>
        <x:item x="24"/>
        <x:item x="6"/>
        <x:item x="18"/>
        <x:item x="30"/>
        <x:item x="5"/>
        <x:item x="17"/>
        <x:item x="29"/>
        <x:item x="2"/>
        <x:item x="14"/>
        <x:item x="26"/>
        <x:item x="4"/>
        <x:item x="16"/>
        <x:item x="28"/>
        <x:item x="10"/>
        <x:item x="22"/>
        <x:item x="34"/>
        <x:item x="9"/>
        <x:item x="21"/>
        <x:item x="33"/>
        <x:item x="8"/>
        <x:item x="20"/>
        <x:item x="32"/>
      </x:items>
    </x:pivotField>
    <x:pivotField name="Year" axis="axisRow" dataField="0" subtotalTop="1" showAll="1"/>
    <x:pivotField name="Month #" dataField="0" subtotalTop="1" showAll="1"/>
    <x:pivotField name="Scheduled Flights" axis="axisValues" dataField="1" numFmtId="200" subtotalTop="1" showAll="1"/>
    <x:pivotField name="Operated Flights" dataField="0" numFmtId="200" subtotalTop="1" showAll="1"/>
    <x:pivotField name="On-Time Rate" dataField="0" numFmtId="201" subtotalTop="1" showAll="1"/>
    <x:pivotField name="Arrival Delay Rate" dataField="0" numFmtId="201" subtotalTop="1" showAll="1"/>
    <x:pivotField name="Cancellation Rate" dataField="0" numFmtId="201" subtotalTop="1" showAll="1"/>
    <x:pivotField name="Diversion Rate" dataField="0" numFmtId="201" subtotalTop="1" showAll="1"/>
    <x:pivotField name="Avg Arrival Delay (min)" dataField="0" numFmtId="202" subtotalTop="1" showAll="1"/>
    <x:pivotField name="On-Time Flights (calc)" dataField="0" numFmtId="200" subtotalTop="1" showAll="1"/>
    <x:pivotField name="Delayed Flights (calc)" dataField="0" numFmtId="200" subtotalTop="1" showAll="1"/>
    <x:pivotField name="Cancelled Flights (calc)" dataField="0" numFmtId="200" subtotalTop="1" showAll="1"/>
    <x:pivotField name="Diverted Flights (calc)" dataField="0" numFmtId="200" subtotalTop="1" showAll="1"/>
  </x:pivotFields>
  <x:rowFields count="1">
    <x:field x="1"/>
  </x:rowFields>
  <x:rowItems count="4">
    <x:i>
      <x:x v="0"/>
    </x:i>
    <x:i>
      <x:x v="1"/>
    </x:i>
    <x:i>
      <x:x v="2"/>
    </x:i>
    <x:i/>
  </x:rowItems>
  <x:colItems count="1">
    <x:i>
      <x:x v="0"/>
    </x:i>
  </x:colItems>
  <x:dataFields count="1">
    <x:dataField name="Sum of Scheduled Flights" fld="3" subtotal="sum" numFmtId="200"/>
  </x:dataFields>
  <x:pivotTableStyleInfo showRowHeaders="1" showColHeaders="1" showRowStripes="0" showColStripes="0" showLastColumn="0"/>
</x:pivotTableDefinition>
</file>

<file path=xl/tables/table1.xml><?xml version="1.0" encoding="utf-8"?>
<x:table xmlns:x="http://schemas.openxmlformats.org/spreadsheetml/2006/main" id="1" name="MonthlyOperations" displayName="MonthlyOperations" ref="A4:N40" headerRowCount="1" totalsRowCount="0" totalsRowShown="0">
  <x:autoFilter ref="A4:N40"/>
  <x:tableColumns count="14">
    <x:tableColumn id="1" name="Month"/>
    <x:tableColumn id="2" name="Year"/>
    <x:tableColumn id="3" name="Month #"/>
    <x:tableColumn id="4" name="Scheduled Flights"/>
    <x:tableColumn id="5" name="Operated Flights"/>
    <x:tableColumn id="6" name="On-Time Rate"/>
    <x:tableColumn id="7" name="Arrival Delay Rate"/>
    <x:tableColumn id="8" name="Cancellation Rate"/>
    <x:tableColumn id="9" name="Diversion Rate"/>
    <x:tableColumn id="10" name="Avg Arrival Delay (min)"/>
    <x:tableColumn id="11" name="On-Time Flights (calc)"/>
    <x:tableColumn id="12" name="Delayed Flights (calc)"/>
    <x:tableColumn id="13" name="Cancelled Flights (calc)"/>
    <x:tableColumn id="14" name="Diverted Flights (calc)"/>
  </x:tableColumns>
  <x:tableStyleInfo name="TableStyleMedium2" showFirstColumn="0" showLastColumn="0" showRowStripes="1" showColumnStripes="0"/>
</x:table>
</file>

<file path=xl/tables/table2.xml><?xml version="1.0" encoding="utf-8"?>
<x:table xmlns:x="http://schemas.openxmlformats.org/spreadsheetml/2006/main" id="2" name="DelayDriverMinutes" displayName="DelayDriverMinutes" ref="A4:G7" headerRowCount="1" totalsRowCount="0" totalsRowShown="0">
  <x:autoFilter ref="A4:G7"/>
  <x:tableColumns count="7">
    <x:tableColumn id="1" name="Year"/>
    <x:tableColumn id="2" name="Carrier Minutes"/>
    <x:tableColumn id="3" name="Weather Minutes"/>
    <x:tableColumn id="4" name="NAS Minutes"/>
    <x:tableColumn id="5" name="Security Minutes"/>
    <x:tableColumn id="6" name="Late Aircraft Minutes"/>
    <x:tableColumn id="7" name="Total Reported Delay Minutes"/>
  </x:tableColumns>
  <x:tableStyleInfo name="TableStyleMedium2" showFirstColumn="0" showLastColumn="0" showRowStripes="1" showColumnStripes="0"/>
</x:table>
</file>

<file path=xl/tables/table3.xml><?xml version="1.0" encoding="utf-8"?>
<x:table xmlns:x="http://schemas.openxmlformats.org/spreadsheetml/2006/main" id="3" name="DeparturePeriodPerformance" displayName="DeparturePeriodPerformance" ref="L4:R186" headerRowCount="1" totalsRowCount="0" totalsRowShown="0">
  <x:autoFilter ref="L4:R186"/>
  <x:tableColumns count="7">
    <x:tableColumn id="1" name="Year"/>
    <x:tableColumn id="2" name="Month"/>
    <x:tableColumn id="3" name="Departure Period"/>
    <x:tableColumn id="4" name="Flights"/>
    <x:tableColumn id="5" name="Delay Rate"/>
    <x:tableColumn id="6" name="On-Time Rate"/>
    <x:tableColumn id="7" name="Mean Arrival Delay (min)"/>
  </x:tableColumns>
  <x:tableStyleInfo name="TableStyleMedium2" showFirstColumn="0" showLastColumn="0" showRowStripes="1" showColumnStripes="0"/>
</x:table>
</file>

<file path=xl/tables/table4.xml><?xml version="1.0" encoding="utf-8"?>
<x:table xmlns:x="http://schemas.openxmlformats.org/spreadsheetml/2006/main" id="4" name="AirportPerformance" displayName="AirportPerformance" ref="A14:H220" headerRowCount="1" totalsRowCount="0" totalsRowShown="0">
  <x:autoFilter ref="A14:H220"/>
  <x:tableColumns count="8">
    <x:tableColumn id="1" name="Airport"/>
    <x:tableColumn id="2" name="City"/>
    <x:tableColumn id="3" name="State"/>
    <x:tableColumn id="4" name="Departures"/>
    <x:tableColumn id="5" name="Delay Rate"/>
    <x:tableColumn id="6" name="Cancellation Rate"/>
    <x:tableColumn id="7" name="Diversion Rate"/>
    <x:tableColumn id="8" name="Mean Arrival Delay (min)"/>
  </x:tableColumns>
  <x:tableStyleInfo name="TableStyleMedium2" showFirstColumn="0" showLastColumn="0" showRowStripes="1" showColumnStripes="0"/>
</x:table>
</file>

<file path=xl/tables/table5.xml><?xml version="1.0" encoding="utf-8"?>
<x:table xmlns:x="http://schemas.openxmlformats.org/spreadsheetml/2006/main" id="5" name="CarrierComparablePerformance" displayName="CarrierComparablePerformance" ref="A4:E18" headerRowCount="1" totalsRowCount="0" totalsRowShown="0">
  <x:autoFilter ref="A4:E18"/>
  <x:tableColumns count="5">
    <x:tableColumn id="1" name="Carrier"/>
    <x:tableColumn id="2" name="Comparable Flights"/>
    <x:tableColumn id="3" name="Comparable Delay Rate"/>
    <x:tableColumn id="4" name="Route-Month Peer Rate"/>
    <x:tableColumn id="5" name="Relative Delay Rate"/>
  </x:tableColumns>
  <x:tableStyleInfo name="TableStyleMedium2" showFirstColumn="0" showLastColumn="0" showRowStripes="1" showColumnStripes="0"/>
</x:table>
</file>

<file path=xl/tables/table6.xml><?xml version="1.0" encoding="utf-8"?>
<x:table xmlns:x="http://schemas.openxmlformats.org/spreadsheetml/2006/main" id="6" name="RoutePerformance" displayName="RoutePerformance" ref="G4:L4227" headerRowCount="1" totalsRowCount="0" totalsRowShown="0">
  <x:autoFilter ref="G4:L4227"/>
  <x:tableColumns count="6">
    <x:tableColumn id="1" name="Route"/>
    <x:tableColumn id="2" name="Origin"/>
    <x:tableColumn id="3" name="Destination"/>
    <x:tableColumn id="4" name="Flights"/>
    <x:tableColumn id="5" name="Delay Rate"/>
    <x:tableColumn id="6" name="Cancellation Rate"/>
  </x:tableColumns>
  <x:tableStyleInfo name="TableStyleMedium2" showFirstColumn="0" showLastColumn="0" showRowStripes="1" showColumnStripes="0"/>
</x:table>
</file>

<file path=xl/tables/table7.xml><?xml version="1.0" encoding="utf-8"?>
<x:table xmlns:x="http://schemas.openxmlformats.org/spreadsheetml/2006/main" id="7" name="CancellationDiversion" displayName="CancellationDiversion" ref="N4:S210" headerRowCount="1" totalsRowCount="0" totalsRowShown="0">
  <x:autoFilter ref="N4:S210"/>
  <x:tableColumns count="6">
    <x:tableColumn id="1" name="Airport"/>
    <x:tableColumn id="2" name="City"/>
    <x:tableColumn id="3" name="State"/>
    <x:tableColumn id="4" name="Scheduled Flights"/>
    <x:tableColumn id="5" name="Cancellation Rate"/>
    <x:tableColumn id="6" name="Diversion Rat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8b1fc0ff2634762" /></Relationships>
</file>

<file path=xl/worksheets/_rels/sheet2.xml.rels>&#65279;<?xml version="1.0" encoding="utf-8"?><Relationships xmlns="http://schemas.openxmlformats.org/package/2006/relationships"><Relationship Type="http://schemas.openxmlformats.org/officeDocument/2006/relationships/drawing" Target="/xl/drawings/drawing2.xml" Id="R2772225a249a4801" /><Relationship Type="http://schemas.openxmlformats.org/officeDocument/2006/relationships/table" Target="/xl/tables/table1.xml" Id="Rcbd01ddcef0d4335" /><Relationship Type="http://schemas.openxmlformats.org/officeDocument/2006/relationships/pivotTable" Target="/xl/pivotTables/pivotTable.xml" Id="Rc598693fac8d478c" /></Relationships>
</file>

<file path=xl/worksheets/_rels/sheet3.xml.rels>&#65279;<?xml version="1.0" encoding="utf-8"?><Relationships xmlns="http://schemas.openxmlformats.org/package/2006/relationships"><Relationship Type="http://schemas.openxmlformats.org/officeDocument/2006/relationships/drawing" Target="/xl/drawings/drawing3.xml" Id="Rddef46d6413c435c" /><Relationship Type="http://schemas.openxmlformats.org/officeDocument/2006/relationships/table" Target="/xl/tables/table2.xml" Id="R7799928351914b4c" /><Relationship Type="http://schemas.openxmlformats.org/officeDocument/2006/relationships/table" Target="/xl/tables/table3.xml" Id="R52dd599f1ef847bb" /></Relationships>
</file>

<file path=xl/worksheets/_rels/sheet4.xml.rels>&#65279;<?xml version="1.0" encoding="utf-8"?><Relationships xmlns="http://schemas.openxmlformats.org/package/2006/relationships"><Relationship Type="http://schemas.openxmlformats.org/officeDocument/2006/relationships/drawing" Target="/xl/drawings/drawing4.xml" Id="R39a84b43426b42dc" /><Relationship Type="http://schemas.openxmlformats.org/officeDocument/2006/relationships/table" Target="/xl/tables/table4.xml" Id="Rc6e896703fef4dc9" /></Relationships>
</file>

<file path=xl/worksheets/_rels/sheet5.xml.rels>&#65279;<?xml version="1.0" encoding="utf-8"?><Relationships xmlns="http://schemas.openxmlformats.org/package/2006/relationships"><Relationship Type="http://schemas.openxmlformats.org/officeDocument/2006/relationships/drawing" Target="/xl/drawings/drawing5.xml" Id="R73680dc4b065407d" /><Relationship Type="http://schemas.openxmlformats.org/officeDocument/2006/relationships/table" Target="/xl/tables/table5.xml" Id="R0b5ce8143bb24075" /><Relationship Type="http://schemas.openxmlformats.org/officeDocument/2006/relationships/table" Target="/xl/tables/table6.xml" Id="R82d50ed5ab534216" /><Relationship Type="http://schemas.openxmlformats.org/officeDocument/2006/relationships/table" Target="/xl/tables/table7.xml" Id="Rc57b507516364991"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26" hidden="0" customWidth="1"/>
    <x:col min="3" max="3" width="30" hidden="0" customWidth="1"/>
    <x:col min="4" max="4" width="28" hidden="0" customWidth="1"/>
    <x:col min="5" max="5" width="12" hidden="0" customWidth="1"/>
    <x:col min="6" max="6" width="12" hidden="0" customWidth="1"/>
    <x:col min="7" max="7" width="3"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ht="30" customHeight="1">
      <x:c r="A1" s="4" t="str">
        <x:v>U.S. Airline Operations &amp; Delay Root-Cause Analytics</x:v>
      </x:c>
      <x:c r="B1" s="4"/>
      <x:c r="C1" s="4"/>
      <x:c r="D1" s="4"/>
      <x:c r="E1" s="4"/>
      <x:c r="F1" s="4"/>
      <x:c r="G1" s="4"/>
      <x:c r="H1" s="4"/>
      <x:c r="I1" s="4"/>
      <x:c r="J1" s="4"/>
      <x:c r="K1" s="4"/>
      <x:c r="L1" s="4"/>
      <x:c r="M1" s="4"/>
      <x:c r="N1" s="4"/>
    </x:row>
    <x:row r="2" ht="30" customHeight="1">
      <x:c r="A2" s="9" t="str">
        <x:v>Executive summary | BTS Reporting Carrier On-Time Performance | Complete 2023–2025 monthly files | 20.93M scheduled domestic-flight records</x:v>
      </x:c>
      <x:c r="B2" s="9"/>
      <x:c r="C2" s="9"/>
      <x:c r="D2" s="9"/>
      <x:c r="E2" s="9"/>
      <x:c r="F2" s="9"/>
      <x:c r="G2" s="9"/>
      <x:c r="H2" s="9"/>
      <x:c r="I2" s="9"/>
      <x:c r="J2" s="9"/>
      <x:c r="K2" s="9"/>
      <x:c r="L2" s="9"/>
      <x:c r="M2" s="9"/>
      <x:c r="N2" s="9"/>
    </x:row>
    <x:row r="4">
      <x:c r="A4" s="81" t="str">
        <x:v>Scheduled Flights</x:v>
      </x:c>
      <x:c r="B4" s="82"/>
      <x:c r="C4" s="83"/>
      <x:c r="D4" s="132" t="str">
        <x:v>On-Time Rate</x:v>
      </x:c>
      <x:c r="E4" s="133"/>
      <x:c r="F4" s="134"/>
      <x:c r="G4" s="173" t="str">
        <x:v>Arrival Delay Rate</x:v>
      </x:c>
      <x:c r="H4" s="174"/>
      <x:c r="I4" s="175"/>
      <x:c r="J4" s="187" t="str">
        <x:v>Cancellation Rate</x:v>
      </x:c>
      <x:c r="K4" s="188"/>
      <x:c r="L4" s="189"/>
    </x:row>
    <x:row r="5">
      <x:c r="A5" s="112" t="n">
        <x:f>SUM('Delay Trends'!D5:D40)</x:f>
        <x:v>20928579</x:v>
      </x:c>
      <x:c r="B5" s="113"/>
      <x:c r="C5" s="114"/>
      <x:c r="D5" s="153" t="n">
        <x:f>SUM('Delay Trends'!K5:K40)/SUM('Delay Trends'!E5:E40)</x:f>
        <x:v>0.7752053313442799</x:v>
      </x:c>
      <x:c r="E5" s="154"/>
      <x:c r="F5" s="155"/>
      <x:c r="G5" s="153" t="n">
        <x:f>SUM('Delay Trends'!L5:L40)/SUM('Delay Trends'!E5:E40)</x:f>
        <x:v>0.20860733310307775</x:v>
      </x:c>
      <x:c r="H5" s="154"/>
      <x:c r="I5" s="155"/>
      <x:c r="J5" s="153" t="n">
        <x:f>SUM('Delay Trends'!M5:M40)/SUM('Delay Trends'!D5:D40)</x:f>
        <x:v>0.01371970834713623</x:v>
      </x:c>
      <x:c r="K5" s="154"/>
      <x:c r="L5" s="155"/>
    </x:row>
    <x:row r="6">
      <x:c r="A6" s="115"/>
      <x:c r="B6" s="116"/>
      <x:c r="C6" s="117"/>
      <x:c r="D6" s="156"/>
      <x:c r="E6" s="157"/>
      <x:c r="F6" s="158"/>
      <x:c r="G6" s="156"/>
      <x:c r="H6" s="157"/>
      <x:c r="I6" s="158"/>
      <x:c r="J6" s="156"/>
      <x:c r="K6" s="157"/>
      <x:c r="L6" s="158"/>
    </x:row>
    <x:row r="7">
      <x:c r="A7" s="118"/>
      <x:c r="B7" s="119"/>
      <x:c r="C7" s="120"/>
      <x:c r="D7" s="159"/>
      <x:c r="E7" s="160"/>
      <x:c r="F7" s="161"/>
      <x:c r="G7" s="159"/>
      <x:c r="H7" s="160"/>
      <x:c r="I7" s="161"/>
      <x:c r="J7" s="159"/>
      <x:c r="K7" s="160"/>
      <x:c r="L7" s="161"/>
    </x:row>
    <x:row r="9">
      <x:c r="A9" s="191" t="str">
        <x:v>Operational findings</x:v>
      </x:c>
      <x:c r="B9" s="191"/>
      <x:c r="C9" s="191"/>
      <x:c r="D9" s="191"/>
      <x:c r="E9" s="191"/>
      <x:c r="F9" s="191"/>
    </x:row>
    <x:row r="10" ht="36" customHeight="1">
      <x:c r="A10" s="195" t="str">
        <x:v>2025 reliability</x:v>
      </x:c>
      <x:c r="B10" s="225" t="str">
        <x:v>On-time performance fell from 78.2% in 2023 to 76.3% in 2025 while the arrival-delay rate rose from 20.3% to 21.9%.</x:v>
      </x:c>
      <x:c r="C10" s="226"/>
      <x:c r="D10" s="226"/>
      <x:c r="E10" s="226"/>
      <x:c r="F10" s="227"/>
    </x:row>
    <x:row r="11" ht="36" customHeight="1">
      <x:c r="A11" s="198" t="str">
        <x:v>Later-day risk</x:v>
      </x:c>
      <x:c r="B11" s="228" t="str">
        <x:v>Evening flights had a 28.7% observed delay rate and afternoon flights 27.5%, versus 13.4% in the morning across the full period.</x:v>
      </x:c>
      <x:c r="C11" s="229"/>
      <x:c r="D11" s="229"/>
      <x:c r="E11" s="229"/>
      <x:c r="F11" s="230"/>
    </x:row>
    <x:row r="12" ht="36" customHeight="1">
      <x:c r="A12" s="198" t="str">
        <x:v>Delay propagation</x:v>
      </x:c>
      <x:c r="B12" s="228" t="str">
        <x:v>Late-aircraft delay was 39.2% of reported delay minutes in 2025, the largest reported category.</x:v>
      </x:c>
      <x:c r="C12" s="229"/>
      <x:c r="D12" s="229"/>
      <x:c r="E12" s="229"/>
      <x:c r="F12" s="230"/>
    </x:row>
    <x:row r="13" ht="36" customHeight="1">
      <x:c r="A13" s="200" t="str">
        <x:v>High-volume diagnostics</x:v>
      </x:c>
      <x:c r="B13" s="231" t="str">
        <x:v>FLL, MIA, DFW, MCO, and CLT have elevated observed delay rates after the 5,000-departure threshold; comparisons require route/season context.</x:v>
      </x:c>
      <x:c r="C13" s="232"/>
      <x:c r="D13" s="232"/>
      <x:c r="E13" s="232"/>
      <x:c r="F13" s="233"/>
    </x:row>
    <x:row r="15">
      <x:c r="A15" s="191" t="str">
        <x:v>Recommended operational focus (associational evidence, not causal claims)</x:v>
      </x:c>
      <x:c r="B15" s="191"/>
      <x:c r="C15" s="191"/>
      <x:c r="D15" s="191"/>
      <x:c r="E15" s="191"/>
      <x:c r="F15" s="191"/>
      <x:c r="G15" s="191"/>
      <x:c r="H15" s="191"/>
      <x:c r="I15" s="191"/>
      <x:c r="J15" s="191"/>
      <x:c r="K15" s="191"/>
      <x:c r="L15" s="191"/>
      <x:c r="M15" s="191"/>
      <x:c r="N15" s="191"/>
    </x:row>
    <x:row r="16" ht="26" customHeight="1">
      <x:c r="A16" s="46" t="str">
        <x:v>Recommendation</x:v>
      </x:c>
      <x:c r="B16" s="47" t="str">
        <x:v>Supporting finding</x:v>
      </x:c>
      <x:c r="C16" s="47" t="str">
        <x:v>Recommended action</x:v>
      </x:c>
      <x:c r="D16" s="48" t="str">
        <x:v>Limitation</x:v>
      </x:c>
    </x:row>
    <x:row r="17" ht="54" customHeight="1">
      <x:c r="A17" s="259" t="str">
        <x:v>Protect later-day operations</x:v>
      </x:c>
      <x:c r="B17" s="245" t="str">
        <x:v>Later-day observed delay rates are roughly double morning levels.</x:v>
      </x:c>
      <x:c r="C17" s="245" t="str">
        <x:v>Prioritize recovery buffers, turn-time monitoring, and constrained-airport playbooks for afternoon/evening banks.</x:v>
      </x:c>
      <x:c r="D17" s="246" t="str">
        <x:v>Time of day is correlated with route mix, weather, and schedule design.</x:v>
      </x:c>
    </x:row>
    <x:row r="18" ht="54" customHeight="1">
      <x:c r="A18" s="260" t="str">
        <x:v>Reduce delay propagation</x:v>
      </x:c>
      <x:c r="B18" s="248" t="str">
        <x:v>Late-aircraft delay was 39.2% of reported 2025 delay minutes.</x:v>
      </x:c>
      <x:c r="C18" s="248" t="str">
        <x:v>Review aircraft rotations, crew options, and connection-risk routes for recovery opportunities.</x:v>
      </x:c>
      <x:c r="D18" s="249" t="str">
        <x:v>Reported cause categories are operational classifications, not experiments.</x:v>
      </x:c>
    </x:row>
    <x:row r="19" ht="54" customHeight="1">
      <x:c r="A19" s="260" t="str">
        <x:v>Use thresholded airport reviews</x:v>
      </x:c>
      <x:c r="B19" s="248" t="str">
        <x:v>DFW and CLT combine high volume with elevated observed delay rates.</x:v>
      </x:c>
      <x:c r="C19" s="248" t="str">
        <x:v>Segment reviews by departure period, season, carrier, and route before allocating resources.</x:v>
      </x:c>
      <x:c r="D19" s="249" t="str">
        <x:v>Airport comparisons reflect traffic, weather, and route-mix differences.</x:v>
      </x:c>
    </x:row>
    <x:row r="20" ht="54" customHeight="1">
      <x:c r="A20" s="261" t="str">
        <x:v>Monitor cancellations separately</x:v>
      </x:c>
      <x:c r="B20" s="251" t="str">
        <x:v>ASE 6.61%; LGA 2.70%; EWR 2.61%; DCA 2.33% cancellation rates.</x:v>
      </x:c>
      <x:c r="C20" s="251" t="str">
        <x:v>Maintain separate cancellation/diversion controls alongside delay monitoring.</x:v>
      </x:c>
      <x:c r="D20" s="252" t="str">
        <x:v>Local weather, airport constraints, and airline schedules differ.</x:v>
      </x:c>
    </x:row>
  </x:sheetData>
  <x:mergeCells>
    <x:mergeCell ref="A1:N1"/>
    <x:mergeCell ref="A2:N2"/>
    <x:mergeCell ref="A4:C4"/>
    <x:mergeCell ref="A5:C7"/>
    <x:mergeCell ref="D4:F4"/>
    <x:mergeCell ref="D5:F7"/>
    <x:mergeCell ref="G4:I4"/>
    <x:mergeCell ref="G5:I7"/>
    <x:mergeCell ref="J4:L4"/>
    <x:mergeCell ref="J5:L7"/>
    <x:mergeCell ref="A9:F9"/>
    <x:mergeCell ref="B10:F10"/>
    <x:mergeCell ref="B11:F11"/>
    <x:mergeCell ref="B12:F12"/>
    <x:mergeCell ref="B13:F13"/>
    <x:mergeCell ref="A15:N15"/>
  </x:mergeCells>
  <x:pageMargins left="0.7" right="0.7" top="0.75" bottom="0.75" header="0.3" footer="0.3"/>
  <x:drawing xmlns:r="http://schemas.openxmlformats.org/officeDocument/2006/relationships" r:id="Rf8b1fc0ff2634762"/>
</x:worksheet>
</file>

<file path=xl/worksheets/sheet2.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9" hidden="0" customWidth="1"/>
    <x:col min="4" max="4" width="16" hidden="0" customWidth="1"/>
    <x:col min="5" max="5" width="16" hidden="0" customWidth="1"/>
    <x:col min="6" max="6" width="12" hidden="0" customWidth="1"/>
    <x:col min="7" max="7" width="15" hidden="0" customWidth="1"/>
    <x:col min="8" max="8" width="14" hidden="0" customWidth="1"/>
    <x:col min="9" max="9" width="12" hidden="0" customWidth="1"/>
    <x:col min="10" max="10" width="17" hidden="0" customWidth="1"/>
    <x:col min="11" max="11" width="17" hidden="0" customWidth="1"/>
    <x:col min="12" max="12" width="17" hidden="0" customWidth="1"/>
    <x:col min="13" max="13" width="18" hidden="0" customWidth="1"/>
    <x:col min="14" max="14" width="18" hidden="0" customWidth="1"/>
    <x:col min="16" max="16" width="10" hidden="0" customWidth="1"/>
    <x:col min="17" max="17" width="16" hidden="0" customWidth="1"/>
    <x:col min="18" max="18" width="16" hidden="0" customWidth="1"/>
    <x:col min="19" max="19" width="13" hidden="0" customWidth="1"/>
    <x:col min="20" max="20" width="16" hidden="0" customWidth="1"/>
    <x:col min="21" max="21" width="14" hidden="0" customWidth="1"/>
    <x:col min="22" max="22" width="13" hidden="0" customWidth="1"/>
  </x:cols>
  <x:sheetData>
    <x:row r="1" ht="30" customHeight="1">
      <x:c r="A1" s="4" t="str">
        <x:v>Delay Trends</x:v>
      </x:c>
      <x:c r="B1" s="4"/>
      <x:c r="C1" s="4"/>
      <x:c r="D1" s="4"/>
      <x:c r="E1" s="4"/>
      <x:c r="F1" s="4"/>
      <x:c r="G1" s="4"/>
      <x:c r="H1" s="4"/>
      <x:c r="I1" s="4"/>
      <x:c r="J1" s="4"/>
      <x:c r="K1" s="4"/>
      <x:c r="L1" s="4"/>
      <x:c r="M1" s="4"/>
      <x:c r="N1" s="4"/>
      <x:c r="O1" s="4"/>
      <x:c r="P1" s="4"/>
      <x:c r="Q1" s="4"/>
      <x:c r="R1" s="4"/>
      <x:c r="S1" s="4"/>
      <x:c r="T1" s="4"/>
      <x:c r="U1" s="4"/>
      <x:c r="V1" s="4"/>
    </x:row>
    <x:row r="2" ht="30" customHeight="1">
      <x:c r="A2" s="9" t="str">
        <x:v>Monthly BTS domestic operations, complete 2023–2025 files. Rates use operated, non-diverted flights unless otherwise noted.</x:v>
      </x:c>
      <x:c r="B2" s="9"/>
      <x:c r="C2" s="9"/>
      <x:c r="D2" s="9"/>
      <x:c r="E2" s="9"/>
      <x:c r="F2" s="9"/>
      <x:c r="G2" s="9"/>
      <x:c r="H2" s="9"/>
      <x:c r="I2" s="9"/>
      <x:c r="J2" s="9"/>
      <x:c r="K2" s="9"/>
      <x:c r="L2" s="9"/>
      <x:c r="M2" s="9"/>
      <x:c r="N2" s="9"/>
      <x:c r="O2" s="9"/>
      <x:c r="P2" s="9"/>
      <x:c r="Q2" s="9"/>
      <x:c r="R2" s="9"/>
      <x:c r="S2" s="9"/>
      <x:c r="T2" s="9"/>
      <x:c r="U2" s="9"/>
      <x:c r="V2" s="9"/>
    </x:row>
    <x:row r="4" ht="26" customHeight="1">
      <x:c r="A4" s="20" t="str">
        <x:v>Month</x:v>
      </x:c>
      <x:c r="B4" s="21" t="str">
        <x:v>Year</x:v>
      </x:c>
      <x:c r="C4" s="21" t="str">
        <x:v>Month #</x:v>
      </x:c>
      <x:c r="D4" s="21" t="str">
        <x:v>Scheduled Flights</x:v>
      </x:c>
      <x:c r="E4" s="21" t="str">
        <x:v>Operated Flights</x:v>
      </x:c>
      <x:c r="F4" s="21" t="str">
        <x:v>On-Time Rate</x:v>
      </x:c>
      <x:c r="G4" s="21" t="str">
        <x:v>Arrival Delay Rate</x:v>
      </x:c>
      <x:c r="H4" s="21" t="str">
        <x:v>Cancellation Rate</x:v>
      </x:c>
      <x:c r="I4" s="21" t="str">
        <x:v>Diversion Rate</x:v>
      </x:c>
      <x:c r="J4" s="21" t="str">
        <x:v>Avg Arrival Delay (min)</x:v>
      </x:c>
      <x:c r="K4" s="21" t="str">
        <x:v>On-Time Flights (calc)</x:v>
      </x:c>
      <x:c r="L4" s="21" t="str">
        <x:v>Delayed Flights (calc)</x:v>
      </x:c>
      <x:c r="M4" s="21" t="str">
        <x:v>Cancelled Flights (calc)</x:v>
      </x:c>
      <x:c r="N4" s="22" t="str">
        <x:v>Diverted Flights (calc)</x:v>
      </x:c>
      <x:c r="P4" s="46" t="str">
        <x:v>Year</x:v>
      </x:c>
      <x:c r="Q4" s="47" t="str">
        <x:v>Scheduled Flights</x:v>
      </x:c>
      <x:c r="R4" s="47" t="str">
        <x:v>Operated Flights</x:v>
      </x:c>
      <x:c r="S4" s="47" t="str">
        <x:v>On-Time Rate</x:v>
      </x:c>
      <x:c r="T4" s="47" t="str">
        <x:v>Arrival Delay Rate</x:v>
      </x:c>
      <x:c r="U4" s="47" t="str">
        <x:v>Cancellation Rate</x:v>
      </x:c>
      <x:c r="V4" s="48" t="str">
        <x:v>Diversion Rate</x:v>
      </x:c>
    </x:row>
    <x:row r="5">
      <x:c r="A5" s="26" t="str">
        <x:v>Jan 2023</x:v>
      </x:c>
      <x:c r="B5" s="27" t="n">
        <x:v>2023</x:v>
      </x:c>
      <x:c r="C5" s="27" t="n">
        <x:v>1</x:v>
      </x:c>
      <x:c r="D5" s="23" t="n">
        <x:v>538837</x:v>
      </x:c>
      <x:c r="E5" s="23" t="n">
        <x:v>527197</x:v>
      </x:c>
      <x:c r="F5" s="24" t="n">
        <x:v>0.7617962389368214</x:v>
      </x:c>
      <x:c r="G5" s="24" t="n">
        <x:v>0.2166016810278433</x:v>
      </x:c>
      <x:c r="H5" s="24" t="n">
        <x:v>0.01910596339894996</x:v>
      </x:c>
      <x:c r="I5" s="24" t="n">
        <x:v>0.0024961166363854006</x:v>
      </x:c>
      <x:c r="J5" s="25" t="n">
        <x:v>7.776392885391989</x:v>
      </x:c>
      <x:c r="K5" s="23" t="n">
        <x:f>E5*F5</x:f>
        <x:v>401616.6917787754</x:v>
      </x:c>
      <x:c r="L5" s="23" t="n">
        <x:f>E5*G5</x:f>
        <x:v>114191.7564328359</x:v>
      </x:c>
      <x:c r="M5" s="23" t="n">
        <x:f>D5*H5</x:f>
        <x:v>10295</x:v>
      </x:c>
      <x:c r="N5" s="28" t="n">
        <x:f>D5*I5</x:f>
        <x:v>1345</x:v>
      </x:c>
      <x:c r="P5" s="26" t="n">
        <x:v>2023</x:v>
      </x:c>
      <x:c r="Q5" s="23" t="n">
        <x:f>SUMIFS($D$5:$D$40,$B$5:$B$40,$P5)</x:f>
        <x:v>6847899</x:v>
      </x:c>
      <x:c r="R5" s="23" t="n">
        <x:f>SUMIFS($E$5:$E$40,$B$5:$B$40,$P5)</x:f>
        <x:v>6743404</x:v>
      </x:c>
      <x:c r="S5" s="24" t="n">
        <x:f>SUMIFS($K$5:$K$40,$B$5:$B$40,$P5)/R5</x:f>
        <x:v>0.7826203020929228</x:v>
      </x:c>
      <x:c r="T5" s="24" t="n">
        <x:f>SUMIFS($L$5:$L$40,$B$5:$B$40,$P5)/R5</x:f>
        <x:v>0.20218527665552058</x:v>
      </x:c>
      <x:c r="U5" s="24" t="n">
        <x:f>SUMIFS($M$5:$M$40,$B$5:$B$40,$P5)/Q5</x:f>
        <x:v>0.012842333100999298</x:v>
      </x:c>
      <x:c r="V5" s="49" t="n">
        <x:f>SUMIFS($N$5:$N$40,$B$5:$B$40,$P5)/Q5</x:f>
        <x:v>0.0024170917240455797</x:v>
      </x:c>
    </x:row>
    <x:row r="6">
      <x:c r="A6" s="26" t="str">
        <x:v>Feb 2023</x:v>
      </x:c>
      <x:c r="B6" s="27" t="n">
        <x:v>2023</x:v>
      </x:c>
      <x:c r="C6" s="27" t="n">
        <x:v>2</x:v>
      </x:c>
      <x:c r="D6" s="23" t="n">
        <x:v>502749</x:v>
      </x:c>
      <x:c r="E6" s="23" t="n">
        <x:v>492747</x:v>
      </x:c>
      <x:c r="F6" s="24" t="n">
        <x:v>0.7951840779394886</x:v>
      </x:c>
      <x:c r="G6" s="24" t="n">
        <x:v>0.18492130267787704</x:v>
      </x:c>
      <x:c r="H6" s="24" t="n">
        <x:v>0.01793936934732839</x:v>
      </x:c>
      <x:c r="I6" s="24" t="n">
        <x:v>0.0019552500353058884</x:v>
      </x:c>
      <x:c r="J6" s="25" t="n">
        <x:v>4.141987673187255</x:v>
      </x:c>
      <x:c r="K6" s="23" t="n">
        <x:f>E6*F6</x:f>
        <x:v>391824.5688524492</x:v>
      </x:c>
      <x:c r="L6" s="23" t="n">
        <x:f>E6*G6</x:f>
        <x:v>91119.41713061588</x:v>
      </x:c>
      <x:c r="M6" s="23" t="n">
        <x:f>D6*H6</x:f>
        <x:v>9019</x:v>
      </x:c>
      <x:c r="N6" s="28" t="n">
        <x:f>D6*I6</x:f>
        <x:v>983.0000000000001</x:v>
      </x:c>
      <x:c r="P6" s="26" t="n">
        <x:v>2024</x:v>
      </x:c>
      <x:c r="Q6" s="23" t="n">
        <x:f>SUMIFS($D$5:$D$40,$B$5:$B$40,$P6)</x:f>
        <x:v>7079061</x:v>
      </x:c>
      <x:c r="R6" s="23" t="n">
        <x:f>SUMIFS($E$5:$E$40,$B$5:$B$40,$P6)</x:f>
        <x:v>6965247</x:v>
      </x:c>
      <x:c r="S6" s="24" t="n">
        <x:f>SUMIFS($K$5:$K$40,$B$5:$B$40,$P6)/R6</x:f>
        <x:v>0.779551822821047</x:v>
      </x:c>
      <x:c r="T6" s="24" t="n">
        <x:f>SUMIFS($L$5:$L$40,$B$5:$B$40,$P6)/R6</x:f>
        <x:v>0.2044776576628569</x:v>
      </x:c>
      <x:c r="U6" s="24" t="n">
        <x:f>SUMIFS($M$5:$M$40,$B$5:$B$40,$P6)/Q6</x:f>
        <x:v>0.013605618033239154</x:v>
      </x:c>
      <x:c r="V6" s="49" t="n">
        <x:f>SUMIFS($N$5:$N$40,$B$5:$B$40,$P6)/Q6</x:f>
        <x:v>0.002471938015507989</x:v>
      </x:c>
    </x:row>
    <x:row r="7">
      <x:c r="A7" s="26" t="str">
        <x:v>Mar 2023</x:v>
      </x:c>
      <x:c r="B7" s="27" t="n">
        <x:v>2023</x:v>
      </x:c>
      <x:c r="C7" s="27" t="n">
        <x:v>3</x:v>
      </x:c>
      <x:c r="D7" s="23" t="n">
        <x:v>580322</x:v>
      </x:c>
      <x:c r="E7" s="23" t="n">
        <x:v>571533</x:v>
      </x:c>
      <x:c r="F7" s="24" t="n">
        <x:v>0.7504264873639117</x:v>
      </x:c>
      <x:c r="G7" s="24" t="n">
        <x:v>0.23442847246873288</x:v>
      </x:c>
      <x:c r="H7" s="24" t="n">
        <x:v>0.012761880473254503</x:v>
      </x:c>
      <x:c r="I7" s="24" t="n">
        <x:v>0.002383159694100861</x:v>
      </x:c>
      <x:c r="J7" s="25" t="n">
        <x:v>9.069906724546088</x:v>
      </x:c>
      <x:c r="K7" s="23" t="n">
        <x:f>E7*F7</x:f>
        <x:v>428893.50160255854</x:v>
      </x:c>
      <x:c r="L7" s="23" t="n">
        <x:f>E7*G7</x:f>
        <x:v>133983.60815547232</x:v>
      </x:c>
      <x:c r="M7" s="23" t="n">
        <x:f>D7*H7</x:f>
        <x:v>7406</x:v>
      </x:c>
      <x:c r="N7" s="28" t="n">
        <x:f>D7*I7</x:f>
        <x:v>1383</x:v>
      </x:c>
      <x:c r="P7" s="29" t="n">
        <x:v>2025</x:v>
      </x:c>
      <x:c r="Q7" s="31" t="n">
        <x:f>SUMIFS($D$5:$D$40,$B$5:$B$40,$P7)</x:f>
        <x:v>7001619</x:v>
      </x:c>
      <x:c r="R7" s="31" t="n">
        <x:f>SUMIFS($E$5:$E$40,$B$5:$B$40,$P7)</x:f>
        <x:v>6879485</x:v>
      </x:c>
      <x:c r="S7" s="32" t="n">
        <x:f>SUMIFS($K$5:$K$40,$B$5:$B$40,$P7)/R7</x:f>
        <x:v>0.7635363575583994</x:v>
      </x:c>
      <x:c r="T7" s="32" t="n">
        <x:f>SUMIFS($L$5:$L$40,$B$5:$B$40,$P7)/R7</x:f>
        <x:v>0.21908351418460573</x:v>
      </x:c>
      <x:c r="U7" s="32" t="n">
        <x:f>SUMIFS($M$5:$M$40,$B$5:$B$40,$P7)/Q7</x:f>
        <x:v>0.01469317310753413</x:v>
      </x:c>
      <x:c r="V7" s="50" t="n">
        <x:f>SUMIFS($N$5:$N$40,$B$5:$B$40,$P7)/Q7</x:f>
        <x:v>0.0027505067042351205</x:v>
      </x:c>
    </x:row>
    <x:row r="8">
      <x:c r="A8" s="26" t="str">
        <x:v>Apr 2023</x:v>
      </x:c>
      <x:c r="B8" s="27" t="n">
        <x:v>2023</x:v>
      </x:c>
      <x:c r="C8" s="27" t="n">
        <x:v>4</x:v>
      </x:c>
      <x:c r="D8" s="23" t="n">
        <x:v>561441</x:v>
      </x:c>
      <x:c r="E8" s="23" t="n">
        <x:v>550249</x:v>
      </x:c>
      <x:c r="F8" s="24" t="n">
        <x:v>0.7558532419256877</x:v>
      </x:c>
      <x:c r="G8" s="24" t="n">
        <x:v>0.2242123393197148</x:v>
      </x:c>
      <x:c r="H8" s="24" t="n">
        <x:v>0.017079265675289123</x:v>
      </x:c>
      <x:c r="I8" s="24" t="n">
        <x:v>0.0028551530793084223</x:v>
      </x:c>
      <x:c r="J8" s="25" t="n">
        <x:v>9.112959769122707</x:v>
      </x:c>
      <x:c r="K8" s="23" t="n">
        <x:f>E8*F8</x:f>
        <x:v>415907.4905163677</x:v>
      </x:c>
      <x:c r="L8" s="23" t="n">
        <x:f>E8*G8</x:f>
        <x:v>123372.61549833375</x:v>
      </x:c>
      <x:c r="M8" s="23" t="n">
        <x:f>D8*H8</x:f>
        <x:v>9589</x:v>
      </x:c>
      <x:c r="N8" s="28" t="n">
        <x:f>D8*I8</x:f>
        <x:v>1603</x:v>
      </x:c>
    </x:row>
    <x:row r="9">
      <x:c r="A9" s="26" t="str">
        <x:v>May 2023</x:v>
      </x:c>
      <x:c r="B9" s="27" t="n">
        <x:v>2023</x:v>
      </x:c>
      <x:c r="C9" s="27" t="n">
        <x:v>5</x:v>
      </x:c>
      <x:c r="D9" s="23" t="n">
        <x:v>579958</x:v>
      </x:c>
      <x:c r="E9" s="23" t="n">
        <x:v>575430</x:v>
      </x:c>
      <x:c r="F9" s="24" t="n">
        <x:v>0.8126640204980361</x:v>
      </x:c>
      <x:c r="G9" s="24" t="n">
        <x:v>0.17952851758230767</x:v>
      </x:c>
      <x:c r="H9" s="24" t="n">
        <x:v>0.005707309839678046</x:v>
      </x:c>
      <x:c r="I9" s="24" t="n">
        <x:v>0.002100152079978205</x:v>
      </x:c>
      <x:c r="J9" s="25" t="n">
        <x:v>3.8132541112804534</x:v>
      </x:c>
      <x:c r="K9" s="23" t="n">
        <x:f>E9*F9</x:f>
        <x:v>467631.2573151849</x:v>
      </x:c>
      <x:c r="L9" s="23" t="n">
        <x:f>E9*G9</x:f>
        <x:v>103306.0948723873</x:v>
      </x:c>
      <x:c r="M9" s="23" t="n">
        <x:f>D9*H9</x:f>
        <x:v>3310</x:v>
      </x:c>
      <x:c r="N9" s="28" t="n">
        <x:f>D9*I9</x:f>
        <x:v>1218</x:v>
      </x:c>
      <x:c r="P9" s="65" t="str">
        <x:v>Interpretation: 2025 on-time performance was lower and delay/cancellation rates were higher than in 2023. Use airport, route, season, and departure-period cuts before attributing performance differences to any single operator.</x:v>
      </x:c>
      <x:c r="Q9" s="66"/>
      <x:c r="R9" s="66"/>
      <x:c r="S9" s="66"/>
      <x:c r="T9" s="66"/>
      <x:c r="U9" s="66"/>
      <x:c r="V9" s="67"/>
    </x:row>
    <x:row r="10">
      <x:c r="A10" s="26" t="str">
        <x:v>Jun 2023</x:v>
      </x:c>
      <x:c r="B10" s="27" t="n">
        <x:v>2023</x:v>
      </x:c>
      <x:c r="C10" s="27" t="n">
        <x:v>6</x:v>
      </x:c>
      <x:c r="D10" s="23" t="n">
        <x:v>577262</x:v>
      </x:c>
      <x:c r="E10" s="23" t="n">
        <x:v>562804</x:v>
      </x:c>
      <x:c r="F10" s="24" t="n">
        <x:v>0.711177939999515</x:v>
      </x:c>
      <x:c r="G10" s="24" t="n">
        <x:v>0.2637762402513936</x:v>
      </x:c>
      <x:c r="H10" s="24" t="n">
        <x:v>0.021167164996136936</x:v>
      </x:c>
      <x:c r="I10" s="24" t="n">
        <x:v>0.0038786547529544644</x:v>
      </x:c>
      <x:c r="J10" s="25" t="n">
        <x:v>14.40579846625113</x:v>
      </x:c>
      <x:c r="K10" s="23" t="n">
        <x:f>E10*F10</x:f>
        <x:v>400253.789343487</x:v>
      </x:c>
      <x:c r="L10" s="23" t="n">
        <x:f>E10*G10</x:f>
        <x:v>148454.32311844535</x:v>
      </x:c>
      <x:c r="M10" s="23" t="n">
        <x:f>D10*H10</x:f>
        <x:v>12219</x:v>
      </x:c>
      <x:c r="N10" s="28" t="n">
        <x:f>D10*I10</x:f>
        <x:v>2239</x:v>
      </x:c>
      <x:c r="P10" s="68"/>
      <x:c r="Q10" s="69"/>
      <x:c r="R10" s="69"/>
      <x:c r="S10" s="69"/>
      <x:c r="T10" s="69"/>
      <x:c r="U10" s="69"/>
      <x:c r="V10" s="70"/>
    </x:row>
    <x:row r="11">
      <x:c r="A11" s="26" t="str">
        <x:v>Jul 2023</x:v>
      </x:c>
      <x:c r="B11" s="27" t="n">
        <x:v>2023</x:v>
      </x:c>
      <x:c r="C11" s="27" t="n">
        <x:v>7</x:v>
      </x:c>
      <x:c r="D11" s="23" t="n">
        <x:v>601866</x:v>
      </x:c>
      <x:c r="E11" s="23" t="n">
        <x:v>585058</x:v>
      </x:c>
      <x:c r="F11" s="24" t="n">
        <x:v>0.694470197685199</x:v>
      </x:c>
      <x:c r="G11" s="24" t="n">
        <x:v>0.277603320340408</x:v>
      </x:c>
      <x:c r="H11" s="24" t="n">
        <x:v>0.02426786028783816</x:v>
      </x:c>
      <x:c r="I11" s="24" t="n">
        <x:v>0.0036586216865548147</x:v>
      </x:c>
      <x:c r="J11" s="25" t="n">
        <x:v>16.64182525493199</x:v>
      </x:c>
      <x:c r="K11" s="23" t="n">
        <x:f>E11*F11</x:f>
        <x:v>406305.34491730714</x:v>
      </x:c>
      <x:c r="L11" s="23" t="n">
        <x:f>E11*G11</x:f>
        <x:v>162414.04339171844</x:v>
      </x:c>
      <x:c r="M11" s="23" t="n">
        <x:f>D11*H11</x:f>
        <x:v>14606.000000000002</x:v>
      </x:c>
      <x:c r="N11" s="28" t="n">
        <x:f>D11*I11</x:f>
        <x:v>2202</x:v>
      </x:c>
    </x:row>
    <x:row r="12">
      <x:c r="A12" s="26" t="str">
        <x:v>Aug 2023</x:v>
      </x:c>
      <x:c r="B12" s="27" t="n">
        <x:v>2023</x:v>
      </x:c>
      <x:c r="C12" s="27" t="n">
        <x:v>8</x:v>
      </x:c>
      <x:c r="D12" s="23" t="n">
        <x:v>602987</x:v>
      </x:c>
      <x:c r="E12" s="23" t="n">
        <x:v>592142</x:v>
      </x:c>
      <x:c r="F12" s="24" t="n">
        <x:v>0.7690099454880454</x:v>
      </x:c>
      <x:c r="G12" s="24" t="n">
        <x:v>0.21300459213880232</x:v>
      </x:c>
      <x:c r="H12" s="24" t="n">
        <x:v>0.015210941529419373</x:v>
      </x:c>
      <x:c r="I12" s="24" t="n">
        <x:v>0.0027745208437329493</x:v>
      </x:c>
      <x:c r="J12" s="25" t="n">
        <x:v>8.440266017272885</x:v>
      </x:c>
      <x:c r="K12" s="23" t="n">
        <x:f>E12*F12</x:f>
        <x:v>455363.08714118216</x:v>
      </x:c>
      <x:c r="L12" s="23" t="n">
        <x:f>E12*G12</x:f>
        <x:v>126128.96519825468</x:v>
      </x:c>
      <x:c r="M12" s="23" t="n">
        <x:f>D12*H12</x:f>
        <x:v>9172</x:v>
      </x:c>
      <x:c r="N12" s="28" t="n">
        <x:f>D12*I12</x:f>
        <x:v>1673</x:v>
      </x:c>
      <x:c r="P12" t="str">
        <x:v>Row Labels</x:v>
      </x:c>
      <x:c r="Q12" t="str">
        <x:v>Sum of Scheduled Flights</x:v>
      </x:c>
    </x:row>
    <x:row r="13">
      <x:c r="A13" s="26" t="str">
        <x:v>Sep 2023</x:v>
      </x:c>
      <x:c r="B13" s="27" t="n">
        <x:v>2023</x:v>
      </x:c>
      <x:c r="C13" s="27" t="n">
        <x:v>9</x:v>
      </x:c>
      <x:c r="D13" s="23" t="n">
        <x:v>569338</x:v>
      </x:c>
      <x:c r="E13" s="23" t="n">
        <x:v>560887</x:v>
      </x:c>
      <x:c r="F13" s="24" t="n">
        <x:v>0.801260411214428</x:v>
      </x:c>
      <x:c r="G13" s="24" t="n">
        <x:v>0.18389603363906853</x:v>
      </x:c>
      <x:c r="H13" s="24" t="n">
        <x:v>0.012396853889956405</x:v>
      </x:c>
      <x:c r="I13" s="24" t="n">
        <x:v>0.0024467012565470773</x:v>
      </x:c>
      <x:c r="J13" s="25" t="n">
        <x:v>5.393974187314022</x:v>
      </x:c>
      <x:c r="K13" s="23" t="n">
        <x:f>E13*F13</x:f>
        <x:v>449416.5482648269</x:v>
      </x:c>
      <x:c r="L13" s="23" t="n">
        <x:f>E13*G13</x:f>
        <x:v>103144.89461971623</x:v>
      </x:c>
      <x:c r="M13" s="23" t="n">
        <x:f>D13*H13</x:f>
        <x:v>7058</x:v>
      </x:c>
      <x:c r="N13" s="28" t="n">
        <x:f>D13*I13</x:f>
        <x:v>1393</x:v>
      </x:c>
      <x:c r="P13" t="str">
        <x:v>2023</x:v>
      </x:c>
      <x:c r="Q13" s="23" t="n">
        <x:v>6847899</x:v>
      </x:c>
    </x:row>
    <x:row r="14">
      <x:c r="A14" s="26" t="str">
        <x:v>Oct 2023</x:v>
      </x:c>
      <x:c r="B14" s="27" t="n">
        <x:v>2023</x:v>
      </x:c>
      <x:c r="C14" s="27" t="n">
        <x:v>10</x:v>
      </x:c>
      <x:c r="D14" s="23" t="n">
        <x:v>598968</x:v>
      </x:c>
      <x:c r="E14" s="23" t="n">
        <x:v>596003</x:v>
      </x:c>
      <x:c r="F14" s="24" t="n">
        <x:v>0.8398078027540703</x:v>
      </x:c>
      <x:c r="G14" s="24" t="n">
        <x:v>0.15524201626798093</x:v>
      </x:c>
      <x:c r="H14" s="24" t="n">
        <x:v>0.0035728119031400675</x:v>
      </x:c>
      <x:c r="I14" s="24" t="n">
        <x:v>0.001377369074808671</x:v>
      </x:c>
      <x:c r="J14" s="25" t="n">
        <x:v>1.1862557738803328</x:v>
      </x:c>
      <x:c r="K14" s="23" t="n">
        <x:f>E14*F14</x:f>
        <x:v>500527.96986483416</x:v>
      </x:c>
      <x:c r="L14" s="23" t="n">
        <x:f>E14*G14</x:f>
        <x:v>92524.70742176543</x:v>
      </x:c>
      <x:c r="M14" s="23" t="n">
        <x:f>D14*H14</x:f>
        <x:v>2140</x:v>
      </x:c>
      <x:c r="N14" s="28" t="n">
        <x:f>D14*I14</x:f>
        <x:v>825.0000000000001</x:v>
      </x:c>
      <x:c r="P14" t="str">
        <x:v>2024</x:v>
      </x:c>
      <x:c r="Q14" s="23" t="n">
        <x:v>7079061</x:v>
      </x:c>
    </x:row>
    <x:row r="15">
      <x:c r="A15" s="26" t="str">
        <x:v>Nov 2023</x:v>
      </x:c>
      <x:c r="B15" s="27" t="n">
        <x:v>2023</x:v>
      </x:c>
      <x:c r="C15" s="27" t="n">
        <x:v>11</x:v>
      </x:c>
      <x:c r="D15" s="23" t="n">
        <x:v>563777</x:v>
      </x:c>
      <x:c r="E15" s="23" t="n">
        <x:v>562413</x:v>
      </x:c>
      <x:c r="F15" s="24" t="n">
        <x:v>0.8621582647039521</x:v>
      </x:c>
      <x:c r="G15" s="24" t="n">
        <x:v>0.13542233897445266</x:v>
      </x:c>
      <x:c r="H15" s="24" t="n">
        <x:v>0.0014527020435384913</x:v>
      </x:c>
      <x:c r="I15" s="24" t="n">
        <x:v>0.0009666942780567494</x:v>
      </x:c>
      <x:c r="J15" s="25" t="n">
        <x:v>-1.2563383136591793</x:v>
      </x:c>
      <x:c r="K15" s="23" t="n">
        <x:f>E15*F15</x:f>
        <x:v>484889.0161269438</x:v>
      </x:c>
      <x:c r="L15" s="23" t="n">
        <x:f>E15*G15</x:f>
        <x:v>76163.28392963884</x:v>
      </x:c>
      <x:c r="M15" s="23" t="n">
        <x:f>D15*H15</x:f>
        <x:v>819</x:v>
      </x:c>
      <x:c r="N15" s="28" t="n">
        <x:f>D15*I15</x:f>
        <x:v>545</x:v>
      </x:c>
      <x:c r="P15" t="str">
        <x:v>2025</x:v>
      </x:c>
      <x:c r="Q15" s="23" t="n">
        <x:v>7001619</x:v>
      </x:c>
    </x:row>
    <x:row r="16">
      <x:c r="A16" s="26" t="str">
        <x:v>Dec 2023</x:v>
      </x:c>
      <x:c r="B16" s="27" t="n">
        <x:v>2023</x:v>
      </x:c>
      <x:c r="C16" s="27" t="n">
        <x:v>12</x:v>
      </x:c>
      <x:c r="D16" s="23" t="n">
        <x:v>570394</x:v>
      </x:c>
      <x:c r="E16" s="23" t="n">
        <x:v>566941</x:v>
      </x:c>
      <x:c r="F16" s="24" t="n">
        <x:v>0.8376455572814581</x:v>
      </x:c>
      <x:c r="G16" s="24" t="n">
        <x:v>0.15630073247614806</x:v>
      </x:c>
      <x:c r="H16" s="24" t="n">
        <x:v>0.004049832221236549</x:v>
      </x:c>
      <x:c r="I16" s="24" t="n">
        <x:v>0.0020038780211573052</x:v>
      </x:c>
      <x:c r="J16" s="25" t="n">
        <x:v>0.5093316588498626</x:v>
      </x:c>
      <x:c r="K16" s="23" t="n">
        <x:f>E16*F16</x:f>
        <x:v>474895.6098907071</x:v>
      </x:c>
      <x:c r="L16" s="23" t="n">
        <x:f>E16*G16</x:f>
        <x:v>88613.29357075987</x:v>
      </x:c>
      <x:c r="M16" s="23" t="n">
        <x:f>D16*H16</x:f>
        <x:v>2310</x:v>
      </x:c>
      <x:c r="N16" s="28" t="n">
        <x:f>D16*I16</x:f>
        <x:v>1143</x:v>
      </x:c>
      <x:c r="P16" t="str">
        <x:v>Grand Total</x:v>
      </x:c>
      <x:c r="Q16" s="23" t="n">
        <x:v>20928579</x:v>
      </x:c>
    </x:row>
    <x:row r="17">
      <x:c r="A17" s="26" t="str">
        <x:v>Jan 2024</x:v>
      </x:c>
      <x:c r="B17" s="27" t="n">
        <x:v>2024</x:v>
      </x:c>
      <x:c r="C17" s="27" t="n">
        <x:v>1</x:v>
      </x:c>
      <x:c r="D17" s="23" t="n">
        <x:v>547271</x:v>
      </x:c>
      <x:c r="E17" s="23" t="n">
        <x:v>525370</x:v>
      </x:c>
      <x:c r="F17" s="24" t="n">
        <x:v>0.7289989785682048</x:v>
      </x:c>
      <x:c r="G17" s="24" t="n">
        <x:v>0.2309824565891487</x:v>
      </x:c>
      <x:c r="H17" s="24" t="n">
        <x:v>0.03725576542517327</x:v>
      </x:c>
      <x:c r="I17" s="24" t="n">
        <x:v>0.0027627994174732446</x:v>
      </x:c>
      <x:c r="J17" s="25" t="n">
        <x:v>10.3522983801892</x:v>
      </x:c>
      <x:c r="K17" s="23" t="n">
        <x:f>E17*F17</x:f>
        <x:v>382994.19337037776</x:v>
      </x:c>
      <x:c r="L17" s="23" t="n">
        <x:f>E17*G17</x:f>
        <x:v>121351.25321824105</x:v>
      </x:c>
      <x:c r="M17" s="23" t="n">
        <x:f>D17*H17</x:f>
        <x:v>20389</x:v>
      </x:c>
      <x:c r="N17" s="28" t="n">
        <x:f>D17*I17</x:f>
        <x:v>1512</x:v>
      </x:c>
    </x:row>
    <x:row r="18">
      <x:c r="A18" s="26" t="str">
        <x:v>Feb 2024</x:v>
      </x:c>
      <x:c r="B18" s="27" t="n">
        <x:v>2024</x:v>
      </x:c>
      <x:c r="C18" s="27" t="n">
        <x:v>2</x:v>
      </x:c>
      <x:c r="D18" s="23" t="n">
        <x:v>519221</x:v>
      </x:c>
      <x:c r="E18" s="23" t="n">
        <x:v>515269</x:v>
      </x:c>
      <x:c r="F18" s="24" t="n">
        <x:v>0.8343903655668781</x:v>
      </x:c>
      <x:c r="G18" s="24" t="n">
        <x:v>0.1579982319667348</x:v>
      </x:c>
      <x:c r="H18" s="24" t="n">
        <x:v>0.005781738411967158</x:v>
      </x:c>
      <x:c r="I18" s="24" t="n">
        <x:v>0.001829664054419987</x:v>
      </x:c>
      <x:c r="J18" s="25" t="n">
        <x:v>0.5934550690998294</x:v>
      </x:c>
      <x:c r="K18" s="23" t="n">
        <x:f>E18*F18</x:f>
        <x:v>429935.4892752797</x:v>
      </x:c>
      <x:c r="L18" s="23" t="n">
        <x:f>E18*G18</x:f>
        <x:v>81411.59098726747</x:v>
      </x:c>
      <x:c r="M18" s="23" t="n">
        <x:f>D18*H18</x:f>
        <x:v>3002</x:v>
      </x:c>
      <x:c r="N18" s="28" t="n">
        <x:f>D18*I18</x:f>
        <x:v>950</x:v>
      </x:c>
    </x:row>
    <x:row r="19">
      <x:c r="A19" s="26" t="str">
        <x:v>Mar 2024</x:v>
      </x:c>
      <x:c r="B19" s="27" t="n">
        <x:v>2024</x:v>
      </x:c>
      <x:c r="C19" s="27" t="n">
        <x:v>3</x:v>
      </x:c>
      <x:c r="D19" s="23" t="n">
        <x:v>591767</x:v>
      </x:c>
      <x:c r="E19" s="23" t="n">
        <x:v>585413</x:v>
      </x:c>
      <x:c r="F19" s="24" t="n">
        <x:v>0.783046367911695</x:v>
      </x:c>
      <x:c r="G19" s="24" t="n">
        <x:v>0.20621629796862617</x:v>
      </x:c>
      <x:c r="H19" s="24" t="n">
        <x:v>0.008652053933389324</x:v>
      </x:c>
      <x:c r="I19" s="24" t="n">
        <x:v>0.0020852801862895364</x:v>
      </x:c>
      <x:c r="J19" s="25" t="n">
        <x:v>6.504476326969165</x:v>
      </x:c>
      <x:c r="K19" s="23" t="n">
        <x:f>E19*F19</x:f>
        <x:v>458405.52337828913</x:v>
      </x:c>
      <x:c r="L19" s="23" t="n">
        <x:f>E19*G19</x:f>
        <x:v>120721.70164270735</x:v>
      </x:c>
      <x:c r="M19" s="23" t="n">
        <x:f>D19*H19</x:f>
        <x:v>5120</x:v>
      </x:c>
      <x:c r="N19" s="28" t="n">
        <x:f>D19*I19</x:f>
        <x:v>1234</x:v>
      </x:c>
    </x:row>
    <x:row r="20">
      <x:c r="A20" s="26" t="str">
        <x:v>Apr 2024</x:v>
      </x:c>
      <x:c r="B20" s="27" t="n">
        <x:v>2024</x:v>
      </x:c>
      <x:c r="C20" s="27" t="n">
        <x:v>4</x:v>
      </x:c>
      <x:c r="D20" s="23" t="n">
        <x:v>582185</x:v>
      </x:c>
      <x:c r="E20" s="23" t="n">
        <x:v>576915</x:v>
      </x:c>
      <x:c r="F20" s="24" t="n">
        <x:v>0.8020938361517387</x:v>
      </x:c>
      <x:c r="G20" s="24" t="n">
        <x:v>0.18885405841785688</x:v>
      </x:c>
      <x:c r="H20" s="24" t="n">
        <x:v>0.0069307866056322305</x:v>
      </x:c>
      <x:c r="I20" s="24" t="n">
        <x:v>0.002121318824772194</x:v>
      </x:c>
      <x:c r="J20" s="25" t="n">
        <x:v>5.3605435809434665</x:v>
      </x:c>
      <x:c r="K20" s="23" t="n">
        <x:f>E20*F20</x:f>
        <x:v>462739.9654834803</x:v>
      </x:c>
      <x:c r="L20" s="23" t="n">
        <x:f>E20*G20</x:f>
        <x:v>108952.7391121379</x:v>
      </x:c>
      <x:c r="M20" s="23" t="n">
        <x:f>D20*H20</x:f>
        <x:v>4035</x:v>
      </x:c>
      <x:c r="N20" s="28" t="n">
        <x:f>D20*I20</x:f>
        <x:v>1234.9999999999998</x:v>
      </x:c>
    </x:row>
    <x:row r="21">
      <x:c r="A21" s="26" t="str">
        <x:v>May 2024</x:v>
      </x:c>
      <x:c r="B21" s="27" t="n">
        <x:v>2024</x:v>
      </x:c>
      <x:c r="C21" s="27" t="n">
        <x:v>5</x:v>
      </x:c>
      <x:c r="D21" s="23" t="n">
        <x:v>609743</x:v>
      </x:c>
      <x:c r="E21" s="23" t="n">
        <x:v>599226</x:v>
      </x:c>
      <x:c r="F21" s="24" t="n">
        <x:v>0.7231735337675054</x:v>
      </x:c>
      <x:c r="G21" s="24" t="n">
        <x:v>0.2595782157400741</x:v>
      </x:c>
      <x:c r="H21" s="24" t="n">
        <x:v>0.013520450419275005</x:v>
      </x:c>
      <x:c r="I21" s="24" t="n">
        <x:v>0.003727800073145571</x:v>
      </x:c>
      <x:c r="J21" s="25" t="n">
        <x:v>14.049410406090523</x:v>
      </x:c>
      <x:c r="K21" s="23" t="n">
        <x:f>E21*F21</x:f>
        <x:v>433344.3839453672</x:v>
      </x:c>
      <x:c r="L21" s="23" t="n">
        <x:f>E21*G21</x:f>
        <x:v>155546.01590506165</x:v>
      </x:c>
      <x:c r="M21" s="23" t="n">
        <x:f>D21*H21</x:f>
        <x:v>8244</x:v>
      </x:c>
      <x:c r="N21" s="28" t="n">
        <x:f>D21*I21</x:f>
        <x:v>2273</x:v>
      </x:c>
    </x:row>
    <x:row r="22">
      <x:c r="A22" s="26" t="str">
        <x:v>Jun 2024</x:v>
      </x:c>
      <x:c r="B22" s="27" t="n">
        <x:v>2024</x:v>
      </x:c>
      <x:c r="C22" s="27" t="n">
        <x:v>6</x:v>
      </x:c>
      <x:c r="D22" s="23" t="n">
        <x:v>611132</x:v>
      </x:c>
      <x:c r="E22" s="23" t="n">
        <x:v>601272</x:v>
      </x:c>
      <x:c r="F22" s="24" t="n">
        <x:v>0.738509847299765</x:v>
      </x:c>
      <x:c r="G22" s="24" t="n">
        <x:v>0.2453561587349378</x:v>
      </x:c>
      <x:c r="H22" s="24" t="n">
        <x:v>0.012887559479785055</x:v>
      </x:c>
      <x:c r="I22" s="24" t="n">
        <x:v>0.0032464344855121317</x:v>
      </x:c>
      <x:c r="J22" s="25" t="n">
        <x:v>11.807215370082092</x:v>
      </x:c>
      <x:c r="K22" s="23" t="n">
        <x:f>E22*F22</x:f>
        <x:v>444045.2929056243</x:v>
      </x:c>
      <x:c r="L22" s="23" t="n">
        <x:f>E22*G22</x:f>
        <x:v>147525.7882748735</x:v>
      </x:c>
      <x:c r="M22" s="23" t="n">
        <x:f>D22*H22</x:f>
        <x:v>7876</x:v>
      </x:c>
      <x:c r="N22" s="28" t="n">
        <x:f>D22*I22</x:f>
        <x:v>1984</x:v>
      </x:c>
    </x:row>
    <x:row r="23">
      <x:c r="A23" s="26" t="str">
        <x:v>Jul 2024</x:v>
      </x:c>
      <x:c r="B23" s="27" t="n">
        <x:v>2024</x:v>
      </x:c>
      <x:c r="C23" s="27" t="n">
        <x:v>7</x:v>
      </x:c>
      <x:c r="D23" s="23" t="n">
        <x:v>634613</x:v>
      </x:c>
      <x:c r="E23" s="23" t="n">
        <x:v>613938</x:v>
      </x:c>
      <x:c r="F23" s="24" t="n">
        <x:v>0.6808448613564487</x:v>
      </x:c>
      <x:c r="G23" s="24" t="n">
        <x:v>0.28657622834703983</x:v>
      </x:c>
      <x:c r="H23" s="24" t="n">
        <x:v>0.028949926963361922</x:v>
      </x:c>
      <x:c r="I23" s="24" t="n">
        <x:v>0.0036289833331494942</x:v>
      </x:c>
      <x:c r="J23" s="25" t="n">
        <x:v>18.092325283660564</x:v>
      </x:c>
      <x:c r="K23" s="23" t="n">
        <x:f>E23*F23</x:f>
        <x:v>417996.53249145544</x:v>
      </x:c>
      <x:c r="L23" s="23" t="n">
        <x:f>E23*G23</x:f>
        <x:v>175940.03647892494</x:v>
      </x:c>
      <x:c r="M23" s="23" t="n">
        <x:f>D23*H23</x:f>
        <x:v>18372</x:v>
      </x:c>
      <x:c r="N23" s="28" t="n">
        <x:f>D23*I23</x:f>
        <x:v>2303</x:v>
      </x:c>
    </x:row>
    <x:row r="24">
      <x:c r="A24" s="26" t="str">
        <x:v>Aug 2024</x:v>
      </x:c>
      <x:c r="B24" s="27" t="n">
        <x:v>2024</x:v>
      </x:c>
      <x:c r="C24" s="27" t="n">
        <x:v>8</x:v>
      </x:c>
      <x:c r="D24" s="23" t="n">
        <x:v>619025</x:v>
      </x:c>
      <x:c r="E24" s="23" t="n">
        <x:v>604303</x:v>
      </x:c>
      <x:c r="F24" s="24" t="n">
        <x:v>0.747128145066839</x:v>
      </x:c>
      <x:c r="G24" s="24" t="n">
        <x:v>0.22908929364726788</x:v>
      </x:c>
      <x:c r="H24" s="24" t="n">
        <x:v>0.020538750454343523</x:v>
      </x:c>
      <x:c r="I24" s="24" t="n">
        <x:v>0.0032438108315496145</x:v>
      </x:c>
      <x:c r="J24" s="25" t="n">
        <x:v>10.587576100069006</x:v>
      </x:c>
      <x:c r="K24" s="23" t="n">
        <x:f>E24*F24</x:f>
        <x:v>451491.77944832604</x:v>
      </x:c>
      <x:c r="L24" s="23" t="n">
        <x:f>E24*G24</x:f>
        <x:v>138439.3474189249</x:v>
      </x:c>
      <x:c r="M24" s="23" t="n">
        <x:f>D24*H24</x:f>
        <x:v>12713.999999999998</x:v>
      </x:c>
      <x:c r="N24" s="28" t="n">
        <x:f>D24*I24</x:f>
        <x:v>2008.0000000000002</x:v>
      </x:c>
    </x:row>
    <x:row r="25">
      <x:c r="A25" s="26" t="str">
        <x:v>Sep 2024</x:v>
      </x:c>
      <x:c r="B25" s="27" t="n">
        <x:v>2024</x:v>
      </x:c>
      <x:c r="C25" s="27" t="n">
        <x:v>9</x:v>
      </x:c>
      <x:c r="D25" s="23" t="n">
        <x:v>582622</x:v>
      </x:c>
      <x:c r="E25" s="23" t="n">
        <x:v>578262</x:v>
      </x:c>
      <x:c r="F25" s="24" t="n">
        <x:v>0.8385951783489123</x:v>
      </x:c>
      <x:c r="G25" s="24" t="n">
        <x:v>0.15392141045137328</x:v>
      </x:c>
      <x:c r="H25" s="24" t="n">
        <x:v>0.0060056091256423545</x:v>
      </x:c>
      <x:c r="I25" s="24" t="n">
        <x:v>0.0014778020740720398</x:v>
      </x:c>
      <x:c r="J25" s="25" t="n">
        <x:v>0.9967748183349416</x:v>
      </x:c>
      <x:c r="K25" s="23" t="n">
        <x:f>E25*F25</x:f>
        <x:v>484927.7250223987</x:v>
      </x:c>
      <x:c r="L25" s="23" t="n">
        <x:f>E25*G25</x:f>
        <x:v>89006.90265043202</x:v>
      </x:c>
      <x:c r="M25" s="23" t="n">
        <x:f>D25*H25</x:f>
        <x:v>3499</x:v>
      </x:c>
      <x:c r="N25" s="28" t="n">
        <x:f>D25*I25</x:f>
        <x:v>861</x:v>
      </x:c>
    </x:row>
    <x:row r="26">
      <x:c r="A26" s="26" t="str">
        <x:v>Oct 2024</x:v>
      </x:c>
      <x:c r="B26" s="27" t="n">
        <x:v>2024</x:v>
      </x:c>
      <x:c r="C26" s="27" t="n">
        <x:v>10</x:v>
      </x:c>
      <x:c r="D26" s="23" t="n">
        <x:v>615497</x:v>
      </x:c>
      <x:c r="E26" s="23" t="n">
        <x:v>608514</x:v>
      </x:c>
      <x:c r="F26" s="24" t="n">
        <x:v>0.8581211606230412</x:v>
      </x:c>
      <x:c r="G26" s="24" t="n">
        <x:v>0.13053353631293085</x:v>
      </x:c>
      <x:c r="H26" s="24" t="n">
        <x:v>0.010209635465323146</x:v>
      </x:c>
      <x:c r="I26" s="24" t="n">
        <x:v>0.0011356675987047866</x:v>
      </x:c>
      <x:c r="J26" s="25" t="n">
        <x:v>-1.2827363051630694</x:v>
      </x:c>
      <x:c r="K26" s="23" t="n">
        <x:f>E26*F26</x:f>
        <x:v>522178.7399353693</x:v>
      </x:c>
      <x:c r="L26" s="23" t="n">
        <x:f>E26*G26</x:f>
        <x:v>79431.4843159268</x:v>
      </x:c>
      <x:c r="M26" s="23" t="n">
        <x:f>D26*H26</x:f>
        <x:v>6284.000000000001</x:v>
      </x:c>
      <x:c r="N26" s="28" t="n">
        <x:f>D26*I26</x:f>
        <x:v>699</x:v>
      </x:c>
    </x:row>
    <x:row r="27">
      <x:c r="A27" s="26" t="str">
        <x:v>Nov 2024</x:v>
      </x:c>
      <x:c r="B27" s="27" t="n">
        <x:v>2024</x:v>
      </x:c>
      <x:c r="C27" s="27" t="n">
        <x:v>11</x:v>
      </x:c>
      <x:c r="D27" s="23" t="n">
        <x:v>575404</x:v>
      </x:c>
      <x:c r="E27" s="23" t="n">
        <x:v>571933</x:v>
      </x:c>
      <x:c r="F27" s="24" t="n">
        <x:v>0.8481571209098303</x:v>
      </x:c>
      <x:c r="G27" s="24" t="n">
        <x:v>0.14581059568581378</x:v>
      </x:c>
      <x:c r="H27" s="24" t="n">
        <x:v>0.004568963719404105</x:v>
      </x:c>
      <x:c r="I27" s="24" t="n">
        <x:v>0.0014633196849517904</x:v>
      </x:c>
      <x:c r="J27" s="25" t="n">
        <x:v>-0.3246114492431806</x:v>
      </x:c>
      <x:c r="K27" s="23" t="n">
        <x:f>E27*F27</x:f>
        <x:v>485089.04663332197</x:v>
      </x:c>
      <x:c r="L27" s="23" t="n">
        <x:f>E27*G27</x:f>
        <x:v>83393.89142237454</x:v>
      </x:c>
      <x:c r="M27" s="23" t="n">
        <x:f>D27*H27</x:f>
        <x:v>2629</x:v>
      </x:c>
      <x:c r="N27" s="28" t="n">
        <x:f>D27*I27</x:f>
        <x:v>842</x:v>
      </x:c>
    </x:row>
    <x:row r="28">
      <x:c r="A28" s="26" t="str">
        <x:v>Dec 2024</x:v>
      </x:c>
      <x:c r="B28" s="27" t="n">
        <x:v>2024</x:v>
      </x:c>
      <x:c r="C28" s="27" t="n">
        <x:v>12</x:v>
      </x:c>
      <x:c r="D28" s="23" t="n">
        <x:v>590581</x:v>
      </x:c>
      <x:c r="E28" s="23" t="n">
        <x:v>584832</x:v>
      </x:c>
      <x:c r="F28" s="24" t="n">
        <x:v>0.7807752027240972</x:v>
      </x:c>
      <x:c r="G28" s="24" t="n">
        <x:v>0.20949031546900426</x:v>
      </x:c>
      <x:c r="H28" s="24" t="n">
        <x:v>0.007028671765600316</x:v>
      </x:c>
      <x:c r="I28" s="24" t="n">
        <x:v>0.0027058100412983145</x:v>
      </x:c>
      <x:c r="J28" s="25" t="n">
        <x:v>7.116440276865835</x:v>
      </x:c>
      <x:c r="K28" s="23" t="n">
        <x:f>E28*F28</x:f>
        <x:v>456622.3233595392</x:v>
      </x:c>
      <x:c r="L28" s="23" t="n">
        <x:f>E28*G28</x:f>
        <x:v>122516.6401763687</x:v>
      </x:c>
      <x:c r="M28" s="23" t="n">
        <x:f>D28*H28</x:f>
        <x:v>4151</x:v>
      </x:c>
      <x:c r="N28" s="28" t="n">
        <x:f>D28*I28</x:f>
        <x:v>1597.9999999999998</x:v>
      </x:c>
    </x:row>
    <x:row r="29">
      <x:c r="A29" s="26" t="str">
        <x:v>Jan 2025</x:v>
      </x:c>
      <x:c r="B29" s="27" t="n">
        <x:v>2025</x:v>
      </x:c>
      <x:c r="C29" s="27" t="n">
        <x:v>1</x:v>
      </x:c>
      <x:c r="D29" s="23" t="n">
        <x:v>539747</x:v>
      </x:c>
      <x:c r="E29" s="23" t="n">
        <x:v>522269</x:v>
      </x:c>
      <x:c r="F29" s="24" t="n">
        <x:v>0.7858107594854626</x:v>
      </x:c>
      <x:c r="G29" s="24" t="n">
        <x:v>0.18180740235703025</x:v>
      </x:c>
      <x:c r="H29" s="24" t="n">
        <x:v>0.030221566771098312</x:v>
      </x:c>
      <x:c r="I29" s="24" t="n">
        <x:v>0.0021602713864088173</x:v>
      </x:c>
      <x:c r="J29" s="25" t="n">
        <x:v>3.7566139288374383</x:v>
      </x:c>
      <x:c r="K29" s="23" t="n">
        <x:f>E29*F29</x:f>
        <x:v>410404.5995457131</x:v>
      </x:c>
      <x:c r="L29" s="23" t="n">
        <x:f>E29*G29</x:f>
        <x:v>94952.37022160384</x:v>
      </x:c>
      <x:c r="M29" s="23" t="n">
        <x:f>D29*H29</x:f>
        <x:v>16312</x:v>
      </x:c>
      <x:c r="N29" s="28" t="n">
        <x:f>D29*I29</x:f>
        <x:v>1166</x:v>
      </x:c>
    </x:row>
    <x:row r="30">
      <x:c r="A30" s="26" t="str">
        <x:v>Feb 2025</x:v>
      </x:c>
      <x:c r="B30" s="27" t="n">
        <x:v>2025</x:v>
      </x:c>
      <x:c r="C30" s="27" t="n">
        <x:v>2</x:v>
      </x:c>
      <x:c r="D30" s="23" t="n">
        <x:v>504884</x:v>
      </x:c>
      <x:c r="E30" s="23" t="n">
        <x:v>496476</x:v>
      </x:c>
      <x:c r="F30" s="24" t="n">
        <x:v>0.7791373860134209</x:v>
      </x:c>
      <x:c r="G30" s="24" t="n">
        <x:v>0.2042092837166557</x:v>
      </x:c>
      <x:c r="H30" s="24" t="n">
        <x:v>0.014666735329303364</x:v>
      </x:c>
      <x:c r="I30" s="24" t="n">
        <x:v>0.0019865949406200237</x:v>
      </x:c>
      <x:c r="J30" s="25" t="n">
        <x:v>5.71892901167428</x:v>
      </x:c>
      <x:c r="K30" s="23" t="n">
        <x:f>E30*F30</x:f>
        <x:v>386823.01285839913</x:v>
      </x:c>
      <x:c r="L30" s="23" t="n">
        <x:f>E30*G30</x:f>
        <x:v>101385.00834251035</x:v>
      </x:c>
      <x:c r="M30" s="23" t="n">
        <x:f>D30*H30</x:f>
        <x:v>7405</x:v>
      </x:c>
      <x:c r="N30" s="28" t="n">
        <x:f>D30*I30</x:f>
        <x:v>1003</x:v>
      </x:c>
    </x:row>
    <x:row r="31">
      <x:c r="A31" s="26" t="str">
        <x:v>Mar 2025</x:v>
      </x:c>
      <x:c r="B31" s="27" t="n">
        <x:v>2025</x:v>
      </x:c>
      <x:c r="C31" s="27" t="n">
        <x:v>3</x:v>
      </x:c>
      <x:c r="D31" s="23" t="n">
        <x:v>600872</x:v>
      </x:c>
      <x:c r="E31" s="23" t="n">
        <x:v>592301</x:v>
      </x:c>
      <x:c r="F31" s="24" t="n">
        <x:v>0.7926263829900545</x:v>
      </x:c>
      <x:c r="G31" s="24" t="n">
        <x:v>0.19310934774793967</x:v>
      </x:c>
      <x:c r="H31" s="24" t="n">
        <x:v>0.011521588624532347</x:v>
      </x:c>
      <x:c r="I31" s="24" t="n">
        <x:v>0.0027426806374735383</x:v>
      </x:c>
      <x:c r="J31" s="25" t="n">
        <x:v>5.451542374569686</x:v>
      </x:c>
      <x:c r="K31" s="23" t="n">
        <x:f>E31*F31</x:f>
        <x:v>469473.39927139226</x:v>
      </x:c>
      <x:c r="L31" s="23" t="n">
        <x:f>E31*G31</x:f>
        <x:v>114378.85978045242</x:v>
      </x:c>
      <x:c r="M31" s="23" t="n">
        <x:f>D31*H31</x:f>
        <x:v>6923</x:v>
      </x:c>
      <x:c r="N31" s="28" t="n">
        <x:f>D31*I31</x:f>
        <x:v>1648</x:v>
      </x:c>
    </x:row>
    <x:row r="32">
      <x:c r="A32" s="26" t="str">
        <x:v>Apr 2025</x:v>
      </x:c>
      <x:c r="B32" s="27" t="n">
        <x:v>2025</x:v>
      </x:c>
      <x:c r="C32" s="27" t="n">
        <x:v>4</x:v>
      </x:c>
      <x:c r="D32" s="23" t="n">
        <x:v>583950</x:v>
      </x:c>
      <x:c r="E32" s="23" t="n">
        <x:v>577730</x:v>
      </x:c>
      <x:c r="F32" s="24" t="n">
        <x:v>0.7948043496874733</x:v>
      </x:c>
      <x:c r="G32" s="24" t="n">
        <x:v>0.19454405342923195</x:v>
      </x:c>
      <x:c r="H32" s="24" t="n">
        <x:v>0.008415104032879527</x:v>
      </x:c>
      <x:c r="I32" s="24" t="n">
        <x:v>0.002236492850415275</x:v>
      </x:c>
      <x:c r="J32" s="25" t="n">
        <x:v>5.664272237896595</x:v>
      </x:c>
      <x:c r="K32" s="23" t="n">
        <x:f>E32*F32</x:f>
        <x:v>459182.3169449439</x:v>
      </x:c>
      <x:c r="L32" s="23" t="n">
        <x:f>E32*G32</x:f>
        <x:v>112393.93598767018</x:v>
      </x:c>
      <x:c r="M32" s="23" t="n">
        <x:f>D32*H32</x:f>
        <x:v>4914</x:v>
      </x:c>
      <x:c r="N32" s="28" t="n">
        <x:f>D32*I32</x:f>
        <x:v>1306</x:v>
      </x:c>
    </x:row>
    <x:row r="33">
      <x:c r="A33" s="26" t="str">
        <x:v>May 2025</x:v>
      </x:c>
      <x:c r="B33" s="27" t="n">
        <x:v>2025</x:v>
      </x:c>
      <x:c r="C33" s="27" t="n">
        <x:v>5</x:v>
      </x:c>
      <x:c r="D33" s="23" t="n">
        <x:v>605648</x:v>
      </x:c>
      <x:c r="E33" s="23" t="n">
        <x:v>597574</x:v>
      </x:c>
      <x:c r="F33" s="24" t="n">
        <x:v>0.7537975853961377</x:v>
      </x:c>
      <x:c r="G33" s="24" t="n">
        <x:v>0.23287123873933374</x:v>
      </x:c>
      <x:c r="H33" s="24" t="n">
        <x:v>0.010474731196998916</x:v>
      </x:c>
      <x:c r="I33" s="24" t="n">
        <x:v>0.002856444667529654</x:v>
      </x:c>
      <x:c r="J33" s="25" t="n">
        <x:v>10.188485442807083</x:v>
      </x:c>
      <x:c r="K33" s="23" t="n">
        <x:f>E33*F33</x:f>
        <x:v>450449.8382955116</x:v>
      </x:c>
      <x:c r="L33" s="23" t="n">
        <x:f>E33*G33</x:f>
        <x:v>139157.7976184186</x:v>
      </x:c>
      <x:c r="M33" s="23" t="n">
        <x:f>D33*H33</x:f>
        <x:v>6344</x:v>
      </x:c>
      <x:c r="N33" s="28" t="n">
        <x:f>D33*I33</x:f>
        <x:v>1730</x:v>
      </x:c>
    </x:row>
    <x:row r="34">
      <x:c r="A34" s="26" t="str">
        <x:v>Jun 2025</x:v>
      </x:c>
      <x:c r="B34" s="27" t="n">
        <x:v>2025</x:v>
      </x:c>
      <x:c r="C34" s="27" t="n">
        <x:v>6</x:v>
      </x:c>
      <x:c r="D34" s="23" t="n">
        <x:v>611575</x:v>
      </x:c>
      <x:c r="E34" s="23" t="n">
        <x:v>599472</x:v>
      </x:c>
      <x:c r="F34" s="24" t="n">
        <x:v>0.7032121980133262</x:v>
      </x:c>
      <x:c r="G34" s="24" t="n">
        <x:v>0.276997915218902</x:v>
      </x:c>
      <x:c r="H34" s="24" t="n">
        <x:v>0.015919551976454237</x:v>
      </x:c>
      <x:c r="I34" s="24" t="n">
        <x:v>0.0038703347913175</x:v>
      </x:c>
      <x:c r="J34" s="25" t="n">
        <x:v>15.59239297248245</x:v>
      </x:c>
      <x:c r="K34" s="23" t="n">
        <x:f>E34*F34</x:f>
        <x:v>421556.0227674447</x:v>
      </x:c>
      <x:c r="L34" s="23" t="n">
        <x:f>E34*G34</x:f>
        <x:v>166052.49423210562</x:v>
      </x:c>
      <x:c r="M34" s="23" t="n">
        <x:f>D34*H34</x:f>
        <x:v>9736</x:v>
      </x:c>
      <x:c r="N34" s="28" t="n">
        <x:f>D34*I34</x:f>
        <x:v>2367</x:v>
      </x:c>
    </x:row>
    <x:row r="35">
      <x:c r="A35" s="26" t="str">
        <x:v>Jul 2025</x:v>
      </x:c>
      <x:c r="B35" s="27" t="n">
        <x:v>2025</x:v>
      </x:c>
      <x:c r="C35" s="27" t="n">
        <x:v>7</x:v>
      </x:c>
      <x:c r="D35" s="23" t="n">
        <x:v>631428</x:v>
      </x:c>
      <x:c r="E35" s="23" t="n">
        <x:v>612811</x:v>
      </x:c>
      <x:c r="F35" s="24" t="n">
        <x:v>0.6901800363620239</x:v>
      </x:c>
      <x:c r="G35" s="24" t="n">
        <x:v>0.2803360003040727</x:v>
      </x:c>
      <x:c r="H35" s="24" t="n">
        <x:v>0.024504773307487158</x:v>
      </x:c>
      <x:c r="I35" s="24" t="n">
        <x:v>0.004979190026416313</x:v>
      </x:c>
      <x:c r="J35" s="25" t="n">
        <x:v>17.3460691795676</x:v>
      </x:c>
      <x:c r="K35" s="23" t="n">
        <x:f>E35*F35</x:f>
        <x:v>422949.9182630482</x:v>
      </x:c>
      <x:c r="L35" s="23" t="n">
        <x:f>E35*G35</x:f>
        <x:v>171792.9846823391</x:v>
      </x:c>
      <x:c r="M35" s="23" t="n">
        <x:f>D35*H35</x:f>
        <x:v>15473.000000000002</x:v>
      </x:c>
      <x:c r="N35" s="28" t="n">
        <x:f>D35*I35</x:f>
        <x:v>3144</x:v>
      </x:c>
    </x:row>
    <x:row r="36">
      <x:c r="A36" s="26" t="str">
        <x:v>Aug 2025</x:v>
      </x:c>
      <x:c r="B36" s="27" t="n">
        <x:v>2025</x:v>
      </x:c>
      <x:c r="C36" s="27" t="n">
        <x:v>8</x:v>
      </x:c>
      <x:c r="D36" s="23" t="n">
        <x:v>602378</x:v>
      </x:c>
      <x:c r="E36" s="23" t="n">
        <x:v>593733</x:v>
      </x:c>
      <x:c r="F36" s="24" t="n">
        <x:v>0.7633296700742723</x:v>
      </x:c>
      <x:c r="G36" s="24" t="n">
        <x:v>0.22231887618737736</x:v>
      </x:c>
      <x:c r="H36" s="24" t="n">
        <x:v>0.010762345238371919</x:v>
      </x:c>
      <x:c r="I36" s="24" t="n">
        <x:v>0.003589108499978419</x:v>
      </x:c>
      <x:c r="J36" s="25" t="n">
        <x:v>9.242209882219786</x:v>
      </x:c>
      <x:c r="K36" s="23" t="n">
        <x:f>E36*F36</x:f>
        <x:v>453214.01500220795</x:v>
      </x:c>
      <x:c r="L36" s="23" t="n">
        <x:f>E36*G36</x:f>
        <x:v>131998.05331536013</x:v>
      </x:c>
      <x:c r="M36" s="23" t="n">
        <x:f>D36*H36</x:f>
        <x:v>6483</x:v>
      </x:c>
      <x:c r="N36" s="28" t="n">
        <x:f>D36*I36</x:f>
        <x:v>2162</x:v>
      </x:c>
    </x:row>
    <x:row r="37">
      <x:c r="A37" s="26" t="str">
        <x:v>Sep 2025</x:v>
      </x:c>
      <x:c r="B37" s="27" t="n">
        <x:v>2025</x:v>
      </x:c>
      <x:c r="C37" s="27" t="n">
        <x:v>9</x:v>
      </x:c>
      <x:c r="D37" s="23" t="n">
        <x:v>562439</x:v>
      </x:c>
      <x:c r="E37" s="23" t="n">
        <x:v>558329</x:v>
      </x:c>
      <x:c r="F37" s="24" t="n">
        <x:v>0.8275919699736327</x:v>
      </x:c>
      <x:c r="G37" s="24" t="n">
        <x:v>0.16510057090635608</x:v>
      </x:c>
      <x:c r="H37" s="24" t="n">
        <x:v>0.00513122311930716</x:v>
      </x:c>
      <x:c r="I37" s="24" t="n">
        <x:v>0.0021762360007040763</x:v>
      </x:c>
      <x:c r="J37" s="25" t="n">
        <x:v>2.3162477969938817</x:v>
      </x:c>
      <x:c r="K37" s="23" t="n">
        <x:f>E37*F37</x:f>
        <x:v>462068.59700340836</x:v>
      </x:c>
      <x:c r="L37" s="23" t="n">
        <x:f>E37*G37</x:f>
        <x:v>92180.43665357488</x:v>
      </x:c>
      <x:c r="M37" s="23" t="n">
        <x:f>D37*H37</x:f>
        <x:v>2886</x:v>
      </x:c>
      <x:c r="N37" s="28" t="n">
        <x:f>D37*I37</x:f>
        <x:v>1224</x:v>
      </x:c>
    </x:row>
    <x:row r="38">
      <x:c r="A38" s="26" t="str">
        <x:v>Oct 2025</x:v>
      </x:c>
      <x:c r="B38" s="27" t="n">
        <x:v>2025</x:v>
      </x:c>
      <x:c r="C38" s="27" t="n">
        <x:v>10</x:v>
      </x:c>
      <x:c r="D38" s="23" t="n">
        <x:v>605844</x:v>
      </x:c>
      <x:c r="E38" s="23" t="n">
        <x:v>601570</x:v>
      </x:c>
      <x:c r="F38" s="24" t="n">
        <x:v>0.791159110266009</x:v>
      </x:c>
      <x:c r="G38" s="24" t="n">
        <x:v>0.20178626841233058</x:v>
      </x:c>
      <x:c r="H38" s="24" t="n">
        <x:v>0.005288490106364015</x:v>
      </x:c>
      <x:c r="I38" s="24" t="n">
        <x:v>0.001766131215296347</x:v>
      </x:c>
      <x:c r="J38" s="25" t="n">
        <x:v>5.585546154229766</x:v>
      </x:c>
      <x:c r="K38" s="23" t="n">
        <x:f>E38*F38</x:f>
        <x:v>475937.58596272307</x:v>
      </x:c>
      <x:c r="L38" s="23" t="n">
        <x:f>E38*G38</x:f>
        <x:v>121388.5654888057</x:v>
      </x:c>
      <x:c r="M38" s="23" t="n">
        <x:f>D38*H38</x:f>
        <x:v>3204</x:v>
      </x:c>
      <x:c r="N38" s="28" t="n">
        <x:f>D38*I38</x:f>
        <x:v>1070</x:v>
      </x:c>
    </x:row>
    <x:row r="39">
      <x:c r="A39" s="26" t="str">
        <x:v>Nov 2025</x:v>
      </x:c>
      <x:c r="B39" s="27" t="n">
        <x:v>2025</x:v>
      </x:c>
      <x:c r="C39" s="27" t="n">
        <x:v>11</x:v>
      </x:c>
      <x:c r="D39" s="23" t="n">
        <x:v>570550</x:v>
      </x:c>
      <x:c r="E39" s="23" t="n">
        <x:v>555296</x:v>
      </x:c>
      <x:c r="F39" s="24" t="n">
        <x:v>0.7731592323196915</x:v>
      </x:c>
      <x:c r="G39" s="24" t="n">
        <x:v>0.20010516168609235</x:v>
      </x:c>
      <x:c r="H39" s="24" t="n">
        <x:v>0.02487950223468583</x:v>
      </x:c>
      <x:c r="I39" s="24" t="n">
        <x:v>0.0018561037595302779</x:v>
      </x:c>
      <x:c r="J39" s="25" t="n">
        <x:v>6.372840791217657</x:v>
      </x:c>
      <x:c r="K39" s="23" t="n">
        <x:f>E39*F39</x:f>
        <x:v>429332.2290701954</x:v>
      </x:c>
      <x:c r="L39" s="23" t="n">
        <x:f>E39*G39</x:f>
        <x:v>111117.59586364034</x:v>
      </x:c>
      <x:c r="M39" s="23" t="n">
        <x:f>D39*H39</x:f>
        <x:v>14195</x:v>
      </x:c>
      <x:c r="N39" s="28" t="n">
        <x:f>D39*I39</x:f>
        <x:v>1059</x:v>
      </x:c>
    </x:row>
    <x:row r="40">
      <x:c r="A40" s="29" t="str">
        <x:v>Dec 2025</x:v>
      </x:c>
      <x:c r="B40" s="30" t="n">
        <x:v>2025</x:v>
      </x:c>
      <x:c r="C40" s="30" t="n">
        <x:v>12</x:v>
      </x:c>
      <x:c r="D40" s="31" t="n">
        <x:v>582304</x:v>
      </x:c>
      <x:c r="E40" s="31" t="n">
        <x:v>571924</x:v>
      </x:c>
      <x:c r="F40" s="32" t="n">
        <x:v>0.7192308484915096</x:v>
      </x:c>
      <x:c r="G40" s="32" t="n">
        <x:v>0.2629434110018135</x:v>
      </x:c>
      <x:c r="H40" s="32" t="n">
        <x:v>0.015457561685992197</x:v>
      </x:c>
      <x:c r="I40" s="32" t="n">
        <x:v>0.0023681788206847284</x:v>
      </x:c>
      <x:c r="J40" s="33" t="n">
        <x:v>13.041888432728824</x:v>
      </x:c>
      <x:c r="K40" s="31" t="n">
        <x:f>E40*F40</x:f>
        <x:v>411345.38379265816</x:v>
      </x:c>
      <x:c r="L40" s="31" t="n">
        <x:f>E40*G40</x:f>
        <x:v>150383.6473938012</x:v>
      </x:c>
      <x:c r="M40" s="31" t="n">
        <x:f>D40*H40</x:f>
        <x:v>9001</x:v>
      </x:c>
      <x:c r="N40" s="34" t="n">
        <x:f>D40*I40</x:f>
        <x:v>1379</x:v>
      </x:c>
    </x:row>
  </x:sheetData>
  <x:mergeCells>
    <x:mergeCell ref="A1:V1"/>
    <x:mergeCell ref="A2:V2"/>
    <x:mergeCell ref="P9:V10"/>
  </x:mergeCells>
  <x:pageMargins left="0.7" right="0.7" top="0.75" bottom="0.75" header="0.3" footer="0.3"/>
  <x:drawing xmlns:r="http://schemas.openxmlformats.org/officeDocument/2006/relationships" r:id="R2772225a249a4801"/>
  <x:tableParts count="1">
    <x:tablePart xmlns:r="http://schemas.openxmlformats.org/officeDocument/2006/relationships" r:id="Rcbd01ddcef0d4335"/>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0" hidden="0" customWidth="1"/>
    <x:col min="2" max="2" width="15" hidden="0" customWidth="1"/>
    <x:col min="3" max="3" width="15" hidden="0" customWidth="1"/>
    <x:col min="4" max="4" width="15" hidden="0" customWidth="1"/>
    <x:col min="5" max="5" width="15" hidden="0" customWidth="1"/>
    <x:col min="6" max="6" width="18" hidden="0" customWidth="1"/>
    <x:col min="7" max="7" width="20" hidden="0" customWidth="1"/>
    <x:col min="9" max="9" width="18" hidden="0" customWidth="1"/>
    <x:col min="10" max="10" width="20" hidden="0" customWidth="1"/>
    <x:col min="11" max="11" width="3" hidden="0" customWidth="1"/>
    <x:col min="12" max="12" width="9" hidden="0" customWidth="1"/>
    <x:col min="13" max="13" width="9" hidden="0" customWidth="1"/>
    <x:col min="14" max="14" width="16" hidden="0" customWidth="1"/>
    <x:col min="15" max="15" width="14" hidden="0" customWidth="1"/>
    <x:col min="16" max="16" width="14" hidden="0" customWidth="1"/>
    <x:col min="17" max="17" width="19" hidden="0" customWidth="1"/>
    <x:col min="18" max="18" width="20" hidden="0" customWidth="1"/>
  </x:cols>
  <x:sheetData>
    <x:row r="1" ht="30" customHeight="1">
      <x:c r="A1" s="4" t="str">
        <x:v>Delay Drivers</x:v>
      </x:c>
      <x:c r="B1" s="4"/>
      <x:c r="C1" s="4"/>
      <x:c r="D1" s="4"/>
      <x:c r="E1" s="4"/>
      <x:c r="F1" s="4"/>
      <x:c r="G1" s="4"/>
      <x:c r="H1" s="4"/>
      <x:c r="I1" s="4"/>
      <x:c r="J1" s="4"/>
      <x:c r="K1" s="4"/>
      <x:c r="L1" s="4"/>
      <x:c r="M1" s="4"/>
      <x:c r="N1" s="4"/>
      <x:c r="O1" s="4"/>
      <x:c r="P1" s="4"/>
      <x:c r="Q1" s="4"/>
      <x:c r="R1" s="4"/>
      <x:c r="S1" s="4"/>
      <x:c r="T1" s="4"/>
      <x:c r="U1" s="4"/>
    </x:row>
    <x:row r="2" ht="30" customHeight="1">
      <x:c r="A2" s="9" t="str">
        <x:v>Reported delay-minute causes and departure-period patterns. Reported cause minutes apply to delayed operations and are not a causal experiment.</x:v>
      </x:c>
      <x:c r="B2" s="9"/>
      <x:c r="C2" s="9"/>
      <x:c r="D2" s="9"/>
      <x:c r="E2" s="9"/>
      <x:c r="F2" s="9"/>
      <x:c r="G2" s="9"/>
      <x:c r="H2" s="9"/>
      <x:c r="I2" s="9"/>
      <x:c r="J2" s="9"/>
      <x:c r="K2" s="9"/>
      <x:c r="L2" s="9"/>
      <x:c r="M2" s="9"/>
      <x:c r="N2" s="9"/>
      <x:c r="O2" s="9"/>
      <x:c r="P2" s="9"/>
      <x:c r="Q2" s="9"/>
      <x:c r="R2" s="9"/>
      <x:c r="S2" s="9"/>
      <x:c r="T2" s="9"/>
      <x:c r="U2" s="9"/>
    </x:row>
    <x:row r="4" ht="26" customHeight="1">
      <x:c r="A4" s="20" t="str">
        <x:v>Year</x:v>
      </x:c>
      <x:c r="B4" s="21" t="str">
        <x:v>Carrier Minutes</x:v>
      </x:c>
      <x:c r="C4" s="21" t="str">
        <x:v>Weather Minutes</x:v>
      </x:c>
      <x:c r="D4" s="21" t="str">
        <x:v>NAS Minutes</x:v>
      </x:c>
      <x:c r="E4" s="21" t="str">
        <x:v>Security Minutes</x:v>
      </x:c>
      <x:c r="F4" s="21" t="str">
        <x:v>Late Aircraft Minutes</x:v>
      </x:c>
      <x:c r="G4" s="22" t="str">
        <x:v>Total Reported Delay Minutes</x:v>
      </x:c>
      <x:c r="I4" s="46" t="str">
        <x:v>2025 Cause</x:v>
      </x:c>
      <x:c r="J4" s="48" t="str">
        <x:v>Share of Reported Delay Minutes</x:v>
      </x:c>
      <x:c r="L4" s="46" t="str">
        <x:v>Year</x:v>
      </x:c>
      <x:c r="M4" s="47" t="str">
        <x:v>Month</x:v>
      </x:c>
      <x:c r="N4" s="47" t="str">
        <x:v>Departure Period</x:v>
      </x:c>
      <x:c r="O4" s="47" t="str">
        <x:v>Flights</x:v>
      </x:c>
      <x:c r="P4" s="47" t="str">
        <x:v>Delay Rate</x:v>
      </x:c>
      <x:c r="Q4" s="47" t="str">
        <x:v>On-Time Rate</x:v>
      </x:c>
      <x:c r="R4" s="48" t="str">
        <x:v>Mean Arrival Delay (min)</x:v>
      </x:c>
    </x:row>
    <x:row r="5">
      <x:c r="A5" s="23" t="n">
        <x:v>2023</x:v>
      </x:c>
      <x:c r="B5" s="23" t="n">
        <x:v>34862074</x:v>
      </x:c>
      <x:c r="C5" s="23" t="n">
        <x:v>5009341</x:v>
      </x:c>
      <x:c r="D5" s="23" t="n">
        <x:v>17310028</x:v>
      </x:c>
      <x:c r="E5" s="23" t="n">
        <x:v>206677</x:v>
      </x:c>
      <x:c r="F5" s="23" t="n">
        <x:v>38310004</x:v>
      </x:c>
      <x:c r="G5" s="23" t="n">
        <x:v>95698124</x:v>
      </x:c>
      <x:c r="I5" s="26" t="str">
        <x:v>Late Aircraft</x:v>
      </x:c>
      <x:c r="J5" s="49" t="n">
        <x:f>F7/G7</x:f>
        <x:v>0.3918624018260659</x:v>
      </x:c>
      <x:c r="L5" t="n">
        <x:v>2023</x:v>
      </x:c>
      <x:c r="M5" t="n">
        <x:v>1</x:v>
      </x:c>
      <x:c r="N5" t="str">
        <x:v>Afternoon</x:v>
      </x:c>
      <x:c r="O5" s="23" t="n">
        <x:v>128301</x:v>
      </x:c>
      <x:c r="P5" s="24" t="n">
        <x:v>0.25536823563339334</x:v>
      </x:c>
      <x:c r="Q5" s="24" t="n">
        <x:v>0.7232523518912557</x:v>
      </x:c>
      <x:c r="R5" s="25" t="n">
        <x:v>10.853286927157171</x:v>
      </x:c>
    </x:row>
    <x:row r="6">
      <x:c r="A6" s="23" t="n">
        <x:v>2024</x:v>
      </x:c>
      <x:c r="B6" s="23" t="n">
        <x:v>35823263</x:v>
      </x:c>
      <x:c r="C6" s="23" t="n">
        <x:v>6195873</x:v>
      </x:c>
      <x:c r="D6" s="23" t="n">
        <x:v>19621964</x:v>
      </x:c>
      <x:c r="E6" s="23" t="n">
        <x:v>179928</x:v>
      </x:c>
      <x:c r="F6" s="23" t="n">
        <x:v>41973684</x:v>
      </x:c>
      <x:c r="G6" s="23" t="n">
        <x:v>103794712</x:v>
      </x:c>
      <x:c r="I6" s="26" t="str">
        <x:v>Carrier</x:v>
      </x:c>
      <x:c r="J6" s="49" t="n">
        <x:f>B7/G7</x:f>
        <x:v>0.3245320829010684</x:v>
      </x:c>
      <x:c r="L6" t="n">
        <x:v>2023</x:v>
      </x:c>
      <x:c r="M6" t="n">
        <x:v>1</x:v>
      </x:c>
      <x:c r="N6" t="str">
        <x:v>Evening</x:v>
      </x:c>
      <x:c r="O6" s="23" t="n">
        <x:v>88348</x:v>
      </x:c>
      <x:c r="P6" s="24" t="n">
        <x:v>0.2656426857427446</x:v>
      </x:c>
      <x:c r="Q6" s="24" t="n">
        <x:v>0.7112894462806175</x:v>
      </x:c>
      <x:c r="R6" s="25" t="n">
        <x:v>11.93224423589387</x:v>
      </x:c>
    </x:row>
    <x:row r="7">
      <x:c r="A7" s="23" t="n">
        <x:v>2025</x:v>
      </x:c>
      <x:c r="B7" s="23" t="n">
        <x:v>36326377</x:v>
      </x:c>
      <x:c r="C7" s="23" t="n">
        <x:v>7108714</x:v>
      </x:c>
      <x:c r="D7" s="23" t="n">
        <x:v>24483761</x:v>
      </x:c>
      <x:c r="E7" s="23" t="n">
        <x:v>152802</x:v>
      </x:c>
      <x:c r="F7" s="23" t="n">
        <x:v>43862971</x:v>
      </x:c>
      <x:c r="G7" s="23" t="n">
        <x:v>111934625</x:v>
      </x:c>
      <x:c r="I7" s="26" t="str">
        <x:v>NAS</x:v>
      </x:c>
      <x:c r="J7" s="49" t="n">
        <x:f>D7/G7</x:f>
        <x:v>0.21873268436821938</x:v>
      </x:c>
      <x:c r="L7" t="n">
        <x:v>2023</x:v>
      </x:c>
      <x:c r="M7" t="n">
        <x:v>1</x:v>
      </x:c>
      <x:c r="N7" t="str">
        <x:v>Midday</x:v>
      </x:c>
      <x:c r="O7" s="23" t="n">
        <x:v>131035</x:v>
      </x:c>
      <x:c r="P7" s="24" t="n">
        <x:v>0.2206662342122334</x:v>
      </x:c>
      <x:c r="Q7" s="24" t="n">
        <x:v>0.7575685885450452</x:v>
      </x:c>
      <x:c r="R7" s="25" t="n">
        <x:v>8.017709056583167</x:v>
      </x:c>
    </x:row>
    <x:row r="8">
      <x:c r="I8" s="26" t="str">
        <x:v>Weather</x:v>
      </x:c>
      <x:c r="J8" s="49" t="n">
        <x:f>C7/G7</x:f>
        <x:v>0.06350773051680836</x:v>
      </x:c>
      <x:c r="L8" t="n">
        <x:v>2023</x:v>
      </x:c>
      <x:c r="M8" t="n">
        <x:v>1</x:v>
      </x:c>
      <x:c r="N8" t="str">
        <x:v>Morning</x:v>
      </x:c>
      <x:c r="O8" s="23" t="n">
        <x:v>175656</x:v>
      </x:c>
      <x:c r="P8" s="24" t="n">
        <x:v>0.16708225167372592</x:v>
      </x:c>
      <x:c r="Q8" s="24" t="n">
        <x:v>0.8121043403014984</x:v>
      </x:c>
      <x:c r="R8" s="25" t="n">
        <x:v>3.698453488372093</x:v>
      </x:c>
    </x:row>
    <x:row r="9">
      <x:c r="I9" s="29" t="str">
        <x:v>Security</x:v>
      </x:c>
      <x:c r="J9" s="50" t="n">
        <x:f>E7/G7</x:f>
        <x:v>0.0013651003878379902</x:v>
      </x:c>
      <x:c r="L9" t="n">
        <x:v>2023</x:v>
      </x:c>
      <x:c r="M9" t="n">
        <x:v>1</x:v>
      </x:c>
      <x:c r="N9" t="str">
        <x:v>Overnight</x:v>
      </x:c>
      <x:c r="O9" s="23" t="n">
        <x:v>15497</x:v>
      </x:c>
      <x:c r="P9" s="24" t="n">
        <x:v>0.1429954184680906</x:v>
      </x:c>
      <x:c r="Q9" s="24" t="n">
        <x:v>0.8343550364586694</x:v>
      </x:c>
      <x:c r="R9" s="25" t="n">
        <x:v>2.854483031823584</x:v>
      </x:c>
    </x:row>
    <x:row r="10">
      <x:c r="L10" t="n">
        <x:v>2023</x:v>
      </x:c>
      <x:c r="M10" t="n">
        <x:v>2</x:v>
      </x:c>
      <x:c r="N10" t="str">
        <x:v>Afternoon</x:v>
      </x:c>
      <x:c r="O10" s="23" t="n">
        <x:v>119501</x:v>
      </x:c>
      <x:c r="P10" s="24" t="n">
        <x:v>0.22462573534949498</x:v>
      </x:c>
      <x:c r="Q10" s="24" t="n">
        <x:v>0.756219613224994</x:v>
      </x:c>
      <x:c r="R10" s="25" t="n">
        <x:v>7.740598232262908</x:v>
      </x:c>
    </x:row>
    <x:row r="11">
      <x:c r="I11" s="280" t="str">
        <x:v>Key pattern: observed delay risk increases later in the day. Across 2023–2025, evening was 28.7%, afternoon 27.5%, midday 20.6%, morning 13.4%, and overnight 9.7%.</x:v>
      </x:c>
      <x:c r="J11" s="281"/>
      <x:c r="K11" s="282"/>
      <x:c r="L11" t="n">
        <x:v>2023</x:v>
      </x:c>
      <x:c r="M11" t="n">
        <x:v>2</x:v>
      </x:c>
      <x:c r="N11" t="str">
        <x:v>Evening</x:v>
      </x:c>
      <x:c r="O11" s="23" t="n">
        <x:v>84162</x:v>
      </x:c>
      <x:c r="P11" s="24" t="n">
        <x:v>0.23282479028540196</x:v>
      </x:c>
      <x:c r="Q11" s="24" t="n">
        <x:v>0.7465958508590576</x:v>
      </x:c>
      <x:c r="R11" s="25" t="n">
        <x:v>8.92867887904889</x:v>
      </x:c>
    </x:row>
    <x:row r="12">
      <x:c r="I12" s="283"/>
      <x:c r="J12" s="284"/>
      <x:c r="K12" s="285"/>
      <x:c r="L12" t="n">
        <x:v>2023</x:v>
      </x:c>
      <x:c r="M12" t="n">
        <x:v>2</x:v>
      </x:c>
      <x:c r="N12" t="str">
        <x:v>Midday</x:v>
      </x:c>
      <x:c r="O12" s="23" t="n">
        <x:v>121209</x:v>
      </x:c>
      <x:c r="P12" s="24" t="n">
        <x:v>0.1896806342763326</x:v>
      </x:c>
      <x:c r="Q12" s="24" t="n">
        <x:v>0.793125922992517</x:v>
      </x:c>
      <x:c r="R12" s="25" t="n">
        <x:v>4.346627492130115</x:v>
      </x:c>
    </x:row>
    <x:row r="13">
      <x:c r="I13" s="286"/>
      <x:c r="J13" s="287"/>
      <x:c r="K13" s="288"/>
      <x:c r="L13" t="n">
        <x:v>2023</x:v>
      </x:c>
      <x:c r="M13" t="n">
        <x:v>2</x:v>
      </x:c>
      <x:c r="N13" t="str">
        <x:v>Morning</x:v>
      </x:c>
      <x:c r="O13" s="23" t="n">
        <x:v>163662</x:v>
      </x:c>
      <x:c r="P13" s="24" t="n">
        <x:v>0.13463724016570738</x:v>
      </x:c>
      <x:c r="Q13" s="24" t="n">
        <x:v>0.8437755862692623</x:v>
      </x:c>
      <x:c r="R13" s="25" t="n">
        <x:v>-0.5318586889320486</x:v>
      </x:c>
    </x:row>
    <x:row r="14">
      <x:c r="L14" t="n">
        <x:v>2023</x:v>
      </x:c>
      <x:c r="M14" t="n">
        <x:v>2</x:v>
      </x:c>
      <x:c r="N14" t="str">
        <x:v>Overnight</x:v>
      </x:c>
      <x:c r="O14" s="23" t="n">
        <x:v>14215</x:v>
      </x:c>
      <x:c r="P14" s="24" t="n">
        <x:v>0.10587407667956385</x:v>
      </x:c>
      <x:c r="Q14" s="24" t="n">
        <x:v>0.8685191698909602</x:v>
      </x:c>
      <x:c r="R14" s="25" t="n">
        <x:v>-2.5237166991552957</x:v>
      </x:c>
    </x:row>
    <x:row r="15">
      <x:c r="L15" t="n">
        <x:v>2023</x:v>
      </x:c>
      <x:c r="M15" t="n">
        <x:v>3</x:v>
      </x:c>
      <x:c r="N15" t="str">
        <x:v>Afternoon</x:v>
      </x:c>
      <x:c r="O15" s="23" t="n">
        <x:v>136487</x:v>
      </x:c>
      <x:c r="P15" s="24" t="n">
        <x:v>0.2906650450226029</x:v>
      </x:c>
      <x:c r="Q15" s="24" t="n">
        <x:v>0.6916629422582371</x:v>
      </x:c>
      <x:c r="R15" s="25" t="n">
        <x:v>14.370747715830692</x:v>
      </x:c>
    </x:row>
    <x:row r="16">
      <x:c r="L16" t="n">
        <x:v>2023</x:v>
      </x:c>
      <x:c r="M16" t="n">
        <x:v>3</x:v>
      </x:c>
      <x:c r="N16" t="str">
        <x:v>Evening</x:v>
      </x:c>
      <x:c r="O16" s="23" t="n">
        <x:v>101982</x:v>
      </x:c>
      <x:c r="P16" s="24" t="n">
        <x:v>0.3099664646702359</x:v>
      </x:c>
      <x:c r="Q16" s="24" t="n">
        <x:v>0.6692553587888058</x:v>
      </x:c>
      <x:c r="R16" s="25" t="n">
        <x:v>16.096422098274637</x:v>
      </x:c>
    </x:row>
    <x:row r="17">
      <x:c r="L17" t="n">
        <x:v>2023</x:v>
      </x:c>
      <x:c r="M17" t="n">
        <x:v>3</x:v>
      </x:c>
      <x:c r="N17" t="str">
        <x:v>Midday</x:v>
      </x:c>
      <x:c r="O17" s="23" t="n">
        <x:v>136561</x:v>
      </x:c>
      <x:c r="P17" s="24" t="n">
        <x:v>0.23512569474447317</x:v>
      </x:c>
      <x:c r="Q17" s="24" t="n">
        <x:v>0.7511954364716135</x:v>
      </x:c>
      <x:c r="R17" s="25" t="n">
        <x:v>8.717394370902719</x:v>
      </x:c>
    </x:row>
    <x:row r="18">
      <x:c r="L18" t="n">
        <x:v>2023</x:v>
      </x:c>
      <x:c r="M18" t="n">
        <x:v>3</x:v>
      </x:c>
      <x:c r="N18" t="str">
        <x:v>Morning</x:v>
      </x:c>
      <x:c r="O18" s="23" t="n">
        <x:v>187427</x:v>
      </x:c>
      <x:c r="P18" s="24" t="n">
        <x:v>0.1637330800791775</x:v>
      </x:c>
      <x:c r="Q18" s="24" t="n">
        <x:v>0.8246784081268974</x:v>
      </x:c>
      <x:c r="R18" s="25" t="n">
        <x:v>2.6646460284472755</x:v>
      </x:c>
    </x:row>
    <x:row r="19">
      <x:c r="L19" t="n">
        <x:v>2023</x:v>
      </x:c>
      <x:c r="M19" t="n">
        <x:v>3</x:v>
      </x:c>
      <x:c r="N19" t="str">
        <x:v>Overnight</x:v>
      </x:c>
      <x:c r="O19" s="23" t="n">
        <x:v>17865</x:v>
      </x:c>
      <x:c r="P19" s="24" t="n">
        <x:v>0.10993562832353765</x:v>
      </x:c>
      <x:c r="Q19" s="24" t="n">
        <x:v>0.877861740834033</x:v>
      </x:c>
      <x:c r="R19" s="25" t="n">
        <x:v>-1.0344534481781607</x:v>
      </x:c>
    </x:row>
    <x:row r="20">
      <x:c r="L20" t="n">
        <x:v>2023</x:v>
      </x:c>
      <x:c r="M20" t="n">
        <x:v>4</x:v>
      </x:c>
      <x:c r="N20" t="str">
        <x:v>Afternoon</x:v>
      </x:c>
      <x:c r="O20" s="23" t="n">
        <x:v>131684</x:v>
      </x:c>
      <x:c r="P20" s="24" t="n">
        <x:v>0.28284377752802164</x:v>
      </x:c>
      <x:c r="Q20" s="24" t="n">
        <x:v>0.6928556240697428</x:v>
      </x:c>
      <x:c r="R20" s="25" t="n">
        <x:v>14.74386694063074</x:v>
      </x:c>
    </x:row>
    <x:row r="21">
      <x:c r="L21" t="n">
        <x:v>2023</x:v>
      </x:c>
      <x:c r="M21" t="n">
        <x:v>4</x:v>
      </x:c>
      <x:c r="N21" t="str">
        <x:v>Evening</x:v>
      </x:c>
      <x:c r="O21" s="23" t="n">
        <x:v>98392</x:v>
      </x:c>
      <x:c r="P21" s="24" t="n">
        <x:v>0.31151922920562647</x:v>
      </x:c>
      <x:c r="Q21" s="24" t="n">
        <x:v>0.6630620375640296</x:v>
      </x:c>
      <x:c r="R21" s="25" t="n">
        <x:v>17.168013682201668</x:v>
      </x:c>
    </x:row>
    <x:row r="22">
      <x:c r="L22" t="n">
        <x:v>2023</x:v>
      </x:c>
      <x:c r="M22" t="n">
        <x:v>4</x:v>
      </x:c>
      <x:c r="N22" t="str">
        <x:v>Midday</x:v>
      </x:c>
      <x:c r="O22" s="23" t="n">
        <x:v>132226</x:v>
      </x:c>
      <x:c r="P22" s="24" t="n">
        <x:v>0.2246456823922678</x:v>
      </x:c>
      <x:c r="Q22" s="24" t="n">
        <x:v>0.7579825450365284</x:v>
      </x:c>
      <x:c r="R22" s="25" t="n">
        <x:v>8.99844530474336</x:v>
      </x:c>
    </x:row>
    <x:row r="23">
      <x:c r="L23" t="n">
        <x:v>2023</x:v>
      </x:c>
      <x:c r="M23" t="n">
        <x:v>4</x:v>
      </x:c>
      <x:c r="N23" t="str">
        <x:v>Morning</x:v>
      </x:c>
      <x:c r="O23" s="23" t="n">
        <x:v>181530</x:v>
      </x:c>
      <x:c r="P23" s="24" t="n">
        <x:v>0.14655979727868673</x:v>
      </x:c>
      <x:c r="Q23" s="24" t="n">
        <x:v>0.8375695477331571</x:v>
      </x:c>
      <x:c r="R23" s="25" t="n">
        <x:v>1.8370379906968413</x:v>
      </x:c>
    </x:row>
    <x:row r="24">
      <x:c r="L24" t="n">
        <x:v>2023</x:v>
      </x:c>
      <x:c r="M24" t="n">
        <x:v>4</x:v>
      </x:c>
      <x:c r="N24" t="str">
        <x:v>Overnight</x:v>
      </x:c>
      <x:c r="O24" s="23" t="n">
        <x:v>17609</x:v>
      </x:c>
      <x:c r="P24" s="24" t="n">
        <x:v>0.09517860185132603</x:v>
      </x:c>
      <x:c r="Q24" s="24" t="n">
        <x:v>0.8870463967289455</x:v>
      </x:c>
      <x:c r="R24" s="25" t="n">
        <x:v>-1.3619333950046253</x:v>
      </x:c>
    </x:row>
    <x:row r="25">
      <x:c r="L25" t="n">
        <x:v>2023</x:v>
      </x:c>
      <x:c r="M25" t="n">
        <x:v>5</x:v>
      </x:c>
      <x:c r="N25" t="str">
        <x:v>Afternoon</x:v>
      </x:c>
      <x:c r="O25" s="23" t="n">
        <x:v>136027</x:v>
      </x:c>
      <x:c r="P25" s="24" t="n">
        <x:v>0.2466716166643387</x:v>
      </x:c>
      <x:c r="Q25" s="24" t="n">
        <x:v>0.743661184911819</x:v>
      </x:c>
      <x:c r="R25" s="25" t="n">
        <x:v>9.61401815738878</x:v>
      </x:c>
    </x:row>
    <x:row r="26">
      <x:c r="L26" t="n">
        <x:v>2023</x:v>
      </x:c>
      <x:c r="M26" t="n">
        <x:v>5</x:v>
      </x:c>
      <x:c r="N26" t="str">
        <x:v>Evening</x:v>
      </x:c>
      <x:c r="O26" s="23" t="n">
        <x:v>99462</x:v>
      </x:c>
      <x:c r="P26" s="24" t="n">
        <x:v>0.2625525326255253</x:v>
      </x:c>
      <x:c r="Q26" s="24" t="n">
        <x:v>0.72801673000744</x:v>
      </x:c>
      <x:c r="R26" s="25" t="n">
        <x:v>11.141589866428484</x:v>
      </x:c>
    </x:row>
    <x:row r="27">
      <x:c r="L27" t="n">
        <x:v>2023</x:v>
      </x:c>
      <x:c r="M27" t="n">
        <x:v>5</x:v>
      </x:c>
      <x:c r="N27" t="str">
        <x:v>Midday</x:v>
      </x:c>
      <x:c r="O27" s="23" t="n">
        <x:v>137448</x:v>
      </x:c>
      <x:c r="P27" s="24" t="n">
        <x:v>0.17424771549967988</x:v>
      </x:c>
      <x:c r="Q27" s="24" t="n">
        <x:v>0.8184622548163669</x:v>
      </x:c>
      <x:c r="R27" s="25" t="n">
        <x:v>2.94744441024288</x:v>
      </x:c>
    </x:row>
    <x:row r="28">
      <x:c r="L28" t="n">
        <x:v>2023</x:v>
      </x:c>
      <x:c r="M28" t="n">
        <x:v>5</x:v>
      </x:c>
      <x:c r="N28" t="str">
        <x:v>Morning</x:v>
      </x:c>
      <x:c r="O28" s="23" t="n">
        <x:v>188566</x:v>
      </x:c>
      <x:c r="P28" s="24" t="n">
        <x:v>0.1019802085211544</x:v>
      </x:c>
      <x:c r="Q28" s="24" t="n">
        <x:v>0.8920802265519765</x:v>
      </x:c>
      <x:c r="R28" s="25" t="n">
        <x:v>-2.745670753176915</x:v>
      </x:c>
    </x:row>
    <x:row r="29">
      <x:c r="L29" t="n">
        <x:v>2023</x:v>
      </x:c>
      <x:c r="M29" t="n">
        <x:v>5</x:v>
      </x:c>
      <x:c r="N29" t="str">
        <x:v>Overnight</x:v>
      </x:c>
      <x:c r="O29" s="23" t="n">
        <x:v>18455</x:v>
      </x:c>
      <x:c r="P29" s="24" t="n">
        <x:v>0.06887022487130859</x:v>
      </x:c>
      <x:c r="Q29" s="24" t="n">
        <x:v>0.9228393389325386</x:v>
      </x:c>
      <x:c r="R29" s="25" t="n">
        <x:v>-4.702928641678505</x:v>
      </x:c>
    </x:row>
    <x:row r="30">
      <x:c r="L30" t="n">
        <x:v>2023</x:v>
      </x:c>
      <x:c r="M30" t="n">
        <x:v>6</x:v>
      </x:c>
      <x:c r="N30" t="str">
        <x:v>Afternoon</x:v>
      </x:c>
      <x:c r="O30" s="23" t="n">
        <x:v>134525</x:v>
      </x:c>
      <x:c r="P30" s="24" t="n">
        <x:v>0.3568110016725516</x:v>
      </x:c>
      <x:c r="Q30" s="24" t="n">
        <x:v>0.6110760081769188</x:v>
      </x:c>
      <x:c r="R30" s="25" t="n">
        <x:v>24.362781767213242</x:v>
      </x:c>
    </x:row>
    <x:row r="31">
      <x:c r="L31" t="n">
        <x:v>2023</x:v>
      </x:c>
      <x:c r="M31" t="n">
        <x:v>6</x:v>
      </x:c>
      <x:c r="N31" t="str">
        <x:v>Evening</x:v>
      </x:c>
      <x:c r="O31" s="23" t="n">
        <x:v>104450</x:v>
      </x:c>
      <x:c r="P31" s="24" t="n">
        <x:v>0.38738152225945427</x:v>
      </x:c>
      <x:c r="Q31" s="24" t="n">
        <x:v>0.574561991383437</x:v>
      </x:c>
      <x:c r="R31" s="25" t="n">
        <x:v>27.824234884299578</x:v>
      </x:c>
    </x:row>
    <x:row r="32">
      <x:c r="L32" t="n">
        <x:v>2023</x:v>
      </x:c>
      <x:c r="M32" t="n">
        <x:v>6</x:v>
      </x:c>
      <x:c r="N32" t="str">
        <x:v>Midday</x:v>
      </x:c>
      <x:c r="O32" s="23" t="n">
        <x:v>133084</x:v>
      </x:c>
      <x:c r="P32" s="24" t="n">
        <x:v>0.25706320819933276</x:v>
      </x:c>
      <x:c r="Q32" s="24" t="n">
        <x:v>0.7238961858675723</x:v>
      </x:c>
      <x:c r="R32" s="25" t="n">
        <x:v>12.453289927230946</x:v>
      </x:c>
    </x:row>
    <x:row r="33">
      <x:c r="L33" t="n">
        <x:v>2023</x:v>
      </x:c>
      <x:c r="M33" t="n">
        <x:v>6</x:v>
      </x:c>
      <x:c r="N33" t="str">
        <x:v>Morning</x:v>
      </x:c>
      <x:c r="O33" s="23" t="n">
        <x:v>186406</x:v>
      </x:c>
      <x:c r="P33" s="24" t="n">
        <x:v>0.1477473901054687</x:v>
      </x:c>
      <x:c r="Q33" s="24" t="n">
        <x:v>0.8349999463536582</x:v>
      </x:c>
      <x:c r="R33" s="25" t="n">
        <x:v>2.6081991375075058</x:v>
      </x:c>
    </x:row>
    <x:row r="34">
      <x:c r="L34" t="n">
        <x:v>2023</x:v>
      </x:c>
      <x:c r="M34" t="n">
        <x:v>6</x:v>
      </x:c>
      <x:c r="N34" t="str">
        <x:v>Overnight</x:v>
      </x:c>
      <x:c r="O34" s="23" t="n">
        <x:v>18797</x:v>
      </x:c>
      <x:c r="P34" s="24" t="n">
        <x:v>0.10927275629089749</x:v>
      </x:c>
      <x:c r="Q34" s="24" t="n">
        <x:v>0.868755652497739</x:v>
      </x:c>
      <x:c r="R34" s="25" t="n">
        <x:v>1.9730200174064403</x:v>
      </x:c>
    </x:row>
    <x:row r="35">
      <x:c r="L35" t="n">
        <x:v>2023</x:v>
      </x:c>
      <x:c r="M35" t="n">
        <x:v>7</x:v>
      </x:c>
      <x:c r="N35" t="str">
        <x:v>Afternoon</x:v>
      </x:c>
      <x:c r="O35" s="23" t="n">
        <x:v>140180</x:v>
      </x:c>
      <x:c r="P35" s="24" t="n">
        <x:v>0.3738336424596947</x:v>
      </x:c>
      <x:c r="Q35" s="24" t="n">
        <x:v>0.5868668854330147</x:v>
      </x:c>
      <x:c r="R35" s="25" t="n">
        <x:v>27.230086655627417</x:v>
      </x:c>
    </x:row>
    <x:row r="36">
      <x:c r="L36" t="n">
        <x:v>2023</x:v>
      </x:c>
      <x:c r="M36" t="n">
        <x:v>7</x:v>
      </x:c>
      <x:c r="N36" t="str">
        <x:v>Evening</x:v>
      </x:c>
      <x:c r="O36" s="23" t="n">
        <x:v>108037</x:v>
      </x:c>
      <x:c r="P36" s="24" t="n">
        <x:v>0.41318252080305823</x:v>
      </x:c>
      <x:c r="Q36" s="24" t="n">
        <x:v>0.5464146542388256</x:v>
      </x:c>
      <x:c r="R36" s="25" t="n">
        <x:v>30.88075854618412</x:v>
      </x:c>
    </x:row>
    <x:row r="37">
      <x:c r="L37" t="n">
        <x:v>2023</x:v>
      </x:c>
      <x:c r="M37" t="n">
        <x:v>7</x:v>
      </x:c>
      <x:c r="N37" t="str">
        <x:v>Midday</x:v>
      </x:c>
      <x:c r="O37" s="23" t="n">
        <x:v>140194</x:v>
      </x:c>
      <x:c r="P37" s="24" t="n">
        <x:v>0.26571750574204317</x:v>
      </x:c>
      <x:c r="Q37" s="24" t="n">
        <x:v>0.7103941680813729</x:v>
      </x:c>
      <x:c r="R37" s="25" t="n">
        <x:v>14.991559793927436</x:v>
      </x:c>
    </x:row>
    <x:row r="38">
      <x:c r="L38" t="n">
        <x:v>2023</x:v>
      </x:c>
      <x:c r="M38" t="n">
        <x:v>7</x:v>
      </x:c>
      <x:c r="N38" t="str">
        <x:v>Morning</x:v>
      </x:c>
      <x:c r="O38" s="23" t="n">
        <x:v>193603</x:v>
      </x:c>
      <x:c r="P38" s="24" t="n">
        <x:v>0.1579262718036394</x:v>
      </x:c>
      <x:c r="Q38" s="24" t="n">
        <x:v>0.8254934066104348</x:v>
      </x:c>
      <x:c r="R38" s="25" t="n">
        <x:v>4.067239867011917</x:v>
      </x:c>
    </x:row>
    <x:row r="39">
      <x:c r="L39" t="n">
        <x:v>2023</x:v>
      </x:c>
      <x:c r="M39" t="n">
        <x:v>7</x:v>
      </x:c>
      <x:c r="N39" t="str">
        <x:v>Overnight</x:v>
      </x:c>
      <x:c r="O39" s="23" t="n">
        <x:v>19852</x:v>
      </x:c>
      <x:c r="P39" s="24" t="n">
        <x:v>0.11132379609107394</x:v>
      </x:c>
      <x:c r="Q39" s="24" t="n">
        <x:v>0.8697864195043321</x:v>
      </x:c>
      <x:c r="R39" s="25" t="n">
        <x:v>2.15464393900498</x:v>
      </x:c>
    </x:row>
    <x:row r="40">
      <x:c r="L40" t="n">
        <x:v>2023</x:v>
      </x:c>
      <x:c r="M40" t="n">
        <x:v>8</x:v>
      </x:c>
      <x:c r="N40" t="str">
        <x:v>Afternoon</x:v>
      </x:c>
      <x:c r="O40" s="23" t="n">
        <x:v>140994</x:v>
      </x:c>
      <x:c r="P40" s="24" t="n">
        <x:v>0.2857710257174064</x:v>
      </x:c>
      <x:c r="Q40" s="24" t="n">
        <x:v>0.6930507681177922</x:v>
      </x:c>
      <x:c r="R40" s="25" t="n">
        <x:v>15.67085241435279</x:v>
      </x:c>
    </x:row>
    <x:row r="41">
      <x:c r="L41" t="n">
        <x:v>2023</x:v>
      </x:c>
      <x:c r="M41" t="n">
        <x:v>8</x:v>
      </x:c>
      <x:c r="N41" t="str">
        <x:v>Evening</x:v>
      </x:c>
      <x:c r="O41" s="23" t="n">
        <x:v>106870</x:v>
      </x:c>
      <x:c r="P41" s="24" t="n">
        <x:v>0.3023767193786844</x:v>
      </x:c>
      <x:c r="Q41" s="24" t="n">
        <x:v>0.6731636567792645</x:v>
      </x:c>
      <x:c r="R41" s="25" t="n">
        <x:v>17.42445518723143</x:v>
      </x:c>
    </x:row>
    <x:row r="42">
      <x:c r="L42" t="n">
        <x:v>2023</x:v>
      </x:c>
      <x:c r="M42" t="n">
        <x:v>8</x:v>
      </x:c>
      <x:c r="N42" t="str">
        <x:v>Midday</x:v>
      </x:c>
      <x:c r="O42" s="23" t="n">
        <x:v>141118</x:v>
      </x:c>
      <x:c r="P42" s="24" t="n">
        <x:v>0.20146969203078274</x:v>
      </x:c>
      <x:c r="Q42" s="24" t="n">
        <x:v>0.783053898156153</x:v>
      </x:c>
      <x:c r="R42" s="25" t="n">
        <x:v>6.4386111391020195</x:v>
      </x:c>
    </x:row>
    <x:row r="43">
      <x:c r="L43" t="n">
        <x:v>2023</x:v>
      </x:c>
      <x:c r="M43" t="n">
        <x:v>8</x:v>
      </x:c>
      <x:c r="N43" t="str">
        <x:v>Morning</x:v>
      </x:c>
      <x:c r="O43" s="23" t="n">
        <x:v>194490</x:v>
      </x:c>
      <x:c r="P43" s="24" t="n">
        <x:v>0.13133323050028278</x:v>
      </x:c>
      <x:c r="Q43" s="24" t="n">
        <x:v>0.8545477916602396</x:v>
      </x:c>
      <x:c r="R43" s="25" t="n">
        <x:v>0.652265520694259</x:v>
      </x:c>
    </x:row>
    <x:row r="44">
      <x:c r="L44" t="n">
        <x:v>2023</x:v>
      </x:c>
      <x:c r="M44" t="n">
        <x:v>8</x:v>
      </x:c>
      <x:c r="N44" t="str">
        <x:v>Overnight</x:v>
      </x:c>
      <x:c r="O44" s="23" t="n">
        <x:v>19515</x:v>
      </x:c>
      <x:c r="P44" s="24" t="n">
        <x:v>0.09520881373302588</x:v>
      </x:c>
      <x:c r="Q44" s="24" t="n">
        <x:v>0.8886497565974891</x:v>
      </x:c>
      <x:c r="R44" s="25" t="n">
        <x:v>-0.056302083333333336</x:v>
      </x:c>
    </x:row>
    <x:row r="45">
      <x:c r="L45" t="n">
        <x:v>2023</x:v>
      </x:c>
      <x:c r="M45" t="n">
        <x:v>9</x:v>
      </x:c>
      <x:c r="N45" t="str">
        <x:v>Afternoon</x:v>
      </x:c>
      <x:c r="O45" s="23" t="n">
        <x:v>137050</x:v>
      </x:c>
      <x:c r="P45" s="24" t="n">
        <x:v>0.2514118934695367</x:v>
      </x:c>
      <x:c r="Q45" s="24" t="n">
        <x:v>0.7281649033199562</x:v>
      </x:c>
      <x:c r="R45" s="25" t="n">
        <x:v>11.917996886429151</x:v>
      </x:c>
    </x:row>
    <x:row r="46">
      <x:c r="L46" t="n">
        <x:v>2023</x:v>
      </x:c>
      <x:c r="M46" t="n">
        <x:v>9</x:v>
      </x:c>
      <x:c r="N46" t="str">
        <x:v>Evening</x:v>
      </x:c>
      <x:c r="O46" s="23" t="n">
        <x:v>91776</x:v>
      </x:c>
      <x:c r="P46" s="24" t="n">
        <x:v>0.25203756973500696</x:v>
      </x:c>
      <x:c r="Q46" s="24" t="n">
        <x:v>0.7263445781032078</x:v>
      </x:c>
      <x:c r="R46" s="25" t="n">
        <x:v>11.852626069137562</x:v>
      </x:c>
    </x:row>
    <x:row r="47">
      <x:c r="L47" t="n">
        <x:v>2023</x:v>
      </x:c>
      <x:c r="M47" t="n">
        <x:v>9</x:v>
      </x:c>
      <x:c r="N47" t="str">
        <x:v>Midday</x:v>
      </x:c>
      <x:c r="O47" s="23" t="n">
        <x:v>137368</x:v>
      </x:c>
      <x:c r="P47" s="24" t="n">
        <x:v>0.17878982004542543</x:v>
      </x:c>
      <x:c r="Q47" s="24" t="n">
        <x:v>0.8085143555995574</x:v>
      </x:c>
      <x:c r="R47" s="25" t="n">
        <x:v>4.694102813661299</x:v>
      </x:c>
    </x:row>
    <x:row r="48">
      <x:c r="L48" t="n">
        <x:v>2023</x:v>
      </x:c>
      <x:c r="M48" t="n">
        <x:v>9</x:v>
      </x:c>
      <x:c r="N48" t="str">
        <x:v>Morning</x:v>
      </x:c>
      <x:c r="O48" s="23" t="n">
        <x:v>188104</x:v>
      </x:c>
      <x:c r="P48" s="24" t="n">
        <x:v>0.11380938204397567</x:v>
      </x:c>
      <x:c r="Q48" s="24" t="n">
        <x:v>0.8768128269467954</x:v>
      </x:c>
      <x:c r="R48" s="25" t="n">
        <x:v>-1.2517494901792423</x:v>
      </x:c>
    </x:row>
    <x:row r="49">
      <x:c r="L49" t="n">
        <x:v>2023</x:v>
      </x:c>
      <x:c r="M49" t="n">
        <x:v>9</x:v>
      </x:c>
      <x:c r="N49" t="str">
        <x:v>Overnight</x:v>
      </x:c>
      <x:c r="O49" s="23" t="n">
        <x:v>15040</x:v>
      </x:c>
      <x:c r="P49" s="24" t="n">
        <x:v>0.07606382978723404</x:v>
      </x:c>
      <x:c r="Q49" s="24" t="n">
        <x:v>0.9132978723404256</x:v>
      </x:c>
      <x:c r="R49" s="25" t="n">
        <x:v>-2.8391129032258067</x:v>
      </x:c>
    </x:row>
    <x:row r="50">
      <x:c r="L50" t="n">
        <x:v>2023</x:v>
      </x:c>
      <x:c r="M50" t="n">
        <x:v>10</x:v>
      </x:c>
      <x:c r="N50" t="str">
        <x:v>Afternoon</x:v>
      </x:c>
      <x:c r="O50" s="23" t="n">
        <x:v>143932</x:v>
      </x:c>
      <x:c r="P50" s="24" t="n">
        <x:v>0.20253314064975128</x:v>
      </x:c>
      <x:c r="Q50" s="24" t="n">
        <x:v>0.7925826084539922</x:v>
      </x:c>
      <x:c r="R50" s="25" t="n">
        <x:v>4.9125735709947005</x:v>
      </x:c>
    </x:row>
    <x:row r="51">
      <x:c r="L51" t="n">
        <x:v>2023</x:v>
      </x:c>
      <x:c r="M51" t="n">
        <x:v>10</x:v>
      </x:c>
      <x:c r="N51" t="str">
        <x:v>Evening</x:v>
      </x:c>
      <x:c r="O51" s="23" t="n">
        <x:v>99021</x:v>
      </x:c>
      <x:c r="P51" s="24" t="n">
        <x:v>0.1982912715484594</x:v>
      </x:c>
      <x:c r="Q51" s="24" t="n">
        <x:v>0.7935791397784309</x:v>
      </x:c>
      <x:c r="R51" s="25" t="n">
        <x:v>4.436100024435937</x:v>
      </x:c>
    </x:row>
    <x:row r="52">
      <x:c r="L52" t="n">
        <x:v>2023</x:v>
      </x:c>
      <x:c r="M52" t="n">
        <x:v>10</x:v>
      </x:c>
      <x:c r="N52" t="str">
        <x:v>Midday</x:v>
      </x:c>
      <x:c r="O52" s="23" t="n">
        <x:v>142207</x:v>
      </x:c>
      <x:c r="P52" s="24" t="n">
        <x:v>0.15308669756059828</x:v>
      </x:c>
      <x:c r="Q52" s="24" t="n">
        <x:v>0.842926156940235</x:v>
      </x:c>
      <x:c r="R52" s="25" t="n">
        <x:v>0.9388590793561141</x:v>
      </x:c>
    </x:row>
    <x:row r="53">
      <x:c r="L53" t="n">
        <x:v>2023</x:v>
      </x:c>
      <x:c r="M53" t="n">
        <x:v>10</x:v>
      </x:c>
      <x:c r="N53" t="str">
        <x:v>Morning</x:v>
      </x:c>
      <x:c r="O53" s="23" t="n">
        <x:v>195433</x:v>
      </x:c>
      <x:c r="P53" s="24" t="n">
        <x:v>0.10754069169485195</x:v>
      </x:c>
      <x:c r="Q53" s="24" t="n">
        <x:v>0.8885551570103309</x:v>
      </x:c>
      <x:c r="R53" s="25" t="n">
        <x:v>-2.5037550726871114</x:v>
      </x:c>
    </x:row>
    <x:row r="54">
      <x:c r="L54" t="n">
        <x:v>2023</x:v>
      </x:c>
      <x:c r="M54" t="n">
        <x:v>10</x:v>
      </x:c>
      <x:c r="N54" t="str">
        <x:v>Overnight</x:v>
      </x:c>
      <x:c r="O54" s="23" t="n">
        <x:v>18375</x:v>
      </x:c>
      <x:c r="P54" s="24" t="n">
        <x:v>0.07684353741496598</x:v>
      </x:c>
      <x:c r="Q54" s="24" t="n">
        <x:v>0.9162448979591836</x:v>
      </x:c>
      <x:c r="R54" s="25" t="n">
        <x:v>-4.267919772029812</x:v>
      </x:c>
    </x:row>
    <x:row r="55">
      <x:c r="L55" t="n">
        <x:v>2023</x:v>
      </x:c>
      <x:c r="M55" t="n">
        <x:v>11</x:v>
      </x:c>
      <x:c r="N55" t="str">
        <x:v>Afternoon</x:v>
      </x:c>
      <x:c r="O55" s="23" t="n">
        <x:v>133803</x:v>
      </x:c>
      <x:c r="P55" s="24" t="n">
        <x:v>0.17206639611966848</x:v>
      </x:c>
      <x:c r="Q55" s="24" t="n">
        <x:v>0.8257438174031972</x:v>
      </x:c>
      <x:c r="R55" s="25" t="n">
        <x:v>1.6542431278555914</x:v>
      </x:c>
    </x:row>
    <x:row r="56">
      <x:c r="L56" t="n">
        <x:v>2023</x:v>
      </x:c>
      <x:c r="M56" t="n">
        <x:v>11</x:v>
      </x:c>
      <x:c r="N56" t="str">
        <x:v>Evening</x:v>
      </x:c>
      <x:c r="O56" s="23" t="n">
        <x:v>93283</x:v>
      </x:c>
      <x:c r="P56" s="24" t="n">
        <x:v>0.17707406494216524</x:v>
      </x:c>
      <x:c r="Q56" s="24" t="n">
        <x:v>0.8203316788696762</x:v>
      </x:c>
      <x:c r="R56" s="25" t="n">
        <x:v>1.8071602841757934</x:v>
      </x:c>
    </x:row>
    <x:row r="57">
      <x:c r="L57" t="n">
        <x:v>2023</x:v>
      </x:c>
      <x:c r="M57" t="n">
        <x:v>11</x:v>
      </x:c>
      <x:c r="N57" t="str">
        <x:v>Midday</x:v>
      </x:c>
      <x:c r="O57" s="23" t="n">
        <x:v>134722</x:v>
      </x:c>
      <x:c r="P57" s="24" t="n">
        <x:v>0.1291177387509093</x:v>
      </x:c>
      <x:c r="Q57" s="24" t="n">
        <x:v>0.8685886492183905</x:v>
      </x:c>
      <x:c r="R57" s="25" t="n">
        <x:v>-1.8260956901490184</x:v>
      </x:c>
    </x:row>
    <x:row r="58">
      <x:c r="L58" t="n">
        <x:v>2023</x:v>
      </x:c>
      <x:c r="M58" t="n">
        <x:v>11</x:v>
      </x:c>
      <x:c r="N58" t="str">
        <x:v>Morning</x:v>
      </x:c>
      <x:c r="O58" s="23" t="n">
        <x:v>183082</x:v>
      </x:c>
      <x:c r="P58" s="24" t="n">
        <x:v>0.09686916245179755</x:v>
      </x:c>
      <x:c r="Q58" s="24" t="n">
        <x:v>0.9007111567494347</x:v>
      </x:c>
      <x:c r="R58" s="25" t="n">
        <x:v>-4.2516987061909015</x:v>
      </x:c>
    </x:row>
    <x:row r="59">
      <x:c r="L59" t="n">
        <x:v>2023</x:v>
      </x:c>
      <x:c r="M59" t="n">
        <x:v>11</x:v>
      </x:c>
      <x:c r="N59" t="str">
        <x:v>Overnight</x:v>
      </x:c>
      <x:c r="O59" s="23" t="n">
        <x:v>18887</x:v>
      </x:c>
      <x:c r="P59" s="24" t="n">
        <x:v>0.08879123206438291</x:v>
      </x:c>
      <x:c r="Q59" s="24" t="n">
        <x:v>0.9071318896595542</x:v>
      </x:c>
      <x:c r="R59" s="25" t="n">
        <x:v>-3.9129186602870814</x:v>
      </x:c>
    </x:row>
    <x:row r="60">
      <x:c r="L60" t="n">
        <x:v>2023</x:v>
      </x:c>
      <x:c r="M60" t="n">
        <x:v>12</x:v>
      </x:c>
      <x:c r="N60" t="str">
        <x:v>Afternoon</x:v>
      </x:c>
      <x:c r="O60" s="23" t="n">
        <x:v>135854</x:v>
      </x:c>
      <x:c r="P60" s="24" t="n">
        <x:v>0.18923991932515788</x:v>
      </x:c>
      <x:c r="Q60" s="24" t="n">
        <x:v>0.8050186229334433</x:v>
      </x:c>
      <x:c r="R60" s="25" t="n">
        <x:v>2.83822941498734</x:v>
      </x:c>
    </x:row>
    <x:row r="61">
      <x:c r="L61" t="n">
        <x:v>2023</x:v>
      </x:c>
      <x:c r="M61" t="n">
        <x:v>12</x:v>
      </x:c>
      <x:c r="N61" t="str">
        <x:v>Evening</x:v>
      </x:c>
      <x:c r="O61" s="23" t="n">
        <x:v>95114</x:v>
      </x:c>
      <x:c r="P61" s="24" t="n">
        <x:v>0.20361881531635723</x:v>
      </x:c>
      <x:c r="Q61" s="24" t="n">
        <x:v>0.7883802594781</x:v>
      </x:c>
      <x:c r="R61" s="25" t="n">
        <x:v>4.672283870147213</x:v>
      </x:c>
    </x:row>
    <x:row r="62">
      <x:c r="L62" t="n">
        <x:v>2023</x:v>
      </x:c>
      <x:c r="M62" t="n">
        <x:v>12</x:v>
      </x:c>
      <x:c r="N62" t="str">
        <x:v>Midday</x:v>
      </x:c>
      <x:c r="O62" s="23" t="n">
        <x:v>135564</x:v>
      </x:c>
      <x:c r="P62" s="24" t="n">
        <x:v>0.1531748841875424</x:v>
      </x:c>
      <x:c r="Q62" s="24" t="n">
        <x:v>0.8419713198194211</x:v>
      </x:c>
      <x:c r="R62" s="25" t="n">
        <x:v>0.025321334855380784</x:v>
      </x:c>
    </x:row>
    <x:row r="63">
      <x:c r="L63" t="n">
        <x:v>2023</x:v>
      </x:c>
      <x:c r="M63" t="n">
        <x:v>12</x:v>
      </x:c>
      <x:c r="N63" t="str">
        <x:v>Morning</x:v>
      </x:c>
      <x:c r="O63" s="23" t="n">
        <x:v>183787</x:v>
      </x:c>
      <x:c r="P63" s="24" t="n">
        <x:v>0.11612355607306284</x:v>
      </x:c>
      <x:c r="Q63" s="24" t="n">
        <x:v>0.8779075777938592</x:v>
      </x:c>
      <x:c r="R63" s="25" t="n">
        <x:v>-2.7586403196671956</x:v>
      </x:c>
    </x:row>
    <x:row r="64">
      <x:c r="L64" t="n">
        <x:v>2023</x:v>
      </x:c>
      <x:c r="M64" t="n">
        <x:v>12</x:v>
      </x:c>
      <x:c r="N64" t="str">
        <x:v>Overnight</x:v>
      </x:c>
      <x:c r="O64" s="23" t="n">
        <x:v>20075</x:v>
      </x:c>
      <x:c r="P64" s="24" t="n">
        <x:v>0.09813200498132005</x:v>
      </x:c>
      <x:c r="Q64" s="24" t="n">
        <x:v>0.8940473225404733</x:v>
      </x:c>
      <x:c r="R64" s="25" t="n">
        <x:v>-1.751882719148509</x:v>
      </x:c>
    </x:row>
    <x:row r="65">
      <x:c r="L65" t="n">
        <x:v>2024</x:v>
      </x:c>
      <x:c r="M65" t="n">
        <x:v>1</x:v>
      </x:c>
      <x:c r="N65" t="str">
        <x:v>Afternoon</x:v>
      </x:c>
      <x:c r="O65" s="23" t="n">
        <x:v>133465</x:v>
      </x:c>
      <x:c r="P65" s="24" t="n">
        <x:v>0.2773835837110853</x:v>
      </x:c>
      <x:c r="Q65" s="24" t="n">
        <x:v>0.681594425504814</x:v>
      </x:c>
      <x:c r="R65" s="25" t="n">
        <x:v>14.745917649816391</x:v>
      </x:c>
    </x:row>
    <x:row r="66">
      <x:c r="L66" t="n">
        <x:v>2024</x:v>
      </x:c>
      <x:c r="M66" t="n">
        <x:v>1</x:v>
      </x:c>
      <x:c r="N66" t="str">
        <x:v>Evening</x:v>
      </x:c>
      <x:c r="O66" s="23" t="n">
        <x:v>83230</x:v>
      </x:c>
      <x:c r="P66" s="24" t="n">
        <x:v>0.2661059714045416</x:v>
      </x:c>
      <x:c r="Q66" s="24" t="n">
        <x:v>0.689859425687853</x:v>
      </x:c>
      <x:c r="R66" s="25" t="n">
        <x:v>14.014277634638345</x:v>
      </x:c>
    </x:row>
    <x:row r="67">
      <x:c r="L67" t="n">
        <x:v>2024</x:v>
      </x:c>
      <x:c r="M67" t="n">
        <x:v>1</x:v>
      </x:c>
      <x:c r="N67" t="str">
        <x:v>Midday</x:v>
      </x:c>
      <x:c r="O67" s="23" t="n">
        <x:v>133927</x:v>
      </x:c>
      <x:c r="P67" s="24" t="n">
        <x:v>0.24045935472309543</x:v>
      </x:c>
      <x:c r="Q67" s="24" t="n">
        <x:v>0.7236628909779208</x:v>
      </x:c>
      <x:c r="R67" s="25" t="n">
        <x:v>11.085988445036477</x:v>
      </x:c>
    </x:row>
    <x:row r="68">
      <x:c r="L68" t="n">
        <x:v>2024</x:v>
      </x:c>
      <x:c r="M68" t="n">
        <x:v>1</x:v>
      </x:c>
      <x:c r="N68" t="str">
        <x:v>Morning</x:v>
      </x:c>
      <x:c r="O68" s="23" t="n">
        <x:v>180715</x:v>
      </x:c>
      <x:c r="P68" s="24" t="n">
        <x:v>0.18025067094596464</x:v>
      </x:c>
      <x:c r="Q68" s="24" t="n">
        <x:v>0.7791439559527432</x:v>
      </x:c>
      <x:c r="R68" s="25" t="n">
        <x:v>5.230976427092406</x:v>
      </x:c>
    </x:row>
    <x:row r="69">
      <x:c r="L69" t="n">
        <x:v>2024</x:v>
      </x:c>
      <x:c r="M69" t="n">
        <x:v>1</x:v>
      </x:c>
      <x:c r="N69" t="str">
        <x:v>Overnight</x:v>
      </x:c>
      <x:c r="O69" s="23" t="n">
        <x:v>15934</x:v>
      </x:c>
      <x:c r="P69" s="24" t="n">
        <x:v>0.15457512237981674</x:v>
      </x:c>
      <x:c r="Q69" s="24" t="n">
        <x:v>0.8066398895443705</x:v>
      </x:c>
      <x:c r="R69" s="25" t="n">
        <x:v>6.400822669104205</x:v>
      </x:c>
    </x:row>
    <x:row r="70">
      <x:c r="L70" t="n">
        <x:v>2024</x:v>
      </x:c>
      <x:c r="M70" t="n">
        <x:v>2</x:v>
      </x:c>
      <x:c r="N70" t="str">
        <x:v>Afternoon</x:v>
      </x:c>
      <x:c r="O70" s="23" t="n">
        <x:v>127285</x:v>
      </x:c>
      <x:c r="P70" s="24" t="n">
        <x:v>0.19855442510900734</x:v>
      </x:c>
      <x:c r="Q70" s="24" t="n">
        <x:v>0.7948540676434772</x:v>
      </x:c>
      <x:c r="R70" s="25" t="n">
        <x:v>4.119236670199136</x:v>
      </x:c>
    </x:row>
    <x:row r="71">
      <x:c r="L71" t="n">
        <x:v>2024</x:v>
      </x:c>
      <x:c r="M71" t="n">
        <x:v>2</x:v>
      </x:c>
      <x:c r="N71" t="str">
        <x:v>Evening</x:v>
      </x:c>
      <x:c r="O71" s="23" t="n">
        <x:v>79187</x:v>
      </x:c>
      <x:c r="P71" s="24" t="n">
        <x:v>0.20269741245406442</x:v>
      </x:c>
      <x:c r="Q71" s="24" t="n">
        <x:v>0.7904706580625608</x:v>
      </x:c>
      <x:c r="R71" s="25" t="n">
        <x:v>3.889886326068713</x:v>
      </x:c>
    </x:row>
    <x:row r="72">
      <x:c r="L72" t="n">
        <x:v>2024</x:v>
      </x:c>
      <x:c r="M72" t="n">
        <x:v>2</x:v>
      </x:c>
      <x:c r="N72" t="str">
        <x:v>Midday</x:v>
      </x:c>
      <x:c r="O72" s="23" t="n">
        <x:v>126605</x:v>
      </x:c>
      <x:c r="P72" s="24" t="n">
        <x:v>0.1581928043916117</x:v>
      </x:c>
      <x:c r="Q72" s="24" t="n">
        <x:v>0.8337269460131906</x:v>
      </x:c>
      <x:c r="R72" s="25" t="n">
        <x:v>1.0238569221703748</x:v>
      </x:c>
    </x:row>
    <x:row r="73">
      <x:c r="L73" t="n">
        <x:v>2024</x:v>
      </x:c>
      <x:c r="M73" t="n">
        <x:v>2</x:v>
      </x:c>
      <x:c r="N73" t="str">
        <x:v>Morning</x:v>
      </x:c>
      <x:c r="O73" s="23" t="n">
        <x:v>171646</x:v>
      </x:c>
      <x:c r="P73" s="24" t="n">
        <x:v>0.11328548291250597</x:v>
      </x:c>
      <x:c r="Q73" s="24" t="n">
        <x:v>0.8782727240949396</x:v>
      </x:c>
      <x:c r="R73" s="25" t="n">
        <x:v>-3.349494996974095</x:v>
      </x:c>
    </x:row>
    <x:row r="74">
      <x:c r="L74" t="n">
        <x:v>2024</x:v>
      </x:c>
      <x:c r="M74" t="n">
        <x:v>2</x:v>
      </x:c>
      <x:c r="N74" t="str">
        <x:v>Overnight</x:v>
      </x:c>
      <x:c r="O74" s="23" t="n">
        <x:v>14498</x:v>
      </x:c>
      <x:c r="P74" s="24" t="n">
        <x:v>0.08546006345702856</x:v>
      </x:c>
      <x:c r="Q74" s="24" t="n">
        <x:v>0.907642433439095</x:v>
      </x:c>
      <x:c r="R74" s="25" t="n">
        <x:v>-5.521600222253091</x:v>
      </x:c>
    </x:row>
    <x:row r="75">
      <x:c r="L75" t="n">
        <x:v>2024</x:v>
      </x:c>
      <x:c r="M75" t="n">
        <x:v>3</x:v>
      </x:c>
      <x:c r="N75" t="str">
        <x:v>Afternoon</x:v>
      </x:c>
      <x:c r="O75" s="23" t="n">
        <x:v>142063</x:v>
      </x:c>
      <x:c r="P75" s="24" t="n">
        <x:v>0.2626933121220867</x:v>
      </x:c>
      <x:c r="Q75" s="24" t="n">
        <x:v>0.7255020659848096</x:v>
      </x:c>
      <x:c r="R75" s="25" t="n">
        <x:v>12.398850312709245</x:v>
      </x:c>
    </x:row>
    <x:row r="76">
      <x:c r="L76" t="n">
        <x:v>2024</x:v>
      </x:c>
      <x:c r="M76" t="n">
        <x:v>3</x:v>
      </x:c>
      <x:c r="N76" t="str">
        <x:v>Evening</x:v>
      </x:c>
      <x:c r="O76" s="23" t="n">
        <x:v>102335</x:v>
      </x:c>
      <x:c r="P76" s="24" t="n">
        <x:v>0.28413543753359066</x:v>
      </x:c>
      <x:c r="Q76" s="24" t="n">
        <x:v>0.701636781159916</x:v>
      </x:c>
      <x:c r="R76" s="25" t="n">
        <x:v>13.38387573231297</x:v>
      </x:c>
    </x:row>
    <x:row r="77">
      <x:c r="L77" t="n">
        <x:v>2024</x:v>
      </x:c>
      <x:c r="M77" t="n">
        <x:v>3</x:v>
      </x:c>
      <x:c r="N77" t="str">
        <x:v>Midday</x:v>
      </x:c>
      <x:c r="O77" s="23" t="n">
        <x:v>137647</x:v>
      </x:c>
      <x:c r="P77" s="24" t="n">
        <x:v>0.20597615640006683</x:v>
      </x:c>
      <x:c r="Q77" s="24" t="n">
        <x:v>0.7833152920150821</x:v>
      </x:c>
      <x:c r="R77" s="25" t="n">
        <x:v>6.50780257466605</x:v>
      </x:c>
    </x:row>
    <x:row r="78">
      <x:c r="L78" t="n">
        <x:v>2024</x:v>
      </x:c>
      <x:c r="M78" t="n">
        <x:v>3</x:v>
      </x:c>
      <x:c r="N78" t="str">
        <x:v>Morning</x:v>
      </x:c>
      <x:c r="O78" s="23" t="n">
        <x:v>189526</x:v>
      </x:c>
      <x:c r="P78" s="24" t="n">
        <x:v>0.13373363021432416</x:v>
      </x:c>
      <x:c r="Q78" s="24" t="n">
        <x:v>0.8583624410371137</x:v>
      </x:c>
      <x:c r="R78" s="25" t="n">
        <x:v>-0.6710915395579382</x:v>
      </x:c>
    </x:row>
    <x:row r="79">
      <x:c r="L79" t="n">
        <x:v>2024</x:v>
      </x:c>
      <x:c r="M79" t="n">
        <x:v>3</x:v>
      </x:c>
      <x:c r="N79" t="str">
        <x:v>Overnight</x:v>
      </x:c>
      <x:c r="O79" s="23" t="n">
        <x:v>20195</x:v>
      </x:c>
      <x:c r="P79" s="24" t="n">
        <x:v>0.09596434761079475</x:v>
      </x:c>
      <x:c r="Q79" s="24" t="n">
        <x:v>0.8917058677890567</x:v>
      </x:c>
      <x:c r="R79" s="25" t="n">
        <x:v>-2.153614759851599</x:v>
      </x:c>
    </x:row>
    <x:row r="80">
      <x:c r="L80" t="n">
        <x:v>2024</x:v>
      </x:c>
      <x:c r="M80" t="n">
        <x:v>3</x:v>
      </x:c>
      <x:c r="N80" t="str">
        <x:v>Unknown</x:v>
      </x:c>
      <x:c r="O80" s="23" t="n">
        <x:v>1</x:v>
      </x:c>
      <x:c r="P80" s="24" t="n">
        <x:v>0</x:v>
      </x:c>
      <x:c r="Q80" s="24" t="n">
        <x:v>1</x:v>
      </x:c>
      <x:c r="R80" s="25" t="n">
        <x:v>-19</x:v>
      </x:c>
    </x:row>
    <x:row r="81">
      <x:c r="L81" t="n">
        <x:v>2024</x:v>
      </x:c>
      <x:c r="M81" t="n">
        <x:v>4</x:v>
      </x:c>
      <x:c r="N81" t="str">
        <x:v>Afternoon</x:v>
      </x:c>
      <x:c r="O81" s="23" t="n">
        <x:v>139497</x:v>
      </x:c>
      <x:c r="P81" s="24" t="n">
        <x:v>0.24818454877165816</x:v>
      </x:c>
      <x:c r="Q81" s="24" t="n">
        <x:v>0.740983677068324</x:v>
      </x:c>
      <x:c r="R81" s="25" t="n">
        <x:v>10.633564274636557</x:v>
      </x:c>
    </x:row>
    <x:row r="82">
      <x:c r="L82" t="n">
        <x:v>2024</x:v>
      </x:c>
      <x:c r="M82" t="n">
        <x:v>4</x:v>
      </x:c>
      <x:c r="N82" t="str">
        <x:v>Evening</x:v>
      </x:c>
      <x:c r="O82" s="23" t="n">
        <x:v>99080</x:v>
      </x:c>
      <x:c r="P82" s="24" t="n">
        <x:v>0.25642914816310053</x:v>
      </x:c>
      <x:c r="Q82" s="24" t="n">
        <x:v>0.7340431974162294</x:v>
      </x:c>
      <x:c r="R82" s="25" t="n">
        <x:v>10.786001059753811</x:v>
      </x:c>
    </x:row>
    <x:row r="83">
      <x:c r="L83" t="n">
        <x:v>2024</x:v>
      </x:c>
      <x:c r="M83" t="n">
        <x:v>4</x:v>
      </x:c>
      <x:c r="N83" t="str">
        <x:v>Midday</x:v>
      </x:c>
      <x:c r="O83" s="23" t="n">
        <x:v>136032</x:v>
      </x:c>
      <x:c r="P83" s="24" t="n">
        <x:v>0.18639731827805223</x:v>
      </x:c>
      <x:c r="Q83" s="24" t="n">
        <x:v>0.8045312867560575</x:v>
      </x:c>
      <x:c r="R83" s="25" t="n">
        <x:v>5.386541343343373</x:v>
      </x:c>
    </x:row>
    <x:row r="84">
      <x:c r="L84" t="n">
        <x:v>2024</x:v>
      </x:c>
      <x:c r="M84" t="n">
        <x:v>4</x:v>
      </x:c>
      <x:c r="N84" t="str">
        <x:v>Morning</x:v>
      </x:c>
      <x:c r="O84" s="23" t="n">
        <x:v>188924</x:v>
      </x:c>
      <x:c r="P84" s="24" t="n">
        <x:v>0.12103279625669582</x:v>
      </x:c>
      <x:c r="Q84" s="24" t="n">
        <x:v>0.8714139018864728</x:v>
      </x:c>
      <x:c r="R84" s="25" t="n">
        <x:v>-0.6244366576531891</x:v>
      </x:c>
    </x:row>
    <x:row r="85">
      <x:c r="L85" t="n">
        <x:v>2024</x:v>
      </x:c>
      <x:c r="M85" t="n">
        <x:v>4</x:v>
      </x:c>
      <x:c r="N85" t="str">
        <x:v>Overnight</x:v>
      </x:c>
      <x:c r="O85" s="23" t="n">
        <x:v>18652</x:v>
      </x:c>
      <x:c r="P85" s="24" t="n">
        <x:v>0.09103581385374222</x:v>
      </x:c>
      <x:c r="Q85" s="24" t="n">
        <x:v>0.9007076989062835</x:v>
      </x:c>
      <x:c r="R85" s="25" t="n">
        <x:v>-2.282138609579414</x:v>
      </x:c>
    </x:row>
    <x:row r="86">
      <x:c r="L86" t="n">
        <x:v>2024</x:v>
      </x:c>
      <x:c r="M86" t="n">
        <x:v>5</x:v>
      </x:c>
      <x:c r="N86" t="str">
        <x:v>Afternoon</x:v>
      </x:c>
      <x:c r="O86" s="23" t="n">
        <x:v>146316</x:v>
      </x:c>
      <x:c r="P86" s="24" t="n">
        <x:v>0.34754914021706446</x:v>
      </x:c>
      <x:c r="Q86" s="24" t="n">
        <x:v>0.632282183766642</x:v>
      </x:c>
      <x:c r="R86" s="25" t="n">
        <x:v>23.107927318383148</x:v>
      </x:c>
    </x:row>
    <x:row r="87">
      <x:c r="L87" t="n">
        <x:v>2024</x:v>
      </x:c>
      <x:c r="M87" t="n">
        <x:v>5</x:v>
      </x:c>
      <x:c r="N87" t="str">
        <x:v>Evening</x:v>
      </x:c>
      <x:c r="O87" s="23" t="n">
        <x:v>103506</x:v>
      </x:c>
      <x:c r="P87" s="24" t="n">
        <x:v>0.36533147836840374</x:v>
      </x:c>
      <x:c r="Q87" s="24" t="n">
        <x:v>0.613114215601028</x:v>
      </x:c>
      <x:c r="R87" s="25" t="n">
        <x:v>23.571434213774378</x:v>
      </x:c>
    </x:row>
    <x:row r="88">
      <x:c r="L88" t="n">
        <x:v>2024</x:v>
      </x:c>
      <x:c r="M88" t="n">
        <x:v>5</x:v>
      </x:c>
      <x:c r="N88" t="str">
        <x:v>Midday</x:v>
      </x:c>
      <x:c r="O88" s="23" t="n">
        <x:v>142860</x:v>
      </x:c>
      <x:c r="P88" s="24" t="n">
        <x:v>0.2584698306033879</x:v>
      </x:c>
      <x:c r="Q88" s="24" t="n">
        <x:v>0.724702505949881</x:v>
      </x:c>
      <x:c r="R88" s="25" t="n">
        <x:v>13.96146836019821</x:v>
      </x:c>
    </x:row>
    <x:row r="89">
      <x:c r="L89" t="n">
        <x:v>2024</x:v>
      </x:c>
      <x:c r="M89" t="n">
        <x:v>5</x:v>
      </x:c>
      <x:c r="N89" t="str">
        <x:v>Morning</x:v>
      </x:c>
      <x:c r="O89" s="23" t="n">
        <x:v>198696</x:v>
      </x:c>
      <x:c r="P89" s="24" t="n">
        <x:v>0.15454261786850262</x:v>
      </x:c>
      <x:c r="Q89" s="24" t="n">
        <x:v>0.8324274268228852</x:v>
      </x:c>
      <x:c r="R89" s="25" t="n">
        <x:v>3.856603792827385</x:v>
      </x:c>
    </x:row>
    <x:row r="90">
      <x:c r="L90" t="n">
        <x:v>2024</x:v>
      </x:c>
      <x:c r="M90" t="n">
        <x:v>5</x:v>
      </x:c>
      <x:c r="N90" t="str">
        <x:v>Overnight</x:v>
      </x:c>
      <x:c r="O90" s="23" t="n">
        <x:v>18365</x:v>
      </x:c>
      <x:c r="P90" s="24" t="n">
        <x:v>0.10770487340049006</x:v>
      </x:c>
      <x:c r="Q90" s="24" t="n">
        <x:v>0.8736727470732372</x:v>
      </x:c>
      <x:c r="R90" s="25" t="n">
        <x:v>0.07923209232647173</x:v>
      </x:c>
    </x:row>
    <x:row r="91">
      <x:c r="L91" t="n">
        <x:v>2024</x:v>
      </x:c>
      <x:c r="M91" t="n">
        <x:v>6</x:v>
      </x:c>
      <x:c r="N91" t="str">
        <x:v>Afternoon</x:v>
      </x:c>
      <x:c r="O91" s="23" t="n">
        <x:v>143452</x:v>
      </x:c>
      <x:c r="P91" s="24" t="n">
        <x:v>0.3369559155675766</x:v>
      </x:c>
      <x:c r="Q91" s="24" t="n">
        <x:v>0.641768675236316</x:v>
      </x:c>
      <x:c r="R91" s="25" t="n">
        <x:v>21.01718660968661</x:v>
      </x:c>
    </x:row>
    <x:row r="92">
      <x:c r="L92" t="n">
        <x:v>2024</x:v>
      </x:c>
      <x:c r="M92" t="n">
        <x:v>6</x:v>
      </x:c>
      <x:c r="N92" t="str">
        <x:v>Evening</x:v>
      </x:c>
      <x:c r="O92" s="23" t="n">
        <x:v>110086</x:v>
      </x:c>
      <x:c r="P92" s="24" t="n">
        <x:v>0.36114492306015294</x:v>
      </x:c>
      <x:c r="Q92" s="24" t="n">
        <x:v>0.615473357193467</x:v>
      </x:c>
      <x:c r="R92" s="25" t="n">
        <x:v>22.58315350844557</x:v>
      </x:c>
    </x:row>
    <x:row r="93">
      <x:c r="L93" t="n">
        <x:v>2024</x:v>
      </x:c>
      <x:c r="M93" t="n">
        <x:v>6</x:v>
      </x:c>
      <x:c r="N93" t="str">
        <x:v>Midday</x:v>
      </x:c>
      <x:c r="O93" s="23" t="n">
        <x:v>140746</x:v>
      </x:c>
      <x:c r="P93" s="24" t="n">
        <x:v>0.2336762678868316</x:v>
      </x:c>
      <x:c r="Q93" s="24" t="n">
        <x:v>0.753108436474216</x:v>
      </x:c>
      <x:c r="R93" s="25" t="n">
        <x:v>10.188564722146221</x:v>
      </x:c>
    </x:row>
    <x:row r="94">
      <x:c r="L94" t="n">
        <x:v>2024</x:v>
      </x:c>
      <x:c r="M94" t="n">
        <x:v>6</x:v>
      </x:c>
      <x:c r="N94" t="str">
        <x:v>Morning</x:v>
      </x:c>
      <x:c r="O94" s="23" t="n">
        <x:v>195912</x:v>
      </x:c>
      <x:c r="P94" s="24" t="n">
        <x:v>0.13748519743558332</x:v>
      </x:c>
      <x:c r="Q94" s="24" t="n">
        <x:v>0.8517548695332599</x:v>
      </x:c>
      <x:c r="R94" s="25" t="n">
        <x:v>1.7005582960104022</x:v>
      </x:c>
    </x:row>
    <x:row r="95">
      <x:c r="L95" t="n">
        <x:v>2024</x:v>
      </x:c>
      <x:c r="M95" t="n">
        <x:v>6</x:v>
      </x:c>
      <x:c r="N95" t="str">
        <x:v>Overnight</x:v>
      </x:c>
      <x:c r="O95" s="23" t="n">
        <x:v>20936</x:v>
      </x:c>
      <x:c r="P95" s="24" t="n">
        <x:v>0.09681887657623232</x:v>
      </x:c>
      <x:c r="Q95" s="24" t="n">
        <x:v>0.890475735575086</x:v>
      </x:c>
      <x:c r="R95" s="25" t="n">
        <x:v>-1.163473633284954</x:v>
      </x:c>
    </x:row>
    <x:row r="96">
      <x:c r="L96" t="n">
        <x:v>2024</x:v>
      </x:c>
      <x:c r="M96" t="n">
        <x:v>7</x:v>
      </x:c>
      <x:c r="N96" t="str">
        <x:v>Afternoon</x:v>
      </x:c>
      <x:c r="O96" s="23" t="n">
        <x:v>147763</x:v>
      </x:c>
      <x:c r="P96" s="24" t="n">
        <x:v>0.39335963671555124</x:v>
      </x:c>
      <x:c r="Q96" s="24" t="n">
        <x:v>0.572240682714888</x:v>
      </x:c>
      <x:c r="R96" s="25" t="n">
        <x:v>28.978728623493133</x:v>
      </x:c>
    </x:row>
    <x:row r="97">
      <x:c r="L97" t="n">
        <x:v>2024</x:v>
      </x:c>
      <x:c r="M97" t="n">
        <x:v>7</x:v>
      </x:c>
      <x:c r="N97" t="str">
        <x:v>Evening</x:v>
      </x:c>
      <x:c r="O97" s="23" t="n">
        <x:v>113422</x:v>
      </x:c>
      <x:c r="P97" s="24" t="n">
        <x:v>0.4267602405177126</x:v>
      </x:c>
      <x:c r="Q97" s="24" t="n">
        <x:v>0.5278870060482094</x:v>
      </x:c>
      <x:c r="R97" s="25" t="n">
        <x:v>33.18888416852916</x:v>
      </x:c>
    </x:row>
    <x:row r="98">
      <x:c r="L98" t="n">
        <x:v>2024</x:v>
      </x:c>
      <x:c r="M98" t="n">
        <x:v>7</x:v>
      </x:c>
      <x:c r="N98" t="str">
        <x:v>Midday</x:v>
      </x:c>
      <x:c r="O98" s="23" t="n">
        <x:v>146993</x:v>
      </x:c>
      <x:c r="P98" s="24" t="n">
        <x:v>0.26874749137714044</x:v>
      </x:c>
      <x:c r="Q98" s="24" t="n">
        <x:v>0.7038498431898118</x:v>
      </x:c>
      <x:c r="R98" s="25" t="n">
        <x:v>15.116790822928689</x:v>
      </x:c>
    </x:row>
    <x:row r="99">
      <x:c r="L99" t="n">
        <x:v>2024</x:v>
      </x:c>
      <x:c r="M99" t="n">
        <x:v>7</x:v>
      </x:c>
      <x:c r="N99" t="str">
        <x:v>Morning</x:v>
      </x:c>
      <x:c r="O99" s="23" t="n">
        <x:v>204902</x:v>
      </x:c>
      <x:c r="P99" s="24" t="n">
        <x:v>0.1617016915403461</x:v>
      </x:c>
      <x:c r="Q99" s="24" t="n">
        <x:v>0.8104703712018428</x:v>
      </x:c>
      <x:c r="R99" s="25" t="n">
        <x:v>5.680612449799197</x:v>
      </x:c>
    </x:row>
    <x:row r="100">
      <x:c r="L100" t="n">
        <x:v>2024</x:v>
      </x:c>
      <x:c r="M100" t="n">
        <x:v>7</x:v>
      </x:c>
      <x:c r="N100" t="str">
        <x:v>Overnight</x:v>
      </x:c>
      <x:c r="O100" s="23" t="n">
        <x:v>21533</x:v>
      </x:c>
      <x:c r="P100" s="24" t="n">
        <x:v>0.12538893790925557</x:v>
      </x:c>
      <x:c r="Q100" s="24" t="n">
        <x:v>0.8412668926763572</x:v>
      </x:c>
      <x:c r="R100" s="25" t="n">
        <x:v>4.155897189526784</x:v>
      </x:c>
    </x:row>
    <x:row r="101">
      <x:c r="L101" t="n">
        <x:v>2024</x:v>
      </x:c>
      <x:c r="M101" t="n">
        <x:v>8</x:v>
      </x:c>
      <x:c r="N101" t="str">
        <x:v>Afternoon</x:v>
      </x:c>
      <x:c r="O101" s="23" t="n">
        <x:v>147986</x:v>
      </x:c>
      <x:c r="P101" s="24" t="n">
        <x:v>0.31859094779235875</x:v>
      </x:c>
      <x:c r="Q101" s="24" t="n">
        <x:v>0.6501898828267538</x:v>
      </x:c>
      <x:c r="R101" s="25" t="n">
        <x:v>19.901796799799115</x:v>
      </x:c>
    </x:row>
    <x:row r="102">
      <x:c r="L102" t="n">
        <x:v>2024</x:v>
      </x:c>
      <x:c r="M102" t="n">
        <x:v>8</x:v>
      </x:c>
      <x:c r="N102" t="str">
        <x:v>Evening</x:v>
      </x:c>
      <x:c r="O102" s="23" t="n">
        <x:v>101423</x:v>
      </x:c>
      <x:c r="P102" s="24" t="n">
        <x:v>0.3339084822969149</x:v>
      </x:c>
      <x:c r="Q102" s="24" t="n">
        <x:v>0.6310600159727083</x:v>
      </x:c>
      <x:c r="R102" s="25" t="n">
        <x:v>21.36323694697047</x:v>
      </x:c>
    </x:row>
    <x:row r="103">
      <x:c r="L103" t="n">
        <x:v>2024</x:v>
      </x:c>
      <x:c r="M103" t="n">
        <x:v>8</x:v>
      </x:c>
      <x:c r="N103" t="str">
        <x:v>Midday</x:v>
      </x:c>
      <x:c r="O103" s="23" t="n">
        <x:v>148213</x:v>
      </x:c>
      <x:c r="P103" s="24" t="n">
        <x:v>0.21807803633959236</x:v>
      </x:c>
      <x:c r="Q103" s="24" t="n">
        <x:v>0.7627266164236606</x:v>
      </x:c>
      <x:c r="R103" s="25" t="n">
        <x:v>9.10572478124484</x:v>
      </x:c>
    </x:row>
    <x:row r="104">
      <x:c r="L104" t="n">
        <x:v>2024</x:v>
      </x:c>
      <x:c r="M104" t="n">
        <x:v>8</x:v>
      </x:c>
      <x:c r="N104" t="str">
        <x:v>Morning</x:v>
      </x:c>
      <x:c r="O104" s="23" t="n">
        <x:v>203144</x:v>
      </x:c>
      <x:c r="P104" s="24" t="n">
        <x:v>0.13148308588981214</x:v>
      </x:c>
      <x:c r="Q104" s="24" t="n">
        <x:v>0.8519326192257709</x:v>
      </x:c>
      <x:c r="R104" s="25" t="n">
        <x:v>0.710609435615067</x:v>
      </x:c>
    </x:row>
    <x:row r="105">
      <x:c r="L105" t="n">
        <x:v>2024</x:v>
      </x:c>
      <x:c r="M105" t="n">
        <x:v>8</x:v>
      </x:c>
      <x:c r="N105" t="str">
        <x:v>Overnight</x:v>
      </x:c>
      <x:c r="O105" s="23" t="n">
        <x:v>18259</x:v>
      </x:c>
      <x:c r="P105" s="24" t="n">
        <x:v>0.0967741935483871</x:v>
      </x:c>
      <x:c r="Q105" s="24" t="n">
        <x:v>0.8848786899611151</x:v>
      </x:c>
      <x:c r="R105" s="25" t="n">
        <x:v>-0.6471769694264673</x:v>
      </x:c>
    </x:row>
    <x:row r="106">
      <x:c r="L106" t="n">
        <x:v>2024</x:v>
      </x:c>
      <x:c r="M106" t="n">
        <x:v>9</x:v>
      </x:c>
      <x:c r="N106" t="str">
        <x:v>Afternoon</x:v>
      </x:c>
      <x:c r="O106" s="23" t="n">
        <x:v>140939</x:v>
      </x:c>
      <x:c r="P106" s="24" t="n">
        <x:v>0.2099986518990485</x:v>
      </x:c>
      <x:c r="Q106" s="24" t="n">
        <x:v>0.7830125089577761</x:v>
      </x:c>
      <x:c r="R106" s="25" t="n">
        <x:v>5.327271817883019</x:v>
      </x:c>
    </x:row>
    <x:row r="107">
      <x:c r="L107" t="n">
        <x:v>2024</x:v>
      </x:c>
      <x:c r="M107" t="n">
        <x:v>9</x:v>
      </x:c>
      <x:c r="N107" t="str">
        <x:v>Evening</x:v>
      </x:c>
      <x:c r="O107" s="23" t="n">
        <x:v>89128</x:v>
      </x:c>
      <x:c r="P107" s="24" t="n">
        <x:v>0.20839691230589713</x:v>
      </x:c>
      <x:c r="Q107" s="24" t="n">
        <x:v>0.7832106633156808</x:v>
      </x:c>
      <x:c r="R107" s="25" t="n">
        <x:v>5.111382665761485</x:v>
      </x:c>
    </x:row>
    <x:row r="108">
      <x:c r="L108" t="n">
        <x:v>2024</x:v>
      </x:c>
      <x:c r="M108" t="n">
        <x:v>9</x:v>
      </x:c>
      <x:c r="N108" t="str">
        <x:v>Midday</x:v>
      </x:c>
      <x:c r="O108" s="23" t="n">
        <x:v>144426</x:v>
      </x:c>
      <x:c r="P108" s="24" t="n">
        <x:v>0.1511362220098874</x:v>
      </x:c>
      <x:c r="Q108" s="24" t="n">
        <x:v>0.8417113262155014</x:v>
      </x:c>
      <x:c r="R108" s="25" t="n">
        <x:v>1.0227835389454158</x:v>
      </x:c>
    </x:row>
    <x:row r="109">
      <x:c r="L109" t="n">
        <x:v>2024</x:v>
      </x:c>
      <x:c r="M109" t="n">
        <x:v>9</x:v>
      </x:c>
      <x:c r="N109" t="str">
        <x:v>Morning</x:v>
      </x:c>
      <x:c r="O109" s="23" t="n">
        <x:v>192528</x:v>
      </x:c>
      <x:c r="P109" s="24" t="n">
        <x:v>0.09680150419679215</x:v>
      </x:c>
      <x:c r="Q109" s="24" t="n">
        <x:v>0.8955580486994099</x:v>
      </x:c>
      <x:c r="R109" s="25" t="n">
        <x:v>-3.5365519190608037</x:v>
      </x:c>
    </x:row>
    <x:row r="110">
      <x:c r="L110" t="n">
        <x:v>2024</x:v>
      </x:c>
      <x:c r="M110" t="n">
        <x:v>9</x:v>
      </x:c>
      <x:c r="N110" t="str">
        <x:v>Overnight</x:v>
      </x:c>
      <x:c r="O110" s="23" t="n">
        <x:v>15601</x:v>
      </x:c>
      <x:c r="P110" s="24" t="n">
        <x:v>0.06679059034677265</x:v>
      </x:c>
      <x:c r="Q110" s="24" t="n">
        <x:v>0.9253252996602782</x:v>
      </x:c>
      <x:c r="R110" s="25" t="n">
        <x:v>-5.9372657966145495</x:v>
      </x:c>
    </x:row>
    <x:row r="111">
      <x:c r="L111" t="n">
        <x:v>2024</x:v>
      </x:c>
      <x:c r="M111" t="n">
        <x:v>10</x:v>
      </x:c>
      <x:c r="N111" t="str">
        <x:v>Afternoon</x:v>
      </x:c>
      <x:c r="O111" s="23" t="n">
        <x:v>148555</x:v>
      </x:c>
      <x:c r="P111" s="24" t="n">
        <x:v>0.1706102117061021</x:v>
      </x:c>
      <x:c r="Q111" s="24" t="n">
        <x:v>0.8178519740163576</x:v>
      </x:c>
      <x:c r="R111" s="25" t="n">
        <x:v>1.8534945961958853</x:v>
      </x:c>
    </x:row>
    <x:row r="112">
      <x:c r="L112" t="n">
        <x:v>2024</x:v>
      </x:c>
      <x:c r="M112" t="n">
        <x:v>10</x:v>
      </x:c>
      <x:c r="N112" t="str">
        <x:v>Evening</x:v>
      </x:c>
      <x:c r="O112" s="23" t="n">
        <x:v>97706</x:v>
      </x:c>
      <x:c r="P112" s="24" t="n">
        <x:v>0.1726301353038708</x:v>
      </x:c>
      <x:c r="Q112" s="24" t="n">
        <x:v>0.8158147913127136</x:v>
      </x:c>
      <x:c r="R112" s="25" t="n">
        <x:v>2.090963687006223</x:v>
      </x:c>
    </x:row>
    <x:row r="113">
      <x:c r="L113" t="n">
        <x:v>2024</x:v>
      </x:c>
      <x:c r="M113" t="n">
        <x:v>10</x:v>
      </x:c>
      <x:c r="N113" t="str">
        <x:v>Midday</x:v>
      </x:c>
      <x:c r="O113" s="23" t="n">
        <x:v>149899</x:v>
      </x:c>
      <x:c r="P113" s="24" t="n">
        <x:v>0.12872000480323417</x:v>
      </x:c>
      <x:c r="Q113" s="24" t="n">
        <x:v>0.860492731772727</x:v>
      </x:c>
      <x:c r="R113" s="25" t="n">
        <x:v>-1.1979606425594476</x:v>
      </x:c>
    </x:row>
    <x:row r="114">
      <x:c r="L114" t="n">
        <x:v>2024</x:v>
      </x:c>
      <x:c r="M114" t="n">
        <x:v>10</x:v>
      </x:c>
      <x:c r="N114" t="str">
        <x:v>Morning</x:v>
      </x:c>
      <x:c r="O114" s="23" t="n">
        <x:v>201506</x:v>
      </x:c>
      <x:c r="P114" s="24" t="n">
        <x:v>0.08762021974531775</x:v>
      </x:c>
      <x:c r="Q114" s="24" t="n">
        <x:v>0.900633231764811</x:v>
      </x:c>
      <x:c r="R114" s="25" t="n">
        <x:v>-4.882815520817117</x:v>
      </x:c>
    </x:row>
    <x:row r="115">
      <x:c r="L115" t="n">
        <x:v>2024</x:v>
      </x:c>
      <x:c r="M115" t="n">
        <x:v>10</x:v>
      </x:c>
      <x:c r="N115" t="str">
        <x:v>Overnight</x:v>
      </x:c>
      <x:c r="O115" s="23" t="n">
        <x:v>17831</x:v>
      </x:c>
      <x:c r="P115" s="24" t="n">
        <x:v>0.06617688295664853</x:v>
      </x:c>
      <x:c r="Q115" s="24" t="n">
        <x:v>0.9250743087880657</x:v>
      </x:c>
      <x:c r="R115" s="25" t="n">
        <x:v>-5.9222630834512024</x:v>
      </x:c>
    </x:row>
    <x:row r="116">
      <x:c r="L116" t="n">
        <x:v>2024</x:v>
      </x:c>
      <x:c r="M116" t="n">
        <x:v>11</x:v>
      </x:c>
      <x:c r="N116" t="str">
        <x:v>Afternoon</x:v>
      </x:c>
      <x:c r="O116" s="23" t="n">
        <x:v>137309</x:v>
      </x:c>
      <x:c r="P116" s="24" t="n">
        <x:v>0.1843724737635552</x:v>
      </x:c>
      <x:c r="Q116" s="24" t="n">
        <x:v>0.8078276005214516</x:v>
      </x:c>
      <x:c r="R116" s="25" t="n">
        <x:v>3.4108912344573468</x:v>
      </x:c>
    </x:row>
    <x:row r="117">
      <x:c r="L117" t="n">
        <x:v>2024</x:v>
      </x:c>
      <x:c r="M117" t="n">
        <x:v>11</x:v>
      </x:c>
      <x:c r="N117" t="str">
        <x:v>Evening</x:v>
      </x:c>
      <x:c r="O117" s="23" t="n">
        <x:v>91268</x:v>
      </x:c>
      <x:c r="P117" s="24" t="n">
        <x:v>0.18643993513608276</x:v>
      </x:c>
      <x:c r="Q117" s="24" t="n">
        <x:v>0.8063395713722225</x:v>
      </x:c>
      <x:c r="R117" s="25" t="n">
        <x:v>2.95366906157225</x:v>
      </x:c>
    </x:row>
    <x:row r="118">
      <x:c r="L118" t="n">
        <x:v>2024</x:v>
      </x:c>
      <x:c r="M118" t="n">
        <x:v>11</x:v>
      </x:c>
      <x:c r="N118" t="str">
        <x:v>Midday</x:v>
      </x:c>
      <x:c r="O118" s="23" t="n">
        <x:v>141000</x:v>
      </x:c>
      <x:c r="P118" s="24" t="n">
        <x:v>0.14467375886524822</x:v>
      </x:c>
      <x:c r="Q118" s="24" t="n">
        <x:v>0.849177304964539</x:v>
      </x:c>
      <x:c r="R118" s="25" t="n">
        <x:v>-0.13108975045135693</x:v>
      </x:c>
    </x:row>
    <x:row r="119">
      <x:c r="L119" t="n">
        <x:v>2024</x:v>
      </x:c>
      <x:c r="M119" t="n">
        <x:v>11</x:v>
      </x:c>
      <x:c r="N119" t="str">
        <x:v>Morning</x:v>
      </x:c>
      <x:c r="O119" s="23" t="n">
        <x:v>187585</x:v>
      </x:c>
      <x:c r="P119" s="24" t="n">
        <x:v>0.10539755310925714</x:v>
      </x:c>
      <x:c r="Q119" s="24" t="n">
        <x:v>0.8904390009862195</x:v>
      </x:c>
      <x:c r="R119" s="25" t="n">
        <x:v>-4.167913963298431</x:v>
      </x:c>
    </x:row>
    <x:row r="120">
      <x:c r="L120" t="n">
        <x:v>2024</x:v>
      </x:c>
      <x:c r="M120" t="n">
        <x:v>11</x:v>
      </x:c>
      <x:c r="N120" t="str">
        <x:v>Overnight</x:v>
      </x:c>
      <x:c r="O120" s="23" t="n">
        <x:v>18242</x:v>
      </x:c>
      <x:c r="P120" s="24" t="n">
        <x:v>0.07663633373533604</x:v>
      </x:c>
      <x:c r="Q120" s="24" t="n">
        <x:v>0.9182655410590944</x:v>
      </x:c>
      <x:c r="R120" s="25" t="n">
        <x:v>-6.668411482726321</x:v>
      </x:c>
    </x:row>
    <x:row r="121">
      <x:c r="L121" t="n">
        <x:v>2024</x:v>
      </x:c>
      <x:c r="M121" t="n">
        <x:v>12</x:v>
      </x:c>
      <x:c r="N121" t="str">
        <x:v>Afternoon</x:v>
      </x:c>
      <x:c r="O121" s="23" t="n">
        <x:v>141116</x:v>
      </x:c>
      <x:c r="P121" s="24" t="n">
        <x:v>0.2561013634173304</x:v>
      </x:c>
      <x:c r="Q121" s="24" t="n">
        <x:v>0.7342257433600725</x:v>
      </x:c>
      <x:c r="R121" s="25" t="n">
        <x:v>11.147977474222008</x:v>
      </x:c>
    </x:row>
    <x:row r="122">
      <x:c r="L122" t="n">
        <x:v>2024</x:v>
      </x:c>
      <x:c r="M122" t="n">
        <x:v>12</x:v>
      </x:c>
      <x:c r="N122" t="str">
        <x:v>Evening</x:v>
      </x:c>
      <x:c r="O122" s="23" t="n">
        <x:v>95274</x:v>
      </x:c>
      <x:c r="P122" s="24" t="n">
        <x:v>0.26756512794676407</x:v>
      </x:c>
      <x:c r="Q122" s="24" t="n">
        <x:v>0.7202384700967736</x:v>
      </x:c>
      <x:c r="R122" s="25" t="n">
        <x:v>11.86593633117987</x:v>
      </x:c>
    </x:row>
    <x:row r="123">
      <x:c r="L123" t="n">
        <x:v>2024</x:v>
      </x:c>
      <x:c r="M123" t="n">
        <x:v>12</x:v>
      </x:c>
      <x:c r="N123" t="str">
        <x:v>Midday</x:v>
      </x:c>
      <x:c r="O123" s="23" t="n">
        <x:v>143214</x:v>
      </x:c>
      <x:c r="P123" s="24" t="n">
        <x:v>0.20767522728224894</x:v>
      </x:c>
      <x:c r="Q123" s="24" t="n">
        <x:v>0.7839038082868993</x:v>
      </x:c>
      <x:c r="R123" s="25" t="n">
        <x:v>7.34229761703566</x:v>
      </x:c>
    </x:row>
    <x:row r="124">
      <x:c r="L124" t="n">
        <x:v>2024</x:v>
      </x:c>
      <x:c r="M124" t="n">
        <x:v>12</x:v>
      </x:c>
      <x:c r="N124" t="str">
        <x:v>Morning</x:v>
      </x:c>
      <x:c r="O124" s="23" t="n">
        <x:v>191288</x:v>
      </x:c>
      <x:c r="P124" s="24" t="n">
        <x:v>0.1569309104596211</x:v>
      </x:c>
      <x:c r="Q124" s="24" t="n">
        <x:v>0.8336435113546067</x:v>
      </x:c>
      <x:c r="R124" s="25" t="n">
        <x:v>2.3224001899886533</x:v>
      </x:c>
    </x:row>
    <x:row r="125">
      <x:c r="L125" t="n">
        <x:v>2024</x:v>
      </x:c>
      <x:c r="M125" t="n">
        <x:v>12</x:v>
      </x:c>
      <x:c r="N125" t="str">
        <x:v>Overnight</x:v>
      </x:c>
      <x:c r="O125" s="23" t="n">
        <x:v>19689</x:v>
      </x:c>
      <x:c r="P125" s="24" t="n">
        <x:v>0.11823861039158921</x:v>
      </x:c>
      <x:c r="Q125" s="24" t="n">
        <x:v>0.8709431662349535</x:v>
      </x:c>
      <x:c r="R125" s="25" t="n">
        <x:v>0.23254261655370712</x:v>
      </x:c>
    </x:row>
    <x:row r="126">
      <x:c r="L126" t="n">
        <x:v>2025</x:v>
      </x:c>
      <x:c r="M126" t="n">
        <x:v>1</x:v>
      </x:c>
      <x:c r="N126" t="str">
        <x:v>Afternoon</x:v>
      </x:c>
      <x:c r="O126" s="23" t="n">
        <x:v>132095</x:v>
      </x:c>
      <x:c r="P126" s="24" t="n">
        <x:v>0.21323290056398803</x:v>
      </x:c>
      <x:c r="Q126" s="24" t="n">
        <x:v>0.7556682690487907</x:v>
      </x:c>
      <x:c r="R126" s="25" t="n">
        <x:v>6.770765780899622</x:v>
      </x:c>
    </x:row>
    <x:row r="127">
      <x:c r="L127" t="n">
        <x:v>2025</x:v>
      </x:c>
      <x:c r="M127" t="n">
        <x:v>1</x:v>
      </x:c>
      <x:c r="N127" t="str">
        <x:v>Evening</x:v>
      </x:c>
      <x:c r="O127" s="23" t="n">
        <x:v>79589</x:v>
      </x:c>
      <x:c r="P127" s="24" t="n">
        <x:v>0.21696465591978792</x:v>
      </x:c>
      <x:c r="Q127" s="24" t="n">
        <x:v>0.7436706077473018</x:v>
      </x:c>
      <x:c r="R127" s="25" t="n">
        <x:v>6.8282410798367685</x:v>
      </x:c>
    </x:row>
    <x:row r="128">
      <x:c r="L128" t="n">
        <x:v>2025</x:v>
      </x:c>
      <x:c r="M128" t="n">
        <x:v>1</x:v>
      </x:c>
      <x:c r="N128" t="str">
        <x:v>Midday</x:v>
      </x:c>
      <x:c r="O128" s="23" t="n">
        <x:v>134301</x:v>
      </x:c>
      <x:c r="P128" s="24" t="n">
        <x:v>0.18460026358701723</x:v>
      </x:c>
      <x:c r="Q128" s="24" t="n">
        <x:v>0.7874773828936493</x:v>
      </x:c>
      <x:c r="R128" s="25" t="n">
        <x:v>4.00292605954761</x:v>
      </x:c>
    </x:row>
    <x:row r="129">
      <x:c r="L129" t="n">
        <x:v>2025</x:v>
      </x:c>
      <x:c r="M129" t="n">
        <x:v>1</x:v>
      </x:c>
      <x:c r="N129" t="str">
        <x:v>Morning</x:v>
      </x:c>
      <x:c r="O129" s="23" t="n">
        <x:v>178694</x:v>
      </x:c>
      <x:c r="P129" s="24" t="n">
        <x:v>0.1460149753209397</x:v>
      </x:c>
      <x:c r="Q129" s="24" t="n">
        <x:v>0.8212530918777351</x:v>
      </x:c>
      <x:c r="R129" s="25" t="n">
        <x:v>0.18778674534987996</x:v>
      </x:c>
    </x:row>
    <x:row r="130">
      <x:c r="L130" t="n">
        <x:v>2025</x:v>
      </x:c>
      <x:c r="M130" t="n">
        <x:v>1</x:v>
      </x:c>
      <x:c r="N130" t="str">
        <x:v>Overnight</x:v>
      </x:c>
      <x:c r="O130" s="23" t="n">
        <x:v>15068</x:v>
      </x:c>
      <x:c r="P130" s="24" t="n">
        <x:v>0.12018847889567295</x:v>
      </x:c>
      <x:c r="Q130" s="24" t="n">
        <x:v>0.837470135386249</x:v>
      </x:c>
      <x:c r="R130" s="25" t="n">
        <x:v>1.2674289674289674</x:v>
      </x:c>
    </x:row>
    <x:row r="131">
      <x:c r="L131" t="n">
        <x:v>2025</x:v>
      </x:c>
      <x:c r="M131" t="n">
        <x:v>2</x:v>
      </x:c>
      <x:c r="N131" t="str">
        <x:v>Afternoon</x:v>
      </x:c>
      <x:c r="O131" s="23" t="n">
        <x:v>122251</x:v>
      </x:c>
      <x:c r="P131" s="24" t="n">
        <x:v>0.24785073332733473</x:v>
      </x:c>
      <x:c r="Q131" s="24" t="n">
        <x:v>0.7352250697335809</x:v>
      </x:c>
      <x:c r="R131" s="25" t="n">
        <x:v>10.418365479023482</x:v>
      </x:c>
    </x:row>
    <x:row r="132">
      <x:c r="L132" t="n">
        <x:v>2025</x:v>
      </x:c>
      <x:c r="M132" t="n">
        <x:v>2</x:v>
      </x:c>
      <x:c r="N132" t="str">
        <x:v>Evening</x:v>
      </x:c>
      <x:c r="O132" s="23" t="n">
        <x:v>78033</x:v>
      </x:c>
      <x:c r="P132" s="24" t="n">
        <x:v>0.2494841925851883</x:v>
      </x:c>
      <x:c r="Q132" s="24" t="n">
        <x:v>0.7280637678930709</x:v>
      </x:c>
      <x:c r="R132" s="25" t="n">
        <x:v>10.441197677010003</x:v>
      </x:c>
    </x:row>
    <x:row r="133">
      <x:c r="L133" t="n">
        <x:v>2025</x:v>
      </x:c>
      <x:c r="M133" t="n">
        <x:v>2</x:v>
      </x:c>
      <x:c r="N133" t="str">
        <x:v>Midday</x:v>
      </x:c>
      <x:c r="O133" s="23" t="n">
        <x:v>123842</x:v>
      </x:c>
      <x:c r="P133" s="24" t="n">
        <x:v>0.20946044153033705</x:v>
      </x:c>
      <x:c r="Q133" s="24" t="n">
        <x:v>0.776126031556338</x:v>
      </x:c>
      <x:c r="R133" s="25" t="n">
        <x:v>6.103214072113849</x:v>
      </x:c>
    </x:row>
    <x:row r="134">
      <x:c r="L134" t="n">
        <x:v>2025</x:v>
      </x:c>
      <x:c r="M134" t="n">
        <x:v>2</x:v>
      </x:c>
      <x:c r="N134" t="str">
        <x:v>Morning</x:v>
      </x:c>
      <x:c r="O134" s="23" t="n">
        <x:v>166143</x:v>
      </x:c>
      <x:c r="P134" s="24" t="n">
        <x:v>0.15416237819228015</x:v>
      </x:c>
      <x:c r="Q134" s="24" t="n">
        <x:v>0.8309769295125283</x:v>
      </x:c>
      <x:c r="R134" s="25" t="n">
        <x:v>0.36933172037098133</x:v>
      </x:c>
    </x:row>
    <x:row r="135">
      <x:c r="L135" t="n">
        <x:v>2025</x:v>
      </x:c>
      <x:c r="M135" t="n">
        <x:v>2</x:v>
      </x:c>
      <x:c r="N135" t="str">
        <x:v>Overnight</x:v>
      </x:c>
      <x:c r="O135" s="23" t="n">
        <x:v>14615</x:v>
      </x:c>
      <x:c r="P135" s="24" t="n">
        <x:v>0.12186110160793705</x:v>
      </x:c>
      <x:c r="Q135" s="24" t="n">
        <x:v>0.8553540882654806</x:v>
      </x:c>
      <x:c r="R135" s="25" t="n">
        <x:v>-1.0253465901134295</x:v>
      </x:c>
    </x:row>
    <x:row r="136">
      <x:c r="L136" t="n">
        <x:v>2025</x:v>
      </x:c>
      <x:c r="M136" t="n">
        <x:v>3</x:v>
      </x:c>
      <x:c r="N136" t="str">
        <x:v>Afternoon</x:v>
      </x:c>
      <x:c r="O136" s="23" t="n">
        <x:v>141342</x:v>
      </x:c>
      <x:c r="P136" s="24" t="n">
        <x:v>0.253088254022159</x:v>
      </x:c>
      <x:c r="Q136" s="24" t="n">
        <x:v>0.7290968006678836</x:v>
      </x:c>
      <x:c r="R136" s="25" t="n">
        <x:v>11.754732611075895</x:v>
      </x:c>
    </x:row>
    <x:row r="137">
      <x:c r="L137" t="n">
        <x:v>2025</x:v>
      </x:c>
      <x:c r="M137" t="n">
        <x:v>3</x:v>
      </x:c>
      <x:c r="N137" t="str">
        <x:v>Evening</x:v>
      </x:c>
      <x:c r="O137" s="23" t="n">
        <x:v>103962</x:v>
      </x:c>
      <x:c r="P137" s="24" t="n">
        <x:v>0.25680537119332064</x:v>
      </x:c>
      <x:c r="Q137" s="24" t="n">
        <x:v>0.7263615551836248</x:v>
      </x:c>
      <x:c r="R137" s="25" t="n">
        <x:v>11.414941494149415</x:v>
      </x:c>
    </x:row>
    <x:row r="138">
      <x:c r="L138" t="n">
        <x:v>2025</x:v>
      </x:c>
      <x:c r="M138" t="n">
        <x:v>3</x:v>
      </x:c>
      <x:c r="N138" t="str">
        <x:v>Midday</x:v>
      </x:c>
      <x:c r="O138" s="23" t="n">
        <x:v>141647</x:v>
      </x:c>
      <x:c r="P138" s="24" t="n">
        <x:v>0.19630489879771545</x:v>
      </x:c>
      <x:c r="Q138" s="24" t="n">
        <x:v>0.7892225038299434</x:v>
      </x:c>
      <x:c r="R138" s="25" t="n">
        <x:v>5.841300314476672</x:v>
      </x:c>
    </x:row>
    <x:row r="139">
      <x:c r="L139" t="n">
        <x:v>2025</x:v>
      </x:c>
      <x:c r="M139" t="n">
        <x:v>3</x:v>
      </x:c>
      <x:c r="N139" t="str">
        <x:v>Morning</x:v>
      </x:c>
      <x:c r="O139" s="23" t="n">
        <x:v>193696</x:v>
      </x:c>
      <x:c r="P139" s="24" t="n">
        <x:v>0.12403973236411697</x:v>
      </x:c>
      <x:c r="Q139" s="24" t="n">
        <x:v>0.8655470427886999</x:v>
      </x:c>
      <x:c r="R139" s="25" t="n">
        <x:v>-1.5797192180677069</x:v>
      </x:c>
    </x:row>
    <x:row r="140">
      <x:c r="L140" t="n">
        <x:v>2025</x:v>
      </x:c>
      <x:c r="M140" t="n">
        <x:v>3</x:v>
      </x:c>
      <x:c r="N140" t="str">
        <x:v>Overnight</x:v>
      </x:c>
      <x:c r="O140" s="23" t="n">
        <x:v>20225</x:v>
      </x:c>
      <x:c r="P140" s="24" t="n">
        <x:v>0.08563658838071693</x:v>
      </x:c>
      <x:c r="Q140" s="24" t="n">
        <x:v>0.9026946847960445</x:v>
      </x:c>
      <x:c r="R140" s="25" t="n">
        <x:v>-4.1151633398369105</x:v>
      </x:c>
    </x:row>
    <x:row r="141">
      <x:c r="L141" t="n">
        <x:v>2025</x:v>
      </x:c>
      <x:c r="M141" t="n">
        <x:v>4</x:v>
      </x:c>
      <x:c r="N141" t="str">
        <x:v>Afternoon</x:v>
      </x:c>
      <x:c r="O141" s="23" t="n">
        <x:v>138536</x:v>
      </x:c>
      <x:c r="P141" s="24" t="n">
        <x:v>0.25485072472137205</x:v>
      </x:c>
      <x:c r="Q141" s="24" t="n">
        <x:v>0.7344589132066756</x:v>
      </x:c>
      <x:c r="R141" s="25" t="n">
        <x:v>11.22288862135639</x:v>
      </x:c>
    </x:row>
    <x:row r="142">
      <x:c r="L142" t="n">
        <x:v>2025</x:v>
      </x:c>
      <x:c r="M142" t="n">
        <x:v>4</x:v>
      </x:c>
      <x:c r="N142" t="str">
        <x:v>Evening</x:v>
      </x:c>
      <x:c r="O142" s="23" t="n">
        <x:v>98198</x:v>
      </x:c>
      <x:c r="P142" s="24" t="n">
        <x:v>0.2554227173669525</x:v>
      </x:c>
      <x:c r="Q142" s="24" t="n">
        <x:v>0.7327542312470723</x:v>
      </x:c>
      <x:c r="R142" s="25" t="n">
        <x:v>10.376876861403382</x:v>
      </x:c>
    </x:row>
    <x:row r="143">
      <x:c r="L143" t="n">
        <x:v>2025</x:v>
      </x:c>
      <x:c r="M143" t="n">
        <x:v>4</x:v>
      </x:c>
      <x:c r="N143" t="str">
        <x:v>Midday</x:v>
      </x:c>
      <x:c r="O143" s="23" t="n">
        <x:v>137696</x:v>
      </x:c>
      <x:c r="P143" s="24" t="n">
        <x:v>0.19550313734603764</x:v>
      </x:c>
      <x:c r="Q143" s="24" t="n">
        <x:v>0.7943295375319545</x:v>
      </x:c>
      <x:c r="R143" s="25" t="n">
        <x:v>5.846877384516053</x:v>
      </x:c>
    </x:row>
    <x:row r="144">
      <x:c r="L144" t="n">
        <x:v>2025</x:v>
      </x:c>
      <x:c r="M144" t="n">
        <x:v>4</x:v>
      </x:c>
      <x:c r="N144" t="str">
        <x:v>Morning</x:v>
      </x:c>
      <x:c r="O144" s="23" t="n">
        <x:v>189922</x:v>
      </x:c>
      <x:c r="P144" s="24" t="n">
        <x:v>0.1281947325744253</x:v>
      </x:c>
      <x:c r="Q144" s="24" t="n">
        <x:v>0.861664262170786</x:v>
      </x:c>
      <x:c r="R144" s="25" t="n">
        <x:v>-0.17961552373454753</x:v>
      </x:c>
    </x:row>
    <x:row r="145">
      <x:c r="L145" t="n">
        <x:v>2025</x:v>
      </x:c>
      <x:c r="M145" t="n">
        <x:v>4</x:v>
      </x:c>
      <x:c r="N145" t="str">
        <x:v>Overnight</x:v>
      </x:c>
      <x:c r="O145" s="23" t="n">
        <x:v>19598</x:v>
      </x:c>
      <x:c r="P145" s="24" t="n">
        <x:v>0.09944892335952649</x:v>
      </x:c>
      <x:c r="Q145" s="24" t="n">
        <x:v>0.8876926216960914</x:v>
      </x:c>
      <x:c r="R145" s="25" t="n">
        <x:v>-1.8511837072263</x:v>
      </x:c>
    </x:row>
    <x:row r="146">
      <x:c r="L146" t="n">
        <x:v>2025</x:v>
      </x:c>
      <x:c r="M146" t="n">
        <x:v>5</x:v>
      </x:c>
      <x:c r="N146" t="str">
        <x:v>Afternoon</x:v>
      </x:c>
      <x:c r="O146" s="23" t="n">
        <x:v>144175</x:v>
      </x:c>
      <x:c r="P146" s="24" t="n">
        <x:v>0.32672793480145657</x:v>
      </x:c>
      <x:c r="Q146" s="24" t="n">
        <x:v>0.6557170105774233</x:v>
      </x:c>
      <x:c r="R146" s="25" t="n">
        <x:v>19.787205952952473</x:v>
      </x:c>
    </x:row>
    <x:row r="147">
      <x:c r="L147" t="n">
        <x:v>2025</x:v>
      </x:c>
      <x:c r="M147" t="n">
        <x:v>5</x:v>
      </x:c>
      <x:c r="N147" t="str">
        <x:v>Evening</x:v>
      </x:c>
      <x:c r="O147" s="23" t="n">
        <x:v>100555</x:v>
      </x:c>
      <x:c r="P147" s="24" t="n">
        <x:v>0.3241907413853115</x:v>
      </x:c>
      <x:c r="Q147" s="24" t="n">
        <x:v>0.657252250012431</x:v>
      </x:c>
      <x:c r="R147" s="25" t="n">
        <x:v>19.009474206851827</x:v>
      </x:c>
    </x:row>
    <x:row r="148">
      <x:c r="L148" t="n">
        <x:v>2025</x:v>
      </x:c>
      <x:c r="M148" t="n">
        <x:v>5</x:v>
      </x:c>
      <x:c r="N148" t="str">
        <x:v>Midday</x:v>
      </x:c>
      <x:c r="O148" s="23" t="n">
        <x:v>143664</x:v>
      </x:c>
      <x:c r="P148" s="24" t="n">
        <x:v>0.22743345584140773</x:v>
      </x:c>
      <x:c r="Q148" s="24" t="n">
        <x:v>0.7607542599398597</x:v>
      </x:c>
      <x:c r="R148" s="25" t="n">
        <x:v>9.410926482915043</x:v>
      </x:c>
    </x:row>
    <x:row r="149">
      <x:c r="L149" t="n">
        <x:v>2025</x:v>
      </x:c>
      <x:c r="M149" t="n">
        <x:v>5</x:v>
      </x:c>
      <x:c r="N149" t="str">
        <x:v>Morning</x:v>
      </x:c>
      <x:c r="O149" s="23" t="n">
        <x:v>197692</x:v>
      </x:c>
      <x:c r="P149" s="24" t="n">
        <x:v>0.1365912631770633</x:v>
      </x:c>
      <x:c r="Q149" s="24" t="n">
        <x:v>0.8546628088137103</x:v>
      </x:c>
      <x:c r="R149" s="25" t="n">
        <x:v>0.6367426503982895</x:v>
      </x:c>
    </x:row>
    <x:row r="150">
      <x:c r="L150" t="n">
        <x:v>2025</x:v>
      </x:c>
      <x:c r="M150" t="n">
        <x:v>5</x:v>
      </x:c>
      <x:c r="N150" t="str">
        <x:v>Overnight</x:v>
      </x:c>
      <x:c r="O150" s="23" t="n">
        <x:v>19562</x:v>
      </x:c>
      <x:c r="P150" s="24" t="n">
        <x:v>0.08465392086698702</x:v>
      </x:c>
      <x:c r="Q150" s="24" t="n">
        <x:v>0.9025150802576424</x:v>
      </x:c>
      <x:c r="R150" s="25" t="n">
        <x:v>-2.651856454870281</x:v>
      </x:c>
    </x:row>
    <x:row r="151">
      <x:c r="L151" t="n">
        <x:v>2025</x:v>
      </x:c>
      <x:c r="M151" t="n">
        <x:v>6</x:v>
      </x:c>
      <x:c r="N151" t="str">
        <x:v>Afternoon</x:v>
      </x:c>
      <x:c r="O151" s="23" t="n">
        <x:v>142565</x:v>
      </x:c>
      <x:c r="P151" s="24" t="n">
        <x:v>0.4012836250131519</x:v>
      </x:c>
      <x:c r="Q151" s="24" t="n">
        <x:v>0.5730999894784835</x:v>
      </x:c>
      <x:c r="R151" s="25" t="n">
        <x:v>29.083692670952324</x:v>
      </x:c>
    </x:row>
    <x:row r="152">
      <x:c r="L152" t="n">
        <x:v>2025</x:v>
      </x:c>
      <x:c r="M152" t="n">
        <x:v>6</x:v>
      </x:c>
      <x:c r="N152" t="str">
        <x:v>Evening</x:v>
      </x:c>
      <x:c r="O152" s="23" t="n">
        <x:v>109425</x:v>
      </x:c>
      <x:c r="P152" s="24" t="n">
        <x:v>0.40245830477496003</x:v>
      </x:c>
      <x:c r="Q152" s="24" t="n">
        <x:v>0.5663331048663468</x:v>
      </x:c>
      <x:c r="R152" s="25" t="n">
        <x:v>28.255041977171963</x:v>
      </x:c>
    </x:row>
    <x:row r="153">
      <x:c r="L153" t="n">
        <x:v>2025</x:v>
      </x:c>
      <x:c r="M153" t="n">
        <x:v>6</x:v>
      </x:c>
      <x:c r="N153" t="str">
        <x:v>Midday</x:v>
      </x:c>
      <x:c r="O153" s="23" t="n">
        <x:v>141518</x:v>
      </x:c>
      <x:c r="P153" s="24" t="n">
        <x:v>0.2705097584759536</x:v>
      </x:c>
      <x:c r="Q153" s="24" t="n">
        <x:v>0.7138667872638109</x:v>
      </x:c>
      <x:c r="R153" s="25" t="n">
        <x:v>14.078840259283453</x:v>
      </x:c>
    </x:row>
    <x:row r="154">
      <x:c r="L154" t="n">
        <x:v>2025</x:v>
      </x:c>
      <x:c r="M154" t="n">
        <x:v>6</x:v>
      </x:c>
      <x:c r="N154" t="str">
        <x:v>Morning</x:v>
      </x:c>
      <x:c r="O154" s="23" t="n">
        <x:v>197036</x:v>
      </x:c>
      <x:c r="P154" s="24" t="n">
        <x:v>0.14162894090420025</x:v>
      </x:c>
      <x:c r="Q154" s="24" t="n">
        <x:v>0.8460636634929658</x:v>
      </x:c>
      <x:c r="R154" s="25" t="n">
        <x:v>1.8564366865182338</x:v>
      </x:c>
    </x:row>
    <x:row r="155">
      <x:c r="L155" t="n">
        <x:v>2025</x:v>
      </x:c>
      <x:c r="M155" t="n">
        <x:v>6</x:v>
      </x:c>
      <x:c r="N155" t="str">
        <x:v>Overnight</x:v>
      </x:c>
      <x:c r="O155" s="23" t="n">
        <x:v>21031</x:v>
      </x:c>
      <x:c r="P155" s="24" t="n">
        <x:v>0.09362369835005468</x:v>
      </x:c>
      <x:c r="Q155" s="24" t="n">
        <x:v>0.8873567590699444</x:v>
      </x:c>
      <x:c r="R155" s="25" t="n">
        <x:v>-0.5225631331491445</x:v>
      </x:c>
    </x:row>
    <x:row r="156">
      <x:c r="L156" t="n">
        <x:v>2025</x:v>
      </x:c>
      <x:c r="M156" t="n">
        <x:v>7</x:v>
      </x:c>
      <x:c r="N156" t="str">
        <x:v>Afternoon</x:v>
      </x:c>
      <x:c r="O156" s="23" t="n">
        <x:v>146468</x:v>
      </x:c>
      <x:c r="P156" s="24" t="n">
        <x:v>0.40824616981183603</x:v>
      </x:c>
      <x:c r="Q156" s="24" t="n">
        <x:v>0.5512057241172134</x:v>
      </x:c>
      <x:c r="R156" s="25" t="n">
        <x:v>33.063837357413774</x:v>
      </x:c>
    </x:row>
    <x:row r="157">
      <x:c r="L157" t="n">
        <x:v>2025</x:v>
      </x:c>
      <x:c r="M157" t="n">
        <x:v>7</x:v>
      </x:c>
      <x:c r="N157" t="str">
        <x:v>Evening</x:v>
      </x:c>
      <x:c r="O157" s="23" t="n">
        <x:v>111769</x:v>
      </x:c>
      <x:c r="P157" s="24" t="n">
        <x:v>0.40809168910878685</x:v>
      </x:c>
      <x:c r="Q157" s="24" t="n">
        <x:v>0.5430754502590164</x:v>
      </x:c>
      <x:c r="R157" s="25" t="n">
        <x:v>31.453104570552437</x:v>
      </x:c>
    </x:row>
    <x:row r="158">
      <x:c r="L158" t="n">
        <x:v>2025</x:v>
      </x:c>
      <x:c r="M158" t="n">
        <x:v>7</x:v>
      </x:c>
      <x:c r="N158" t="str">
        <x:v>Midday</x:v>
      </x:c>
      <x:c r="O158" s="23" t="n">
        <x:v>146746</x:v>
      </x:c>
      <x:c r="P158" s="24" t="n">
        <x:v>0.2733839423221076</x:v>
      </x:c>
      <x:c r="Q158" s="24" t="n">
        <x:v>0.7045847927711829</x:v>
      </x:c>
      <x:c r="R158" s="25" t="n">
        <x:v>15.281584246723293</x:v>
      </x:c>
    </x:row>
    <x:row r="159">
      <x:c r="L159" t="n">
        <x:v>2025</x:v>
      </x:c>
      <x:c r="M159" t="n">
        <x:v>7</x:v>
      </x:c>
      <x:c r="N159" t="str">
        <x:v>Morning</x:v>
      </x:c>
      <x:c r="O159" s="23" t="n">
        <x:v>204926</x:v>
      </x:c>
      <x:c r="P159" s="24" t="n">
        <x:v>0.14403735982744992</x:v>
      </x:c>
      <x:c r="Q159" s="24" t="n">
        <x:v>0.8387466695294887</x:v>
      </x:c>
      <x:c r="R159" s="25" t="n">
        <x:v>2.3292237261541824</x:v>
      </x:c>
    </x:row>
    <x:row r="160">
      <x:c r="L160" t="n">
        <x:v>2025</x:v>
      </x:c>
      <x:c r="M160" t="n">
        <x:v>7</x:v>
      </x:c>
      <x:c r="N160" t="str">
        <x:v>Overnight</x:v>
      </x:c>
      <x:c r="O160" s="23" t="n">
        <x:v>21518</x:v>
      </x:c>
      <x:c r="P160" s="24" t="n">
        <x:v>0.09150478669021285</x:v>
      </x:c>
      <x:c r="Q160" s="24" t="n">
        <x:v>0.8871642345942932</x:v>
      </x:c>
      <x:c r="R160" s="25" t="n">
        <x:v>-1.1413172515314118</x:v>
      </x:c>
    </x:row>
    <x:row r="161">
      <x:c r="L161" t="n">
        <x:v>2025</x:v>
      </x:c>
      <x:c r="M161" t="n">
        <x:v>7</x:v>
      </x:c>
      <x:c r="N161" t="str">
        <x:v>Unknown</x:v>
      </x:c>
      <x:c r="O161" s="23" t="n">
        <x:v>1</x:v>
      </x:c>
      <x:c r="P161" s="24" t="n">
        <x:v>1</x:v>
      </x:c>
      <x:c r="Q161" s="24" t="n">
        <x:v>0</x:v>
      </x:c>
      <x:c r="R161" s="25" t="n">
        <x:v>1451</x:v>
      </x:c>
    </x:row>
    <x:row r="162">
      <x:c r="L162" t="n">
        <x:v>2025</x:v>
      </x:c>
      <x:c r="M162" t="n">
        <x:v>8</x:v>
      </x:c>
      <x:c r="N162" t="str">
        <x:v>Afternoon</x:v>
      </x:c>
      <x:c r="O162" s="23" t="n">
        <x:v>143525</x:v>
      </x:c>
      <x:c r="P162" s="24" t="n">
        <x:v>0.31597282703361784</x:v>
      </x:c>
      <x:c r="Q162" s="24" t="n">
        <x:v>0.6657794809266678</x:v>
      </x:c>
      <x:c r="R162" s="25" t="n">
        <x:v>18.694704270932395</x:v>
      </x:c>
    </x:row>
    <x:row r="163">
      <x:c r="L163" t="n">
        <x:v>2025</x:v>
      </x:c>
      <x:c r="M163" t="n">
        <x:v>8</x:v>
      </x:c>
      <x:c r="N163" t="str">
        <x:v>Evening</x:v>
      </x:c>
      <x:c r="O163" s="23" t="n">
        <x:v>96517</x:v>
      </x:c>
      <x:c r="P163" s="24" t="n">
        <x:v>0.3100697286488391</x:v>
      </x:c>
      <x:c r="Q163" s="24" t="n">
        <x:v>0.6723167939326751</x:v>
      </x:c>
      <x:c r="R163" s="25" t="n">
        <x:v>17.2506618011538</x:v>
      </x:c>
    </x:row>
    <x:row r="164">
      <x:c r="L164" t="n">
        <x:v>2025</x:v>
      </x:c>
      <x:c r="M164" t="n">
        <x:v>8</x:v>
      </x:c>
      <x:c r="N164" t="str">
        <x:v>Midday</x:v>
      </x:c>
      <x:c r="O164" s="23" t="n">
        <x:v>144479</x:v>
      </x:c>
      <x:c r="P164" s="24" t="n">
        <x:v>0.21661971636016306</x:v>
      </x:c>
      <x:c r="Q164" s="24" t="n">
        <x:v>0.7702226621169859</x:v>
      </x:c>
      <x:c r="R164" s="25" t="n">
        <x:v>8.259086254541375</x:v>
      </x:c>
    </x:row>
    <x:row r="165">
      <x:c r="L165" t="n">
        <x:v>2025</x:v>
      </x:c>
      <x:c r="M165" t="n">
        <x:v>8</x:v>
      </x:c>
      <x:c r="N165" t="str">
        <x:v>Morning</x:v>
      </x:c>
      <x:c r="O165" s="23" t="n">
        <x:v>201137</x:v>
      </x:c>
      <x:c r="P165" s="24" t="n">
        <x:v>0.12886738889413682</x:v>
      </x:c>
      <x:c r="Q165" s="24" t="n">
        <x:v>0.860194792604046</x:v>
      </x:c>
      <x:c r="R165" s="25" t="n">
        <x:v>0.4134977404907081</x:v>
      </x:c>
    </x:row>
    <x:row r="166">
      <x:c r="L166" t="n">
        <x:v>2025</x:v>
      </x:c>
      <x:c r="M166" t="n">
        <x:v>8</x:v>
      </x:c>
      <x:c r="N166" t="str">
        <x:v>Overnight</x:v>
      </x:c>
      <x:c r="O166" s="23" t="n">
        <x:v>16720</x:v>
      </x:c>
      <x:c r="P166" s="24" t="n">
        <x:v>0.08528708133971293</x:v>
      </x:c>
      <x:c r="Q166" s="24" t="n">
        <x:v>0.901255980861244</x:v>
      </x:c>
      <x:c r="R166" s="25" t="n">
        <x:v>-2.562655350106093</x:v>
      </x:c>
    </x:row>
    <x:row r="167">
      <x:c r="L167" t="n">
        <x:v>2025</x:v>
      </x:c>
      <x:c r="M167" t="n">
        <x:v>9</x:v>
      </x:c>
      <x:c r="N167" t="str">
        <x:v>Afternoon</x:v>
      </x:c>
      <x:c r="O167" s="23" t="n">
        <x:v>135610</x:v>
      </x:c>
      <x:c r="P167" s="24" t="n">
        <x:v>0.24111791165843227</x:v>
      </x:c>
      <x:c r="Q167" s="24" t="n">
        <x:v>0.7492884005604307</x:v>
      </x:c>
      <x:c r="R167" s="25" t="n">
        <x:v>9.010974692686268</x:v>
      </x:c>
    </x:row>
    <x:row r="168">
      <x:c r="L168" t="n">
        <x:v>2025</x:v>
      </x:c>
      <x:c r="M168" t="n">
        <x:v>9</x:v>
      </x:c>
      <x:c r="N168" t="str">
        <x:v>Evening</x:v>
      </x:c>
      <x:c r="O168" s="23" t="n">
        <x:v>84654</x:v>
      </x:c>
      <x:c r="P168" s="24" t="n">
        <x:v>0.21985966404422708</x:v>
      </x:c>
      <x:c r="Q168" s="24" t="n">
        <x:v>0.7709145462707019</x:v>
      </x:c>
      <x:c r="R168" s="25" t="n">
        <x:v>6.214264423592813</x:v>
      </x:c>
    </x:row>
    <x:row r="169">
      <x:c r="L169" t="n">
        <x:v>2025</x:v>
      </x:c>
      <x:c r="M169" t="n">
        <x:v>9</x:v>
      </x:c>
      <x:c r="N169" t="str">
        <x:v>Midday</x:v>
      </x:c>
      <x:c r="O169" s="23" t="n">
        <x:v>137275</x:v>
      </x:c>
      <x:c r="P169" s="24" t="n">
        <x:v>0.16219996357676197</x:v>
      </x:c>
      <x:c r="Q169" s="24" t="n">
        <x:v>0.8303769805135677</x:v>
      </x:c>
      <x:c r="R169" s="25" t="n">
        <x:v>2.4313970129536533</x:v>
      </x:c>
    </x:row>
    <x:row r="170">
      <x:c r="L170" t="n">
        <x:v>2025</x:v>
      </x:c>
      <x:c r="M170" t="n">
        <x:v>9</x:v>
      </x:c>
      <x:c r="N170" t="str">
        <x:v>Morning</x:v>
      </x:c>
      <x:c r="O170" s="23" t="n">
        <x:v>190678</x:v>
      </x:c>
      <x:c r="P170" s="24" t="n">
        <x:v>0.09680718278983418</x:v>
      </x:c>
      <x:c r="Q170" s="24" t="n">
        <x:v>0.8982420625347445</x:v>
      </x:c>
      <x:c r="R170" s="25" t="n">
        <x:v>-3.568174391516544</x:v>
      </x:c>
    </x:row>
    <x:row r="171">
      <x:c r="L171" t="n">
        <x:v>2025</x:v>
      </x:c>
      <x:c r="M171" t="n">
        <x:v>9</x:v>
      </x:c>
      <x:c r="N171" t="str">
        <x:v>Overnight</x:v>
      </x:c>
      <x:c r="O171" s="23" t="n">
        <x:v>14222</x:v>
      </x:c>
      <x:c r="P171" s="24" t="n">
        <x:v>0.057938405287582616</x:v>
      </x:c>
      <x:c r="Q171" s="24" t="n">
        <x:v>0.9374912108001687</x:v>
      </x:c>
      <x:c r="R171" s="25" t="n">
        <x:v>-6.535565444656354</x:v>
      </x:c>
    </x:row>
    <x:row r="172">
      <x:c r="L172" t="n">
        <x:v>2025</x:v>
      </x:c>
      <x:c r="M172" t="n">
        <x:v>10</x:v>
      </x:c>
      <x:c r="N172" t="str">
        <x:v>Afternoon</x:v>
      </x:c>
      <x:c r="O172" s="23" t="n">
        <x:v>145144</x:v>
      </x:c>
      <x:c r="P172" s="24" t="n">
        <x:v>0.277462382185967</x:v>
      </x:c>
      <x:c r="Q172" s="24" t="n">
        <x:v>0.7131538334343824</x:v>
      </x:c>
      <x:c r="R172" s="25" t="n">
        <x:v>12.129216452685315</x:v>
      </x:c>
    </x:row>
    <x:row r="173">
      <x:c r="L173" t="n">
        <x:v>2025</x:v>
      </x:c>
      <x:c r="M173" t="n">
        <x:v>10</x:v>
      </x:c>
      <x:c r="N173" t="str">
        <x:v>Evening</x:v>
      </x:c>
      <x:c r="O173" s="23" t="n">
        <x:v>95997</x:v>
      </x:c>
      <x:c r="P173" s="24" t="n">
        <x:v>0.27302936550100526</x:v>
      </x:c>
      <x:c r="Q173" s="24" t="n">
        <x:v>0.7174807546069149</x:v>
      </x:c>
      <x:c r="R173" s="25" t="n">
        <x:v>11.25825042593021</x:v>
      </x:c>
    </x:row>
    <x:row r="174">
      <x:c r="L174" t="n">
        <x:v>2025</x:v>
      </x:c>
      <x:c r="M174" t="n">
        <x:v>10</x:v>
      </x:c>
      <x:c r="N174" t="str">
        <x:v>Midday</x:v>
      </x:c>
      <x:c r="O174" s="23" t="n">
        <x:v>145529</x:v>
      </x:c>
      <x:c r="P174" s="24" t="n">
        <x:v>0.20449532395605</x:v>
      </x:c>
      <x:c r="Q174" s="24" t="n">
        <x:v>0.7891829119969216</x:v>
      </x:c>
      <x:c r="R174" s="25" t="n">
        <x:v>6.080230137819914</x:v>
      </x:c>
    </x:row>
    <x:row r="175">
      <x:c r="L175" t="n">
        <x:v>2025</x:v>
      </x:c>
      <x:c r="M175" t="n">
        <x:v>10</x:v>
      </x:c>
      <x:c r="N175" t="str">
        <x:v>Morning</x:v>
      </x:c>
      <x:c r="O175" s="23" t="n">
        <x:v>202652</x:v>
      </x:c>
      <x:c r="P175" s="24" t="n">
        <x:v>0.12274243530781832</x:v>
      </x:c>
      <x:c r="Q175" s="24" t="n">
        <x:v>0.8722637822473995</x:v>
      </x:c>
      <x:c r="R175" s="25" t="n">
        <x:v>-1.221771473913906</x:v>
      </x:c>
    </x:row>
    <x:row r="176">
      <x:c r="L176" t="n">
        <x:v>2025</x:v>
      </x:c>
      <x:c r="M176" t="n">
        <x:v>10</x:v>
      </x:c>
      <x:c r="N176" t="str">
        <x:v>Overnight</x:v>
      </x:c>
      <x:c r="O176" s="23" t="n">
        <x:v>16522</x:v>
      </x:c>
      <x:c r="P176" s="24" t="n">
        <x:v>0.06869628374288828</x:v>
      </x:c>
      <x:c r="Q176" s="24" t="n">
        <x:v>0.9271274664084251</x:v>
      </x:c>
      <x:c r="R176" s="25" t="n">
        <x:v>-5.303956725217286</x:v>
      </x:c>
    </x:row>
    <x:row r="177">
      <x:c r="L177" t="n">
        <x:v>2025</x:v>
      </x:c>
      <x:c r="M177" t="n">
        <x:v>11</x:v>
      </x:c>
      <x:c r="N177" t="str">
        <x:v>Afternoon</x:v>
      </x:c>
      <x:c r="O177" s="23" t="n">
        <x:v>135414</x:v>
      </x:c>
      <x:c r="P177" s="24" t="n">
        <x:v>0.2622919343642459</x:v>
      </x:c>
      <x:c r="Q177" s="24" t="n">
        <x:v>0.7064262188547713</x:v>
      </x:c>
      <x:c r="R177" s="25" t="n">
        <x:v>13.14420863254509</x:v>
      </x:c>
    </x:row>
    <x:row r="178">
      <x:c r="L178" t="n">
        <x:v>2025</x:v>
      </x:c>
      <x:c r="M178" t="n">
        <x:v>11</x:v>
      </x:c>
      <x:c r="N178" t="str">
        <x:v>Evening</x:v>
      </x:c>
      <x:c r="O178" s="23" t="n">
        <x:v>90349</x:v>
      </x:c>
      <x:c r="P178" s="24" t="n">
        <x:v>0.26387674462362615</x:v>
      </x:c>
      <x:c r="Q178" s="24" t="n">
        <x:v>0.7044460923751231</x:v>
      </x:c>
      <x:c r="R178" s="25" t="n">
        <x:v>12.130705133334095</x:v>
      </x:c>
    </x:row>
    <x:row r="179">
      <x:c r="L179" t="n">
        <x:v>2025</x:v>
      </x:c>
      <x:c r="M179" t="n">
        <x:v>11</x:v>
      </x:c>
      <x:c r="N179" t="str">
        <x:v>Midday</x:v>
      </x:c>
      <x:c r="O179" s="23" t="n">
        <x:v>137649</x:v>
      </x:c>
      <x:c r="P179" s="24" t="n">
        <x:v>0.2031907242333762</x:v>
      </x:c>
      <x:c r="Q179" s="24" t="n">
        <x:v>0.7731694382087774</x:v>
      </x:c>
      <x:c r="R179" s="25" t="n">
        <x:v>6.939067673648573</x:v>
      </x:c>
    </x:row>
    <x:row r="180">
      <x:c r="L180" t="n">
        <x:v>2025</x:v>
      </x:c>
      <x:c r="M180" t="n">
        <x:v>11</x:v>
      </x:c>
      <x:c r="N180" t="str">
        <x:v>Morning</x:v>
      </x:c>
      <x:c r="O180" s="23" t="n">
        <x:v>189731</x:v>
      </x:c>
      <x:c r="P180" s="24" t="n">
        <x:v>0.13376833516926595</x:v>
      </x:c>
      <x:c r="Q180" s="24" t="n">
        <x:v>0.8420606015885649</x:v>
      </x:c>
      <x:c r="R180" s="25" t="n">
        <x:v>-0.5356882443490237</x:v>
      </x:c>
    </x:row>
    <x:row r="181">
      <x:c r="L181" t="n">
        <x:v>2025</x:v>
      </x:c>
      <x:c r="M181" t="n">
        <x:v>11</x:v>
      </x:c>
      <x:c r="N181" t="str">
        <x:v>Overnight</x:v>
      </x:c>
      <x:c r="O181" s="23" t="n">
        <x:v>17407</x:v>
      </x:c>
      <x:c r="P181" s="24" t="n">
        <x:v>0.08398919974722813</x:v>
      </x:c>
      <x:c r="Q181" s="24" t="n">
        <x:v>0.8978571838915379</x:v>
      </x:c>
      <x:c r="R181" s="25" t="n">
        <x:v>-4.686267626236031</x:v>
      </x:c>
    </x:row>
    <x:row r="182">
      <x:c r="L182" t="n">
        <x:v>2025</x:v>
      </x:c>
      <x:c r="M182" t="n">
        <x:v>12</x:v>
      </x:c>
      <x:c r="N182" t="str">
        <x:v>Afternoon</x:v>
      </x:c>
      <x:c r="O182" s="23" t="n">
        <x:v>138480</x:v>
      </x:c>
      <x:c r="P182" s="24" t="n">
        <x:v>0.32422732524552283</x:v>
      </x:c>
      <x:c r="Q182" s="24" t="n">
        <x:v>0.6570768341998845</x:v>
      </x:c>
      <x:c r="R182" s="25" t="n">
        <x:v>18.777983825271725</x:v>
      </x:c>
    </x:row>
    <x:row r="183">
      <x:c r="L183" t="n">
        <x:v>2025</x:v>
      </x:c>
      <x:c r="M183" t="n">
        <x:v>12</x:v>
      </x:c>
      <x:c r="N183" t="str">
        <x:v>Evening</x:v>
      </x:c>
      <x:c r="O183" s="23" t="n">
        <x:v>93091</x:v>
      </x:c>
      <x:c r="P183" s="24" t="n">
        <x:v>0.3304723335231118</x:v>
      </x:c>
      <x:c r="Q183" s="24" t="n">
        <x:v>0.6464319859062637</x:v>
      </x:c>
      <x:c r="R183" s="25" t="n">
        <x:v>19.390835816628364</x:v>
      </x:c>
    </x:row>
    <x:row r="184">
      <x:c r="L184" t="n">
        <x:v>2025</x:v>
      </x:c>
      <x:c r="M184" t="n">
        <x:v>12</x:v>
      </x:c>
      <x:c r="N184" t="str">
        <x:v>Midday</x:v>
      </x:c>
      <x:c r="O184" s="23" t="n">
        <x:v>139368</x:v>
      </x:c>
      <x:c r="P184" s="24" t="n">
        <x:v>0.27082257046093794</x:v>
      </x:c>
      <x:c r="Q184" s="24" t="n">
        <x:v>0.7139587279719878</x:v>
      </x:c>
      <x:c r="R184" s="25" t="n">
        <x:v>13.587859843931016</x:v>
      </x:c>
    </x:row>
    <x:row r="185">
      <x:c r="L185" t="n">
        <x:v>2025</x:v>
      </x:c>
      <x:c r="M185" t="n">
        <x:v>12</x:v>
      </x:c>
      <x:c r="N185" t="str">
        <x:v>Morning</x:v>
      </x:c>
      <x:c r="O185" s="23" t="n">
        <x:v>192566</x:v>
      </x:c>
      <x:c r="P185" s="24" t="n">
        <x:v>0.19374655962111692</x:v>
      </x:c>
      <x:c r="Q185" s="24" t="n">
        <x:v>0.7896097961218491</x:v>
      </x:c>
      <x:c r="R185" s="25" t="n">
        <x:v>6.565934907399095</x:v>
      </x:c>
    </x:row>
    <x:row r="186">
      <x:c r="L186" t="n">
        <x:v>2025</x:v>
      </x:c>
      <x:c r="M186" t="n">
        <x:v>12</x:v>
      </x:c>
      <x:c r="N186" t="str">
        <x:v>Overnight</x:v>
      </x:c>
      <x:c r="O186" s="23" t="n">
        <x:v>18799</x:v>
      </x:c>
      <x:c r="P186" s="24" t="n">
        <x:v>0.12750678227565296</x:v>
      </x:c>
      <x:c r="Q186" s="24" t="n">
        <x:v>0.8557370072876217</x:v>
      </x:c>
      <x:c r="R186" s="25" t="n">
        <x:v>1.923988314217702</x:v>
      </x:c>
    </x:row>
  </x:sheetData>
  <x:mergeCells>
    <x:mergeCell ref="A1:U1"/>
    <x:mergeCell ref="A2:U2"/>
    <x:mergeCell ref="I11:K13"/>
  </x:mergeCells>
  <x:pageMargins left="0.7" right="0.7" top="0.75" bottom="0.75" header="0.3" footer="0.3"/>
  <x:drawing xmlns:r="http://schemas.openxmlformats.org/officeDocument/2006/relationships" r:id="Rddef46d6413c435c"/>
  <x:tableParts count="2">
    <x:tablePart xmlns:r="http://schemas.openxmlformats.org/officeDocument/2006/relationships" r:id="R7799928351914b4c"/>
    <x:tablePart xmlns:r="http://schemas.openxmlformats.org/officeDocument/2006/relationships" r:id="R52dd599f1ef847bb"/>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24" hidden="0" customWidth="1"/>
    <x:col min="3" max="3" width="8" hidden="0" customWidth="1"/>
    <x:col min="4" max="4" width="14" hidden="0" customWidth="1"/>
    <x:col min="5" max="5" width="13" hidden="0" customWidth="1"/>
    <x:col min="6" max="6" width="16" hidden="0" customWidth="1"/>
    <x:col min="7" max="7" width="14" hidden="0" customWidth="1"/>
    <x:col min="8" max="8" width="20"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s>
  <x:sheetData>
    <x:row r="1" ht="30" customHeight="1">
      <x:c r="A1" s="4" t="str">
        <x:v>Airport Analysis</x:v>
      </x:c>
      <x:c r="B1" s="4"/>
      <x:c r="C1" s="4"/>
      <x:c r="D1" s="4"/>
      <x:c r="E1" s="4"/>
      <x:c r="F1" s="4"/>
      <x:c r="G1" s="4"/>
      <x:c r="H1" s="4"/>
      <x:c r="I1" s="4"/>
      <x:c r="J1" s="4"/>
      <x:c r="K1" s="4"/>
      <x:c r="L1" s="4"/>
      <x:c r="M1" s="4"/>
      <x:c r="N1" s="4"/>
      <x:c r="O1" s="4"/>
      <x:c r="P1" s="4"/>
    </x:row>
    <x:row r="2" ht="30" customHeight="1">
      <x:c r="A2" s="9" t="str">
        <x:v>Airport-level observed performance. The source table includes origins with at least 5,000 scheduled departures; use volume and context before interpreting differences.</x:v>
      </x:c>
      <x:c r="B2" s="9"/>
      <x:c r="C2" s="9"/>
      <x:c r="D2" s="9"/>
      <x:c r="E2" s="9"/>
      <x:c r="F2" s="9"/>
      <x:c r="G2" s="9"/>
      <x:c r="H2" s="9"/>
      <x:c r="I2" s="9"/>
      <x:c r="J2" s="9"/>
      <x:c r="K2" s="9"/>
      <x:c r="L2" s="9"/>
      <x:c r="M2" s="9"/>
      <x:c r="N2" s="9"/>
      <x:c r="O2" s="9"/>
      <x:c r="P2" s="9"/>
    </x:row>
    <x:row r="4">
      <x:c r="A4" s="289" t="str">
        <x:v>Airport lookup (editable)</x:v>
      </x:c>
      <x:c r="B4" s="289"/>
    </x:row>
    <x:row r="5">
      <x:c r="A5" s="290" t="str">
        <x:v>Airport code</x:v>
      </x:c>
      <x:c r="B5" s="293" t="str">
        <x:v>FLL</x:v>
      </x:c>
    </x:row>
    <x:row r="6">
      <x:c r="A6" s="291" t="str">
        <x:v>City</x:v>
      </x:c>
      <x:c r="B6" s="294" t="str">
        <x:f>IFERROR(XLOOKUP($B$5,$A$15:$A$220,$B$15:$B$220),"Not found")</x:f>
        <x:v>Fort Lauderdale, FL</x:v>
      </x:c>
    </x:row>
    <x:row r="7">
      <x:c r="A7" s="291" t="str">
        <x:v>Departures</x:v>
      </x:c>
      <x:c r="B7" s="296" t="n">
        <x:f>IFERROR(XLOOKUP($B$5,$A$15:$A$220,$D$15:$D$220),0)</x:f>
        <x:v>269310</x:v>
      </x:c>
    </x:row>
    <x:row r="8">
      <x:c r="A8" s="291" t="str">
        <x:v>Delay rate</x:v>
      </x:c>
      <x:c r="B8" s="297" t="n">
        <x:f>IFERROR(XLOOKUP($B$5,$A$15:$A$220,$E$15:$E$220),0)</x:f>
        <x:v>0.2682744792246853</x:v>
      </x:c>
    </x:row>
    <x:row r="9">
      <x:c r="A9" s="291" t="str">
        <x:v>Cancellation rate</x:v>
      </x:c>
      <x:c r="B9" s="297" t="n">
        <x:f>IFERROR(XLOOKUP($B$5,$A$15:$A$220,$F$15:$F$220),0)</x:f>
        <x:v>0.015736511826519625</x:v>
      </x:c>
    </x:row>
    <x:row r="10">
      <x:c r="A10" s="292" t="str">
        <x:v>Mean arrival delay</x:v>
      </x:c>
      <x:c r="B10" s="298" t="n">
        <x:f>IFERROR(XLOOKUP($B$5,$A$15:$A$220,$H$15:$H$220),0)</x:f>
        <x:v>13.318032178967124</x:v>
      </x:c>
    </x:row>
    <x:row r="14" ht="26" customHeight="1">
      <x:c r="A14" s="20" t="str">
        <x:v>Airport</x:v>
      </x:c>
      <x:c r="B14" s="21" t="str">
        <x:v>City</x:v>
      </x:c>
      <x:c r="C14" s="21" t="str">
        <x:v>State</x:v>
      </x:c>
      <x:c r="D14" s="21" t="str">
        <x:v>Departures</x:v>
      </x:c>
      <x:c r="E14" s="21" t="str">
        <x:v>Delay Rate</x:v>
      </x:c>
      <x:c r="F14" s="21" t="str">
        <x:v>Cancellation Rate</x:v>
      </x:c>
      <x:c r="G14" s="21" t="str">
        <x:v>Diversion Rate</x:v>
      </x:c>
      <x:c r="H14" s="22" t="str">
        <x:v>Mean Arrival Delay (min)</x:v>
      </x:c>
    </x:row>
    <x:row r="15">
      <x:c r="A15" t="str">
        <x:v>ASE</x:v>
      </x:c>
      <x:c r="B15" t="str">
        <x:v>Aspen, CO</x:v>
      </x:c>
      <x:c r="C15" t="str">
        <x:v>CO</x:v>
      </x:c>
      <x:c r="D15" s="23" t="n">
        <x:v>22164</x:v>
      </x:c>
      <x:c r="E15" s="24" t="n">
        <x:v>0.2927269445948385</x:v>
      </x:c>
      <x:c r="F15" s="24" t="n">
        <x:v>0.06614329543403717</x:v>
      </x:c>
      <x:c r="G15" s="24" t="n">
        <x:v>0.0064067857787403</x:v>
      </x:c>
      <x:c r="H15" s="25" t="n">
        <x:v>21.663650515664525</x:v>
      </x:c>
    </x:row>
    <x:row r="16">
      <x:c r="A16" t="str">
        <x:v>FLL</x:v>
      </x:c>
      <x:c r="B16" t="str">
        <x:v>Fort Lauderdale, FL</x:v>
      </x:c>
      <x:c r="C16" t="str">
        <x:v>FL</x:v>
      </x:c>
      <x:c r="D16" s="23" t="n">
        <x:v>269310</x:v>
      </x:c>
      <x:c r="E16" s="24" t="n">
        <x:v>0.2682744792246853</x:v>
      </x:c>
      <x:c r="F16" s="24" t="n">
        <x:v>0.015736511826519625</x:v>
      </x:c>
      <x:c r="G16" s="24" t="n">
        <x:v>0.0029705543797111135</x:v>
      </x:c>
      <x:c r="H16" s="25" t="n">
        <x:v>13.318032178967124</x:v>
      </x:c>
    </x:row>
    <x:row r="17">
      <x:c r="A17" t="str">
        <x:v>EGE</x:v>
      </x:c>
      <x:c r="B17" t="str">
        <x:v>Eagle, CO</x:v>
      </x:c>
      <x:c r="C17" t="str">
        <x:v>CO</x:v>
      </x:c>
      <x:c r="D17" s="23" t="n">
        <x:v>10664</x:v>
      </x:c>
      <x:c r="E17" s="24" t="n">
        <x:v>0.2659414853713428</x:v>
      </x:c>
      <x:c r="F17" s="24" t="n">
        <x:v>0.014066016504126031</x:v>
      </x:c>
      <x:c r="G17" s="24" t="n">
        <x:v>0.006939234808702175</x:v>
      </x:c>
      <x:c r="H17" s="25" t="n">
        <x:v>16.4</x:v>
      </x:c>
    </x:row>
    <x:row r="18">
      <x:c r="A18" t="str">
        <x:v>MIA</x:v>
      </x:c>
      <x:c r="B18" t="str">
        <x:v>Miami, FL</x:v>
      </x:c>
      <x:c r="C18" t="str">
        <x:v>FL</x:v>
      </x:c>
      <x:c r="D18" s="23" t="n">
        <x:v>324386</x:v>
      </x:c>
      <x:c r="E18" s="24" t="n">
        <x:v>0.2658067857429112</x:v>
      </x:c>
      <x:c r="F18" s="24" t="n">
        <x:v>0.013443860092605724</x:v>
      </x:c>
      <x:c r="G18" s="24" t="n">
        <x:v>0.003085829844691201</x:v>
      </x:c>
      <x:c r="H18" s="25" t="n">
        <x:v>13.491220096293695</x:v>
      </x:c>
    </x:row>
    <x:row r="19">
      <x:c r="A19" t="str">
        <x:v>SFB</x:v>
      </x:c>
      <x:c r="B19" t="str">
        <x:v>Sanford, FL</x:v>
      </x:c>
      <x:c r="C19" t="str">
        <x:v>FL</x:v>
      </x:c>
      <x:c r="D19" s="23" t="n">
        <x:v>29096</x:v>
      </x:c>
      <x:c r="E19" s="24" t="n">
        <x:v>0.2654660434423976</x:v>
      </x:c>
      <x:c r="F19" s="24" t="n">
        <x:v>0.008317294473467143</x:v>
      </x:c>
      <x:c r="G19" s="24" t="n">
        <x:v>0.0027495188342040143</x:v>
      </x:c>
      <x:c r="H19" s="25" t="n">
        <x:v>13.508966428025301</x:v>
      </x:c>
    </x:row>
    <x:row r="20">
      <x:c r="A20" t="str">
        <x:v>DFW</x:v>
      </x:c>
      <x:c r="B20" t="str">
        <x:v>Dallas/Fort Worth, TX</x:v>
      </x:c>
      <x:c r="C20" t="str">
        <x:v>TX</x:v>
      </x:c>
      <x:c r="D20" s="23" t="n">
        <x:v>914680</x:v>
      </x:c>
      <x:c r="E20" s="24" t="n">
        <x:v>0.2603391349980321</x:v>
      </x:c>
      <x:c r="F20" s="24" t="n">
        <x:v>0.020725280972580574</x:v>
      </x:c>
      <x:c r="G20" s="24" t="n">
        <x:v>0.002891721695019023</x:v>
      </x:c>
      <x:c r="H20" s="25" t="n">
        <x:v>13.440981638781832</x:v>
      </x:c>
    </x:row>
    <x:row r="21">
      <x:c r="A21" t="str">
        <x:v>HDN</x:v>
      </x:c>
      <x:c r="B21" t="str">
        <x:v>Hayden, CO</x:v>
      </x:c>
      <x:c r="C21" t="str">
        <x:v>CO</x:v>
      </x:c>
      <x:c r="D21" s="23" t="n">
        <x:v>7183</x:v>
      </x:c>
      <x:c r="E21" s="24" t="n">
        <x:v>0.2549074202979257</x:v>
      </x:c>
      <x:c r="F21" s="24" t="n">
        <x:v>0.017123764443825698</x:v>
      </x:c>
      <x:c r="G21" s="24" t="n">
        <x:v>0.002505916747876932</x:v>
      </x:c>
      <x:c r="H21" s="25" t="n">
        <x:v>12.560068162453849</x:v>
      </x:c>
      <x:c r="J21" s="280" t="str">
        <x:v>Interpretation guardrail: this is a thresholded operational-screening list, not an airport-quality ranking. Compare within season, departure period, carrier, and route before taking action.</x:v>
      </x:c>
      <x:c r="K21" s="281"/>
      <x:c r="L21" s="281"/>
      <x:c r="M21" s="281"/>
      <x:c r="N21" s="281"/>
      <x:c r="O21" s="281"/>
      <x:c r="P21" s="282"/>
    </x:row>
    <x:row r="22">
      <x:c r="A22" t="str">
        <x:v>MCO</x:v>
      </x:c>
      <x:c r="B22" t="str">
        <x:v>Orlando, FL</x:v>
      </x:c>
      <x:c r="C22" t="str">
        <x:v>FL</x:v>
      </x:c>
      <x:c r="D22" s="23" t="n">
        <x:v>483970</x:v>
      </x:c>
      <x:c r="E22" s="24" t="n">
        <x:v>0.2547719899993801</x:v>
      </x:c>
      <x:c r="F22" s="24" t="n">
        <x:v>0.013878959439634688</x:v>
      </x:c>
      <x:c r="G22" s="24" t="n">
        <x:v>0.0024774262867533112</x:v>
      </x:c>
      <x:c r="H22" s="25" t="n">
        <x:v>12.490230099946645</x:v>
      </x:c>
      <x:c r="J22" s="283"/>
      <x:c r="K22" s="284"/>
      <x:c r="L22" s="284"/>
      <x:c r="M22" s="284"/>
      <x:c r="N22" s="284"/>
      <x:c r="O22" s="284"/>
      <x:c r="P22" s="285"/>
    </x:row>
    <x:row r="23">
      <x:c r="A23" t="str">
        <x:v>BQN</x:v>
      </x:c>
      <x:c r="B23" t="str">
        <x:v>Aguadilla, PR</x:v>
      </x:c>
      <x:c r="C23" t="str">
        <x:v>PR</x:v>
      </x:c>
      <x:c r="D23" s="23" t="n">
        <x:v>7641</x:v>
      </x:c>
      <x:c r="E23" s="24" t="n">
        <x:v>0.25022902761418664</x:v>
      </x:c>
      <x:c r="F23" s="24" t="n">
        <x:v>0.017013479911006414</x:v>
      </x:c>
      <x:c r="G23" s="24" t="n">
        <x:v>0.0039261876717707105</x:v>
      </x:c>
      <x:c r="H23" s="25" t="n">
        <x:v>11.728244887047186</x:v>
      </x:c>
      <x:c r="J23" s="286"/>
      <x:c r="K23" s="287"/>
      <x:c r="L23" s="287"/>
      <x:c r="M23" s="287"/>
      <x:c r="N23" s="287"/>
      <x:c r="O23" s="287"/>
      <x:c r="P23" s="288"/>
    </x:row>
    <x:row r="24">
      <x:c r="A24" t="str">
        <x:v>CLT</x:v>
      </x:c>
      <x:c r="B24" t="str">
        <x:v>Charlotte, NC</x:v>
      </x:c>
      <x:c r="C24" t="str">
        <x:v>NC</x:v>
      </x:c>
      <x:c r="D24" s="23" t="n">
        <x:v>608080</x:v>
      </x:c>
      <x:c r="E24" s="24" t="n">
        <x:v>0.2452029338244968</x:v>
      </x:c>
      <x:c r="F24" s="24" t="n">
        <x:v>0.013317326667543745</x:v>
      </x:c>
      <x:c r="G24" s="24" t="n">
        <x:v>0.0023121957637153006</x:v>
      </x:c>
      <x:c r="H24" s="25" t="n">
        <x:v>11.45916475100906</x:v>
      </x:c>
    </x:row>
    <x:row r="25">
      <x:c r="A25" t="str">
        <x:v>DEN</x:v>
      </x:c>
      <x:c r="B25" t="str">
        <x:v>Denver, CO</x:v>
      </x:c>
      <x:c r="C25" t="str">
        <x:v>CO</x:v>
      </x:c>
      <x:c r="D25" s="23" t="n">
        <x:v>915316</x:v>
      </x:c>
      <x:c r="E25" s="24" t="n">
        <x:v>0.24369398109505352</x:v>
      </x:c>
      <x:c r="F25" s="24" t="n">
        <x:v>0.010876025328957432</x:v>
      </x:c>
      <x:c r="G25" s="24" t="n">
        <x:v>0.002793570744966766</x:v>
      </x:c>
      <x:c r="H25" s="25" t="n">
        <x:v>9.744747475642553</x:v>
      </x:c>
    </x:row>
    <x:row r="26">
      <x:c r="A26" t="str">
        <x:v>SJU</x:v>
      </x:c>
      <x:c r="B26" t="str">
        <x:v>San Juan, PR</x:v>
      </x:c>
      <x:c r="C26" t="str">
        <x:v>PR</x:v>
      </x:c>
      <x:c r="D26" s="23" t="n">
        <x:v>103721</x:v>
      </x:c>
      <x:c r="E26" s="24" t="n">
        <x:v>0.24225566664417042</x:v>
      </x:c>
      <x:c r="F26" s="24" t="n">
        <x:v>0.010952459000588116</x:v>
      </x:c>
      <x:c r="G26" s="24" t="n">
        <x:v>0.004598875830352581</x:v>
      </x:c>
      <x:c r="H26" s="25" t="n">
        <x:v>12.29194578289654</x:v>
      </x:c>
    </x:row>
    <x:row r="27">
      <x:c r="A27" t="str">
        <x:v>TVC</x:v>
      </x:c>
      <x:c r="B27" t="str">
        <x:v>Traverse City, MI</x:v>
      </x:c>
      <x:c r="C27" t="str">
        <x:v>MI</x:v>
      </x:c>
      <x:c r="D27" s="23" t="n">
        <x:v>13233</x:v>
      </x:c>
      <x:c r="E27" s="24" t="n">
        <x:v>0.24204639915363108</x:v>
      </x:c>
      <x:c r="F27" s="24" t="n">
        <x:v>0.016398397944532607</x:v>
      </x:c>
      <x:c r="G27" s="24" t="n">
        <x:v>0.0024181969319126426</x:v>
      </x:c>
      <x:c r="H27" s="25" t="n">
        <x:v>13.5788662969809</x:v>
      </x:c>
    </x:row>
    <x:row r="28">
      <x:c r="A28" t="str">
        <x:v>JAC</x:v>
      </x:c>
      <x:c r="B28" t="str">
        <x:v>Jackson, WY</x:v>
      </x:c>
      <x:c r="C28" t="str">
        <x:v>WY</x:v>
      </x:c>
      <x:c r="D28" s="23" t="n">
        <x:v>17223</x:v>
      </x:c>
      <x:c r="E28" s="24" t="n">
        <x:v>0.23991174592115194</x:v>
      </x:c>
      <x:c r="F28" s="24" t="n">
        <x:v>0.014050978342913545</x:v>
      </x:c>
      <x:c r="G28" s="24" t="n">
        <x:v>0.008186727051036406</x:v>
      </x:c>
      <x:c r="H28" s="25" t="n">
        <x:v>15.502019002375297</x:v>
      </x:c>
    </x:row>
    <x:row r="29">
      <x:c r="A29" t="str">
        <x:v>FNT</x:v>
      </x:c>
      <x:c r="B29" t="str">
        <x:v>Flint, MI</x:v>
      </x:c>
      <x:c r="C29" t="str">
        <x:v>MI</x:v>
      </x:c>
      <x:c r="D29" s="23" t="n">
        <x:v>7598</x:v>
      </x:c>
      <x:c r="E29" s="24" t="n">
        <x:v>0.239799947354567</x:v>
      </x:c>
      <x:c r="F29" s="24" t="n">
        <x:v>0.011318768096867597</x:v>
      </x:c>
      <x:c r="G29" s="24" t="n">
        <x:v>0.002237430902869176</x:v>
      </x:c>
      <x:c r="H29" s="25" t="n">
        <x:v>11.910340226817878</x:v>
      </x:c>
    </x:row>
    <x:row r="30">
      <x:c r="A30" t="str">
        <x:v>BWI</x:v>
      </x:c>
      <x:c r="B30" t="str">
        <x:v>Baltimore, MD</x:v>
      </x:c>
      <x:c r="C30" t="str">
        <x:v>MD</x:v>
      </x:c>
      <x:c r="D30" s="23" t="n">
        <x:v>290943</x:v>
      </x:c>
      <x:c r="E30" s="24" t="n">
        <x:v>0.239679249887435</x:v>
      </x:c>
      <x:c r="F30" s="24" t="n">
        <x:v>0.011827058908445985</x:v>
      </x:c>
      <x:c r="G30" s="24" t="n">
        <x:v>0.002093193512131242</x:v>
      </x:c>
      <x:c r="H30" s="25" t="n">
        <x:v>8.472015699232815</x:v>
      </x:c>
    </x:row>
    <x:row r="31">
      <x:c r="A31" t="str">
        <x:v>ORD</x:v>
      </x:c>
      <x:c r="B31" t="str">
        <x:v>Chicago, IL</x:v>
      </x:c>
      <x:c r="C31" t="str">
        <x:v>IL</x:v>
      </x:c>
      <x:c r="D31" s="23" t="n">
        <x:v>865947</x:v>
      </x:c>
      <x:c r="E31" s="24" t="n">
        <x:v>0.23831943525412064</x:v>
      </x:c>
      <x:c r="F31" s="24" t="n">
        <x:v>0.014542460450812809</x:v>
      </x:c>
      <x:c r="G31" s="24" t="n">
        <x:v>0.002725340003487511</x:v>
      </x:c>
      <x:c r="H31" s="25" t="n">
        <x:v>10.225714869905076</x:v>
      </x:c>
    </x:row>
    <x:row r="32">
      <x:c r="A32" t="str">
        <x:v>PBI</x:v>
      </x:c>
      <x:c r="B32" t="str">
        <x:v>West Palm Beach/Palm Beach, FL</x:v>
      </x:c>
      <x:c r="C32" t="str">
        <x:v>FL</x:v>
      </x:c>
      <x:c r="D32" s="23" t="n">
        <x:v>87356</x:v>
      </x:c>
      <x:c r="E32" s="24" t="n">
        <x:v>0.23652639772883374</x:v>
      </x:c>
      <x:c r="F32" s="24" t="n">
        <x:v>0.0160034800128211</x:v>
      </x:c>
      <x:c r="G32" s="24" t="n">
        <x:v>0.003514355052887037</x:v>
      </x:c>
      <x:c r="H32" s="25" t="n">
        <x:v>12.394753126058072</x:v>
      </x:c>
    </x:row>
    <x:row r="33">
      <x:c r="A33" t="str">
        <x:v>FWA</x:v>
      </x:c>
      <x:c r="B33" t="str">
        <x:v>Fort Wayne, IN</x:v>
      </x:c>
      <x:c r="C33" t="str">
        <x:v>IN</x:v>
      </x:c>
      <x:c r="D33" s="23" t="n">
        <x:v>15597</x:v>
      </x:c>
      <x:c r="E33" s="24" t="n">
        <x:v>0.23318586907738667</x:v>
      </x:c>
      <x:c r="F33" s="24" t="n">
        <x:v>0.013912931974097582</x:v>
      </x:c>
      <x:c r="G33" s="24" t="n">
        <x:v>0.002308136180034622</x:v>
      </x:c>
      <x:c r="H33" s="25" t="n">
        <x:v>12.67694212721585</x:v>
      </x:c>
    </x:row>
    <x:row r="34">
      <x:c r="A34" t="str">
        <x:v>TTN</x:v>
      </x:c>
      <x:c r="B34" t="str">
        <x:v>Trenton, NJ</x:v>
      </x:c>
      <x:c r="C34" t="str">
        <x:v>NJ</x:v>
      </x:c>
      <x:c r="D34" s="23" t="n">
        <x:v>5142</x:v>
      </x:c>
      <x:c r="E34" s="24" t="n">
        <x:v>0.23317775184753015</x:v>
      </x:c>
      <x:c r="F34" s="24" t="n">
        <x:v>0.03267211201866978</x:v>
      </x:c>
      <x:c r="G34" s="24" t="n">
        <x:v>0.003695060287825749</x:v>
      </x:c>
      <x:c r="H34" s="25" t="n">
        <x:v>9.634712411705348</x:v>
      </x:c>
    </x:row>
    <x:row r="35">
      <x:c r="A35" t="str">
        <x:v>EYW</x:v>
      </x:c>
      <x:c r="B35" t="str">
        <x:v>Key West, FL</x:v>
      </x:c>
      <x:c r="C35" t="str">
        <x:v>FL</x:v>
      </x:c>
      <x:c r="D35" s="23" t="n">
        <x:v>22604</x:v>
      </x:c>
      <x:c r="E35" s="24" t="n">
        <x:v>0.23252521677579188</x:v>
      </x:c>
      <x:c r="F35" s="24" t="n">
        <x:v>0.016943903733852416</x:v>
      </x:c>
      <x:c r="G35" s="24" t="n">
        <x:v>0.010396390019465582</x:v>
      </x:c>
      <x:c r="H35" s="25" t="n">
        <x:v>13.689666151187119</x:v>
      </x:c>
    </x:row>
    <x:row r="36">
      <x:c r="A36" t="str">
        <x:v>LAS</x:v>
      </x:c>
      <x:c r="B36" t="str">
        <x:v>Las Vegas, NV</x:v>
      </x:c>
      <x:c r="C36" t="str">
        <x:v>NV</x:v>
      </x:c>
      <x:c r="D36" s="23" t="n">
        <x:v>563932</x:v>
      </x:c>
      <x:c r="E36" s="24" t="n">
        <x:v>0.22887511260222865</x:v>
      </x:c>
      <x:c r="F36" s="24" t="n">
        <x:v>0.0094053893022563</x:v>
      </x:c>
      <x:c r="G36" s="24" t="n">
        <x:v>0.0029578034231077504</x:v>
      </x:c>
      <x:c r="H36" s="25" t="n">
        <x:v>7.272164966963516</x:v>
      </x:c>
    </x:row>
    <x:row r="37">
      <x:c r="A37" t="str">
        <x:v>IAH</x:v>
      </x:c>
      <x:c r="B37" t="str">
        <x:v>Houston, TX</x:v>
      </x:c>
      <x:c r="C37" t="str">
        <x:v>TX</x:v>
      </x:c>
      <x:c r="D37" s="23" t="n">
        <x:v>345091</x:v>
      </x:c>
      <x:c r="E37" s="24" t="n">
        <x:v>0.2287396657693188</x:v>
      </x:c>
      <x:c r="F37" s="24" t="n">
        <x:v>0.014683083592443733</x:v>
      </x:c>
      <x:c r="G37" s="24" t="n">
        <x:v>0.0028398306533638953</x:v>
      </x:c>
      <x:c r="H37" s="25" t="n">
        <x:v>10.733397435141162</x:v>
      </x:c>
    </x:row>
    <x:row r="38">
      <x:c r="A38" t="str">
        <x:v>MDW</x:v>
      </x:c>
      <x:c r="B38" t="str">
        <x:v>Chicago, IL</x:v>
      </x:c>
      <x:c r="C38" t="str">
        <x:v>IL</x:v>
      </x:c>
      <x:c r="D38" s="23" t="n">
        <x:v>238746</x:v>
      </x:c>
      <x:c r="E38" s="24" t="n">
        <x:v>0.22846037211094636</x:v>
      </x:c>
      <x:c r="F38" s="24" t="n">
        <x:v>0.012280834024444388</x:v>
      </x:c>
      <x:c r="G38" s="24" t="n">
        <x:v>0.0025675822841010948</x:v>
      </x:c>
      <x:c r="H38" s="25" t="n">
        <x:v>6.954549512969757</x:v>
      </x:c>
    </x:row>
    <x:row r="39">
      <x:c r="A39" t="str">
        <x:v>PHL</x:v>
      </x:c>
      <x:c r="B39" t="str">
        <x:v>Philadelphia, PA</x:v>
      </x:c>
      <x:c r="C39" t="str">
        <x:v>PA</x:v>
      </x:c>
      <x:c r="D39" s="23" t="n">
        <x:v>288225</x:v>
      </x:c>
      <x:c r="E39" s="24" t="n">
        <x:v>0.22774568479486512</x:v>
      </x:c>
      <x:c r="F39" s="24" t="n">
        <x:v>0.01695550351288056</x:v>
      </x:c>
      <x:c r="G39" s="24" t="n">
        <x:v>0.002508456934686443</x:v>
      </x:c>
      <x:c r="H39" s="25" t="n">
        <x:v>9.434573536436496</x:v>
      </x:c>
    </x:row>
    <x:row r="40">
      <x:c r="A40" t="str">
        <x:v>EWR</x:v>
      </x:c>
      <x:c r="B40" t="str">
        <x:v>Newark, NJ</x:v>
      </x:c>
      <x:c r="C40" t="str">
        <x:v>NJ</x:v>
      </x:c>
      <x:c r="D40" s="23" t="n">
        <x:v>387843</x:v>
      </x:c>
      <x:c r="E40" s="24" t="n">
        <x:v>0.22763334648298408</x:v>
      </x:c>
      <x:c r="F40" s="24" t="n">
        <x:v>0.02608014067547951</x:v>
      </x:c>
      <x:c r="G40" s="24" t="n">
        <x:v>0.0024803851042818873</x:v>
      </x:c>
      <x:c r="H40" s="25" t="n">
        <x:v>8.025989606280822</x:v>
      </x:c>
    </x:row>
    <x:row r="41">
      <x:c r="A41" t="str">
        <x:v>PIA</x:v>
      </x:c>
      <x:c r="B41" t="str">
        <x:v>Peoria, IL</x:v>
      </x:c>
      <x:c r="C41" t="str">
        <x:v>IL</x:v>
      </x:c>
      <x:c r="D41" s="23" t="n">
        <x:v>12457</x:v>
      </x:c>
      <x:c r="E41" s="24" t="n">
        <x:v>0.22694067592518263</x:v>
      </x:c>
      <x:c r="F41" s="24" t="n">
        <x:v>0.017660752990286587</x:v>
      </x:c>
      <x:c r="G41" s="24" t="n">
        <x:v>0.0019266275989403548</x:v>
      </x:c>
      <x:c r="H41" s="25" t="n">
        <x:v>12.555473675591582</x:v>
      </x:c>
    </x:row>
    <x:row r="42">
      <x:c r="A42" t="str">
        <x:v>AVL</x:v>
      </x:c>
      <x:c r="B42" t="str">
        <x:v>Asheville, NC</x:v>
      </x:c>
      <x:c r="C42" t="str">
        <x:v>NC</x:v>
      </x:c>
      <x:c r="D42" s="23" t="n">
        <x:v>33536</x:v>
      </x:c>
      <x:c r="E42" s="24" t="n">
        <x:v>0.22635376908396945</x:v>
      </x:c>
      <x:c r="F42" s="24" t="n">
        <x:v>0.020127624045801526</x:v>
      </x:c>
      <x:c r="G42" s="24" t="n">
        <x:v>0.003369513358778626</x:v>
      </x:c>
      <x:c r="H42" s="25" t="n">
        <x:v>10.824050323683888</x:v>
      </x:c>
    </x:row>
    <x:row r="43">
      <x:c r="A43" t="str">
        <x:v>CRW</x:v>
      </x:c>
      <x:c r="B43" t="str">
        <x:v>Charleston/Dunbar, WV</x:v>
      </x:c>
      <x:c r="C43" t="str">
        <x:v>WV</x:v>
      </x:c>
      <x:c r="D43" s="23" t="n">
        <x:v>9813</x:v>
      </x:c>
      <x:c r="E43" s="24" t="n">
        <x:v>0.2240904922042189</x:v>
      </x:c>
      <x:c r="F43" s="24" t="n">
        <x:v>0.01834301436869459</x:v>
      </x:c>
      <x:c r="G43" s="24" t="n">
        <x:v>0.0020381127076327323</x:v>
      </x:c>
      <x:c r="H43" s="25" t="n">
        <x:v>13.007697909081452</x:v>
      </x:c>
    </x:row>
    <x:row r="44">
      <x:c r="A44" t="str">
        <x:v>JFK</x:v>
      </x:c>
      <x:c r="B44" t="str">
        <x:v>New York, NY</x:v>
      </x:c>
      <x:c r="C44" t="str">
        <x:v>NY</x:v>
      </x:c>
      <x:c r="D44" s="23" t="n">
        <x:v>361156</x:v>
      </x:c>
      <x:c r="E44" s="24" t="n">
        <x:v>0.22398631062477156</x:v>
      </x:c>
      <x:c r="F44" s="24" t="n">
        <x:v>0.02066696939826557</x:v>
      </x:c>
      <x:c r="G44" s="24" t="n">
        <x:v>0.0025778334016325357</x:v>
      </x:c>
      <x:c r="H44" s="25" t="n">
        <x:v>5.878390407075632</x:v>
      </x:c>
    </x:row>
    <x:row r="45">
      <x:c r="A45" t="str">
        <x:v>COU</x:v>
      </x:c>
      <x:c r="B45" t="str">
        <x:v>Columbia, MO</x:v>
      </x:c>
      <x:c r="C45" t="str">
        <x:v>MO</x:v>
      </x:c>
      <x:c r="D45" s="23" t="n">
        <x:v>5687</x:v>
      </x:c>
      <x:c r="E45" s="24" t="n">
        <x:v>0.2231404958677686</x:v>
      </x:c>
      <x:c r="F45" s="24" t="n">
        <x:v>0.024265869526991383</x:v>
      </x:c>
      <x:c r="G45" s="24" t="n">
        <x:v>0.002813434148056972</x:v>
      </x:c>
      <x:c r="H45" s="25" t="n">
        <x:v>11.078980661485632</x:v>
      </x:c>
    </x:row>
    <x:row r="46">
      <x:c r="A46" t="str">
        <x:v>STS</x:v>
      </x:c>
      <x:c r="B46" t="str">
        <x:v>Santa Rosa, CA</x:v>
      </x:c>
      <x:c r="C46" t="str">
        <x:v>CA</x:v>
      </x:c>
      <x:c r="D46" s="23" t="n">
        <x:v>11738</x:v>
      </x:c>
      <x:c r="E46" s="24" t="n">
        <x:v>0.22303629238371103</x:v>
      </x:c>
      <x:c r="F46" s="24" t="n">
        <x:v>0.010052819901175668</x:v>
      </x:c>
      <x:c r="G46" s="24" t="n">
        <x:v>0.0021298347248253535</x:v>
      </x:c>
      <x:c r="H46" s="25" t="n">
        <x:v>10.632427770590771</x:v>
      </x:c>
    </x:row>
    <x:row r="47">
      <x:c r="A47" t="str">
        <x:v>SGF</x:v>
      </x:c>
      <x:c r="B47" t="str">
        <x:v>Springfield, MO</x:v>
      </x:c>
      <x:c r="C47" t="str">
        <x:v>MO</x:v>
      </x:c>
      <x:c r="D47" s="23" t="n">
        <x:v>25852</x:v>
      </x:c>
      <x:c r="E47" s="24" t="n">
        <x:v>0.22253597400587963</x:v>
      </x:c>
      <x:c r="F47" s="24" t="n">
        <x:v>0.012223425653721183</x:v>
      </x:c>
      <x:c r="G47" s="24" t="n">
        <x:v>0.002320903605136933</x:v>
      </x:c>
      <x:c r="H47" s="25" t="n">
        <x:v>12.18743130789763</x:v>
      </x:c>
    </x:row>
    <x:row r="48">
      <x:c r="A48" t="str">
        <x:v>DAL</x:v>
      </x:c>
      <x:c r="B48" t="str">
        <x:v>Dallas, TX</x:v>
      </x:c>
      <x:c r="C48" t="str">
        <x:v>TX</x:v>
      </x:c>
      <x:c r="D48" s="23" t="n">
        <x:v>218797</x:v>
      </x:c>
      <x:c r="E48" s="24" t="n">
        <x:v>0.22227909889075262</x:v>
      </x:c>
      <x:c r="F48" s="24" t="n">
        <x:v>0.013533092318450436</x:v>
      </x:c>
      <x:c r="G48" s="24" t="n">
        <x:v>0.0022212370370708924</x:v>
      </x:c>
      <x:c r="H48" s="25" t="n">
        <x:v>7.370364522869747</x:v>
      </x:c>
    </x:row>
    <x:row r="49">
      <x:c r="A49" t="str">
        <x:v>BOS</x:v>
      </x:c>
      <x:c r="B49" t="str">
        <x:v>Boston, MA</x:v>
      </x:c>
      <x:c r="C49" t="str">
        <x:v>MA</x:v>
      </x:c>
      <x:c r="D49" s="23" t="n">
        <x:v>426866</x:v>
      </x:c>
      <x:c r="E49" s="24" t="n">
        <x:v>0.2194576283892369</x:v>
      </x:c>
      <x:c r="F49" s="24" t="n">
        <x:v>0.016422015339708478</x:v>
      </x:c>
      <x:c r="G49" s="24" t="n">
        <x:v>0.0027104524604911143</x:v>
      </x:c>
      <x:c r="H49" s="25" t="n">
        <x:v>6.33289069235895</x:v>
      </x:c>
    </x:row>
    <x:row r="50">
      <x:c r="A50" t="str">
        <x:v>ISP</x:v>
      </x:c>
      <x:c r="B50" t="str">
        <x:v>Islip, NY</x:v>
      </x:c>
      <x:c r="C50" t="str">
        <x:v>NY</x:v>
      </x:c>
      <x:c r="D50" s="23" t="n">
        <x:v>14758</x:v>
      </x:c>
      <x:c r="E50" s="24" t="n">
        <x:v>0.21825450603062746</x:v>
      </x:c>
      <x:c r="F50" s="24" t="n">
        <x:v>0.014974928852147988</x:v>
      </x:c>
      <x:c r="G50" s="24" t="n">
        <x:v>0.003116953516736685</x:v>
      </x:c>
      <x:c r="H50" s="25" t="n">
        <x:v>8.244841625836726</x:v>
      </x:c>
    </x:row>
    <x:row r="51">
      <x:c r="A51" t="str">
        <x:v>ACV</x:v>
      </x:c>
      <x:c r="B51" t="str">
        <x:v>Arcata/Eureka, CA</x:v>
      </x:c>
      <x:c r="C51" t="str">
        <x:v>CA</x:v>
      </x:c>
      <x:c r="D51" s="23" t="n">
        <x:v>5387</x:v>
      </x:c>
      <x:c r="E51" s="24" t="n">
        <x:v>0.21811769073695936</x:v>
      </x:c>
      <x:c r="F51" s="24" t="n">
        <x:v>0.016149990718396137</x:v>
      </x:c>
      <x:c r="G51" s="24" t="n">
        <x:v>0.00315574531279005</x:v>
      </x:c>
      <x:c r="H51" s="25" t="n">
        <x:v>15.269922392579973</x:v>
      </x:c>
    </x:row>
    <x:row r="52">
      <x:c r="A52" t="str">
        <x:v>MGM</x:v>
      </x:c>
      <x:c r="B52" t="str">
        <x:v>Montgomery, AL</x:v>
      </x:c>
      <x:c r="C52" t="str">
        <x:v>AL</x:v>
      </x:c>
      <x:c r="D52" s="23" t="n">
        <x:v>7070</x:v>
      </x:c>
      <x:c r="E52" s="24" t="n">
        <x:v>0.21782178217821782</x:v>
      </x:c>
      <x:c r="F52" s="24" t="n">
        <x:v>0.022065063649222064</x:v>
      </x:c>
      <x:c r="G52" s="24" t="n">
        <x:v>0.0029702970297029703</x:v>
      </x:c>
      <x:c r="H52" s="25" t="n">
        <x:v>13.972435804439286</x:v>
      </x:c>
    </x:row>
    <x:row r="53">
      <x:c r="A53" t="str">
        <x:v>STT</x:v>
      </x:c>
      <x:c r="B53" t="str">
        <x:v>Charlotte Amalie, VI</x:v>
      </x:c>
      <x:c r="C53" t="str">
        <x:v>VI</x:v>
      </x:c>
      <x:c r="D53" s="23" t="n">
        <x:v>15270</x:v>
      </x:c>
      <x:c r="E53" s="24" t="n">
        <x:v>0.21755075311067454</x:v>
      </x:c>
      <x:c r="F53" s="24" t="n">
        <x:v>0.008906352324819908</x:v>
      </x:c>
      <x:c r="G53" s="24" t="n">
        <x:v>0.01624099541584807</x:v>
      </x:c>
      <x:c r="H53" s="25" t="n">
        <x:v>9.083635630794035</x:v>
      </x:c>
    </x:row>
    <x:row r="54">
      <x:c r="A54" t="str">
        <x:v>XWA</x:v>
      </x:c>
      <x:c r="B54" t="str">
        <x:v>Williston, ND</x:v>
      </x:c>
      <x:c r="C54" t="str">
        <x:v>ND</x:v>
      </x:c>
      <x:c r="D54" s="23" t="n">
        <x:v>6035</x:v>
      </x:c>
      <x:c r="E54" s="24" t="n">
        <x:v>0.21706710853355426</x:v>
      </x:c>
      <x:c r="F54" s="24" t="n">
        <x:v>0.01623860811930406</x:v>
      </x:c>
      <x:c r="G54" s="24" t="n">
        <x:v>0.005468102734051367</x:v>
      </x:c>
      <x:c r="H54" s="25" t="n">
        <x:v>13.330962059620596</x:v>
      </x:c>
    </x:row>
    <x:row r="55">
      <x:c r="A55" t="str">
        <x:v>SBN</x:v>
      </x:c>
      <x:c r="B55" t="str">
        <x:v>South Bend, IN</x:v>
      </x:c>
      <x:c r="C55" t="str">
        <x:v>IN</x:v>
      </x:c>
      <x:c r="D55" s="23" t="n">
        <x:v>20352</x:v>
      </x:c>
      <x:c r="E55" s="24" t="n">
        <x:v>0.2162441037735849</x:v>
      </x:c>
      <x:c r="F55" s="24" t="n">
        <x:v>0.014937106918238994</x:v>
      </x:c>
      <x:c r="G55" s="24" t="n">
        <x:v>0.0028989779874213834</x:v>
      </x:c>
      <x:c r="H55" s="25" t="n">
        <x:v>10.714392916103858</x:v>
      </x:c>
    </x:row>
    <x:row r="56">
      <x:c r="A56" t="str">
        <x:v>PIE</x:v>
      </x:c>
      <x:c r="B56" t="str">
        <x:v>St. Petersburg, FL</x:v>
      </x:c>
      <x:c r="C56" t="str">
        <x:v>FL</x:v>
      </x:c>
      <x:c r="D56" s="23" t="n">
        <x:v>25423</x:v>
      </x:c>
      <x:c r="E56" s="24" t="n">
        <x:v>0.2156708492310113</x:v>
      </x:c>
      <x:c r="F56" s="24" t="n">
        <x:v>0.011485662588994219</x:v>
      </x:c>
      <x:c r="G56" s="24" t="n">
        <x:v>0.0029500845690909805</x:v>
      </x:c>
      <x:c r="H56" s="25" t="n">
        <x:v>7.593909642401021</x:v>
      </x:c>
    </x:row>
    <x:row r="57">
      <x:c r="A57" t="str">
        <x:v>SAN</x:v>
      </x:c>
      <x:c r="B57" t="str">
        <x:v>San Diego, CA</x:v>
      </x:c>
      <x:c r="C57" t="str">
        <x:v>CA</x:v>
      </x:c>
      <x:c r="D57" s="23" t="n">
        <x:v>282525</x:v>
      </x:c>
      <x:c r="E57" s="24" t="n">
        <x:v>0.21504999557561277</x:v>
      </x:c>
      <x:c r="F57" s="24" t="n">
        <x:v>0.011421998053269622</x:v>
      </x:c>
      <x:c r="G57" s="24" t="n">
        <x:v>0.0031572427218830193</x:v>
      </x:c>
      <x:c r="H57" s="25" t="n">
        <x:v>6.885422727958449</x:v>
      </x:c>
    </x:row>
    <x:row r="58">
      <x:c r="A58" t="str">
        <x:v>PVU</x:v>
      </x:c>
      <x:c r="B58" t="str">
        <x:v>Provo, UT</x:v>
      </x:c>
      <x:c r="C58" t="str">
        <x:v>UT</x:v>
      </x:c>
      <x:c r="D58" s="23" t="n">
        <x:v>7193</x:v>
      </x:c>
      <x:c r="E58" s="24" t="n">
        <x:v>0.21395801473654943</x:v>
      </x:c>
      <x:c r="F58" s="24" t="n">
        <x:v>0.009036563325455304</x:v>
      </x:c>
      <x:c r="G58" s="24" t="n">
        <x:v>0.004031697483664674</x:v>
      </x:c>
      <x:c r="H58" s="25" t="n">
        <x:v>13.291308635019016</x:v>
      </x:c>
    </x:row>
    <x:row r="59">
      <x:c r="A59" t="str">
        <x:v>MTJ</x:v>
      </x:c>
      <x:c r="B59" t="str">
        <x:v>Montrose/Delta, CO</x:v>
      </x:c>
      <x:c r="C59" t="str">
        <x:v>CO</x:v>
      </x:c>
      <x:c r="D59" s="23" t="n">
        <x:v>7966</x:v>
      </x:c>
      <x:c r="E59" s="24" t="n">
        <x:v>0.21328144614612102</x:v>
      </x:c>
      <x:c r="F59" s="24" t="n">
        <x:v>0.011423550087873463</x:v>
      </x:c>
      <x:c r="G59" s="24" t="n">
        <x:v>0.0037660055234747677</x:v>
      </x:c>
      <x:c r="H59" s="25" t="n">
        <x:v>10.086934353091142</x:v>
      </x:c>
    </x:row>
    <x:row r="60">
      <x:c r="A60" t="str">
        <x:v>AUS</x:v>
      </x:c>
      <x:c r="B60" t="str">
        <x:v>Austin, TX</x:v>
      </x:c>
      <x:c r="C60" t="str">
        <x:v>TX</x:v>
      </x:c>
      <x:c r="D60" s="23" t="n">
        <x:v>264888</x:v>
      </x:c>
      <x:c r="E60" s="24" t="n">
        <x:v>0.21285222433632328</x:v>
      </x:c>
      <x:c r="F60" s="24" t="n">
        <x:v>0.01081966718009121</x:v>
      </x:c>
      <x:c r="G60" s="24" t="n">
        <x:v>0.0021631783999275164</x:v>
      </x:c>
      <x:c r="H60" s="25" t="n">
        <x:v>8.721295549036332</x:v>
      </x:c>
    </x:row>
    <x:row r="61">
      <x:c r="A61" t="str">
        <x:v>SAF</x:v>
      </x:c>
      <x:c r="B61" t="str">
        <x:v>Santa Fe, NM</x:v>
      </x:c>
      <x:c r="C61" t="str">
        <x:v>NM</x:v>
      </x:c>
      <x:c r="D61" s="23" t="n">
        <x:v>8370</x:v>
      </x:c>
      <x:c r="E61" s="24" t="n">
        <x:v>0.2127837514934289</x:v>
      </x:c>
      <x:c r="F61" s="24" t="n">
        <x:v>0.015292712066905615</x:v>
      </x:c>
      <x:c r="G61" s="24" t="n">
        <x:v>0.0027479091995221026</x:v>
      </x:c>
      <x:c r="H61" s="25" t="n">
        <x:v>9.165835259763961</x:v>
      </x:c>
    </x:row>
    <x:row r="62">
      <x:c r="A62" t="str">
        <x:v>CAK</x:v>
      </x:c>
      <x:c r="B62" t="str">
        <x:v>Akron, OH</x:v>
      </x:c>
      <x:c r="C62" t="str">
        <x:v>OH</x:v>
      </x:c>
      <x:c r="D62" s="23" t="n">
        <x:v>11010</x:v>
      </x:c>
      <x:c r="E62" s="24" t="n">
        <x:v>0.21207992733878292</x:v>
      </x:c>
      <x:c r="F62" s="24" t="n">
        <x:v>0.012988192552225249</x:v>
      </x:c>
      <x:c r="G62" s="24" t="n">
        <x:v>0.002452316076294278</x:v>
      </x:c>
      <x:c r="H62" s="25" t="n">
        <x:v>10.999446494464944</x:v>
      </x:c>
    </x:row>
    <x:row r="63">
      <x:c r="A63" t="str">
        <x:v>FSD</x:v>
      </x:c>
      <x:c r="B63" t="str">
        <x:v>Sioux Falls, SD</x:v>
      </x:c>
      <x:c r="C63" t="str">
        <x:v>SD</x:v>
      </x:c>
      <x:c r="D63" s="23" t="n">
        <x:v>21256</x:v>
      </x:c>
      <x:c r="E63" s="24" t="n">
        <x:v>0.21198720361309747</x:v>
      </x:c>
      <x:c r="F63" s="24" t="n">
        <x:v>0.014442980805419647</x:v>
      </x:c>
      <x:c r="G63" s="24" t="n">
        <x:v>0.002211140383891607</x:v>
      </x:c>
      <x:c r="H63" s="25" t="n">
        <x:v>9.298201129078556</x:v>
      </x:c>
    </x:row>
    <x:row r="64">
      <x:c r="A64" t="str">
        <x:v>PGD</x:v>
      </x:c>
      <x:c r="B64" t="str">
        <x:v>Punta Gorda, FL</x:v>
      </x:c>
      <x:c r="C64" t="str">
        <x:v>FL</x:v>
      </x:c>
      <x:c r="D64" s="23" t="n">
        <x:v>20000</x:v>
      </x:c>
      <x:c r="E64" s="24" t="n">
        <x:v>0.2115</x:v>
      </x:c>
      <x:c r="F64" s="24" t="n">
        <x:v>0.00885</x:v>
      </x:c>
      <x:c r="G64" s="24" t="n">
        <x:v>0.00265</x:v>
      </x:c>
      <x:c r="H64" s="25" t="n">
        <x:v>7.863277693474962</x:v>
      </x:c>
    </x:row>
    <x:row r="65">
      <x:c r="A65" t="str">
        <x:v>TPA</x:v>
      </x:c>
      <x:c r="B65" t="str">
        <x:v>Tampa, FL</x:v>
      </x:c>
      <x:c r="C65" t="str">
        <x:v>FL</x:v>
      </x:c>
      <x:c r="D65" s="23" t="n">
        <x:v>236613</x:v>
      </x:c>
      <x:c r="E65" s="24" t="n">
        <x:v>0.2113662393866778</x:v>
      </x:c>
      <x:c r="F65" s="24" t="n">
        <x:v>0.017475793806764634</x:v>
      </x:c>
      <x:c r="G65" s="24" t="n">
        <x:v>0.0024723916268336904</x:v>
      </x:c>
      <x:c r="H65" s="25" t="n">
        <x:v>8.738832133785841</x:v>
      </x:c>
    </x:row>
    <x:row r="66">
      <x:c r="A66" t="str">
        <x:v>DCA</x:v>
      </x:c>
      <x:c r="B66" t="str">
        <x:v>Washington, DC</x:v>
      </x:c>
      <x:c r="C66" t="str">
        <x:v>VA</x:v>
      </x:c>
      <x:c r="D66" s="23" t="n">
        <x:v>422527</x:v>
      </x:c>
      <x:c r="E66" s="24" t="n">
        <x:v>0.21103266773484297</x:v>
      </x:c>
      <x:c r="F66" s="24" t="n">
        <x:v>0.023288452572261656</x:v>
      </x:c>
      <x:c r="G66" s="24" t="n">
        <x:v>0.002354879096483775</x:v>
      </x:c>
      <x:c r="H66" s="25" t="n">
        <x:v>7.194657656694811</x:v>
      </x:c>
    </x:row>
    <x:row r="67">
      <x:c r="A67" t="str">
        <x:v>ATW</x:v>
      </x:c>
      <x:c r="B67" t="str">
        <x:v>Appleton, WI</x:v>
      </x:c>
      <x:c r="C67" t="str">
        <x:v>WI</x:v>
      </x:c>
      <x:c r="D67" s="23" t="n">
        <x:v>18574</x:v>
      </x:c>
      <x:c r="E67" s="24" t="n">
        <x:v>0.21007860450091526</x:v>
      </x:c>
      <x:c r="F67" s="24" t="n">
        <x:v>0.013836545709055669</x:v>
      </x:c>
      <x:c r="G67" s="24" t="n">
        <x:v>0.0016151609777107785</x:v>
      </x:c>
      <x:c r="H67" s="25" t="n">
        <x:v>9.869579482692624</x:v>
      </x:c>
    </x:row>
    <x:row r="68">
      <x:c r="A68" t="str">
        <x:v>LNK</x:v>
      </x:c>
      <x:c r="B68" t="str">
        <x:v>Lincoln, NE</x:v>
      </x:c>
      <x:c r="C68" t="str">
        <x:v>NE</x:v>
      </x:c>
      <x:c r="D68" s="23" t="n">
        <x:v>5594</x:v>
      </x:c>
      <x:c r="E68" s="24" t="n">
        <x:v>0.20968895244905256</x:v>
      </x:c>
      <x:c r="F68" s="24" t="n">
        <x:v>0.011619592420450483</x:v>
      </x:c>
      <x:c r="G68" s="24" t="n">
        <x:v>0.00446907400786557</x:v>
      </x:c>
      <x:c r="H68" s="25" t="n">
        <x:v>11.128997093023257</x:v>
      </x:c>
    </x:row>
    <x:row r="69">
      <x:c r="A69" t="str">
        <x:v>ROA</x:v>
      </x:c>
      <x:c r="B69" t="str">
        <x:v>Roanoke, VA</x:v>
      </x:c>
      <x:c r="C69" t="str">
        <x:v>VA</x:v>
      </x:c>
      <x:c r="D69" s="23" t="n">
        <x:v>7496</x:v>
      </x:c>
      <x:c r="E69" s="24" t="n">
        <x:v>0.20917822838847386</x:v>
      </x:c>
      <x:c r="F69" s="24" t="n">
        <x:v>0.021878335112059766</x:v>
      </x:c>
      <x:c r="G69" s="24" t="n">
        <x:v>0.0014674493062966916</x:v>
      </x:c>
      <x:c r="H69" s="25" t="n">
        <x:v>11.934708373173065</x:v>
      </x:c>
    </x:row>
    <x:row r="70">
      <x:c r="A70" t="str">
        <x:v>SEA</x:v>
      </x:c>
      <x:c r="B70" t="str">
        <x:v>Seattle, WA</x:v>
      </x:c>
      <x:c r="C70" t="str">
        <x:v>WA</x:v>
      </x:c>
      <x:c r="D70" s="23" t="n">
        <x:v>492371</x:v>
      </x:c>
      <x:c r="E70" s="24" t="n">
        <x:v>0.20821291262076766</x:v>
      </x:c>
      <x:c r="F70" s="24" t="n">
        <x:v>0.008422510667768817</x:v>
      </x:c>
      <x:c r="G70" s="24" t="n">
        <x:v>0.0026260685539968845</x:v>
      </x:c>
      <x:c r="H70" s="25" t="n">
        <x:v>4.709408519892962</x:v>
      </x:c>
    </x:row>
    <x:row r="71">
      <x:c r="A71" t="str">
        <x:v>ATL</x:v>
      </x:c>
      <x:c r="B71" t="str">
        <x:v>Atlanta, GA</x:v>
      </x:c>
      <x:c r="C71" t="str">
        <x:v>GA</x:v>
      </x:c>
      <x:c r="D71" s="23" t="n">
        <x:v>992806</x:v>
      </x:c>
      <x:c r="E71" s="24" t="n">
        <x:v>0.20736478224345944</x:v>
      </x:c>
      <x:c r="F71" s="24" t="n">
        <x:v>0.010791635022350792</x:v>
      </x:c>
      <x:c r="G71" s="24" t="n">
        <x:v>0.0024486153387469453</x:v>
      </x:c>
      <x:c r="H71" s="25" t="n">
        <x:v>7.673957624116914</x:v>
      </x:c>
    </x:row>
    <x:row r="72">
      <x:c r="A72" t="str">
        <x:v>MSY</x:v>
      </x:c>
      <x:c r="B72" t="str">
        <x:v>New Orleans, LA</x:v>
      </x:c>
      <x:c r="C72" t="str">
        <x:v>LA</x:v>
      </x:c>
      <x:c r="D72" s="23" t="n">
        <x:v>150913</x:v>
      </x:c>
      <x:c r="E72" s="24" t="n">
        <x:v>0.20668862192123938</x:v>
      </x:c>
      <x:c r="F72" s="24" t="n">
        <x:v>0.014365892931689118</x:v>
      </x:c>
      <x:c r="G72" s="24" t="n">
        <x:v>0.002451743719891593</x:v>
      </x:c>
      <x:c r="H72" s="25" t="n">
        <x:v>8.279177759056445</x:v>
      </x:c>
    </x:row>
    <x:row r="73">
      <x:c r="A73" t="str">
        <x:v>HPN</x:v>
      </x:c>
      <x:c r="B73" t="str">
        <x:v>White Plains, NY</x:v>
      </x:c>
      <x:c r="C73" t="str">
        <x:v>NY</x:v>
      </x:c>
      <x:c r="D73" s="23" t="n">
        <x:v>36041</x:v>
      </x:c>
      <x:c r="E73" s="24" t="n">
        <x:v>0.2062928331622319</x:v>
      </x:c>
      <x:c r="F73" s="24" t="n">
        <x:v>0.01895063954940207</x:v>
      </x:c>
      <x:c r="G73" s="24" t="n">
        <x:v>0.004328403762381732</x:v>
      </x:c>
      <x:c r="H73" s="25" t="n">
        <x:v>8.718623941821487</x:v>
      </x:c>
    </x:row>
    <x:row r="74">
      <x:c r="A74" t="str">
        <x:v>SFO</x:v>
      </x:c>
      <x:c r="B74" t="str">
        <x:v>San Francisco, CA</x:v>
      </x:c>
      <x:c r="C74" t="str">
        <x:v>CA</x:v>
      </x:c>
      <x:c r="D74" s="23" t="n">
        <x:v>415178</x:v>
      </x:c>
      <x:c r="E74" s="24" t="n">
        <x:v>0.20516501356044878</x:v>
      </x:c>
      <x:c r="F74" s="24" t="n">
        <x:v>0.010434078877011787</x:v>
      </x:c>
      <x:c r="G74" s="24" t="n">
        <x:v>0.0026542832230994897</x:v>
      </x:c>
      <x:c r="H74" s="25" t="n">
        <x:v>6.028220059354133</x:v>
      </x:c>
    </x:row>
    <x:row r="75">
      <x:c r="A75" t="str">
        <x:v>BZN</x:v>
      </x:c>
      <x:c r="B75" t="str">
        <x:v>Bozeman, MT</x:v>
      </x:c>
      <x:c r="C75" t="str">
        <x:v>MT</x:v>
      </x:c>
      <x:c r="D75" s="23" t="n">
        <x:v>30796</x:v>
      </x:c>
      <x:c r="E75" s="24" t="n">
        <x:v>0.20444213534225225</x:v>
      </x:c>
      <x:c r="F75" s="24" t="n">
        <x:v>0.008150409144044682</x:v>
      </x:c>
      <x:c r="G75" s="24" t="n">
        <x:v>0.0036368359527211326</x:v>
      </x:c>
      <x:c r="H75" s="25" t="n">
        <x:v>8.006243222817336</x:v>
      </x:c>
    </x:row>
    <x:row r="76">
      <x:c r="A76" t="str">
        <x:v>AGS</x:v>
      </x:c>
      <x:c r="B76" t="str">
        <x:v>Augusta, GA</x:v>
      </x:c>
      <x:c r="C76" t="str">
        <x:v>GA</x:v>
      </x:c>
      <x:c r="D76" s="23" t="n">
        <x:v>9962</x:v>
      </x:c>
      <x:c r="E76" s="24" t="n">
        <x:v>0.20427624974904637</x:v>
      </x:c>
      <x:c r="F76" s="24" t="n">
        <x:v>0.017265609315398514</x:v>
      </x:c>
      <x:c r="G76" s="24" t="n">
        <x:v>0.0012045773940975708</x:v>
      </x:c>
      <x:c r="H76" s="25" t="n">
        <x:v>10.043874002863571</x:v>
      </x:c>
    </x:row>
    <x:row r="77">
      <x:c r="A77" t="str">
        <x:v>BNA</x:v>
      </x:c>
      <x:c r="B77" t="str">
        <x:v>Nashville, TN</x:v>
      </x:c>
      <x:c r="C77" t="str">
        <x:v>TN</x:v>
      </x:c>
      <x:c r="D77" s="23" t="n">
        <x:v>301950</x:v>
      </x:c>
      <x:c r="E77" s="24" t="n">
        <x:v>0.20373902964066898</x:v>
      </x:c>
      <x:c r="F77" s="24" t="n">
        <x:v>0.012425898327537672</x:v>
      </x:c>
      <x:c r="G77" s="24" t="n">
        <x:v>0.002301705580394105</x:v>
      </x:c>
      <x:c r="H77" s="25" t="n">
        <x:v>6.814371619781985</x:v>
      </x:c>
    </x:row>
    <x:row r="78">
      <x:c r="A78" t="str">
        <x:v>STL</x:v>
      </x:c>
      <x:c r="B78" t="str">
        <x:v>St. Louis, MO</x:v>
      </x:c>
      <x:c r="C78" t="str">
        <x:v>MO</x:v>
      </x:c>
      <x:c r="D78" s="23" t="n">
        <x:v>191684</x:v>
      </x:c>
      <x:c r="E78" s="24" t="n">
        <x:v>0.2030894597358152</x:v>
      </x:c>
      <x:c r="F78" s="24" t="n">
        <x:v>0.01129984766595021</x:v>
      </x:c>
      <x:c r="G78" s="24" t="n">
        <x:v>0.002133720080966591</x:v>
      </x:c>
      <x:c r="H78" s="25" t="n">
        <x:v>6.8370304956400805</x:v>
      </x:c>
    </x:row>
    <x:row r="79">
      <x:c r="A79" t="str">
        <x:v>SHV</x:v>
      </x:c>
      <x:c r="B79" t="str">
        <x:v>Shreveport, LA</x:v>
      </x:c>
      <x:c r="C79" t="str">
        <x:v>LA</x:v>
      </x:c>
      <x:c r="D79" s="23" t="n">
        <x:v>14242</x:v>
      </x:c>
      <x:c r="E79" s="24" t="n">
        <x:v>0.20306136778542339</x:v>
      </x:c>
      <x:c r="F79" s="24" t="n">
        <x:v>0.01951973037494734</x:v>
      </x:c>
      <x:c r="G79" s="24" t="n">
        <x:v>0.001966016008987502</x:v>
      </x:c>
      <x:c r="H79" s="25" t="n">
        <x:v>11.726033295063147</x:v>
      </x:c>
    </x:row>
    <x:row r="80">
      <x:c r="A80" t="str">
        <x:v>BDL</x:v>
      </x:c>
      <x:c r="B80" t="str">
        <x:v>Hartford, CT</x:v>
      </x:c>
      <x:c r="C80" t="str">
        <x:v>CT</x:v>
      </x:c>
      <x:c r="D80" s="23" t="n">
        <x:v>67068</x:v>
      </x:c>
      <x:c r="E80" s="24" t="n">
        <x:v>0.20292837120534382</x:v>
      </x:c>
      <x:c r="F80" s="24" t="n">
        <x:v>0.013583228961650862</x:v>
      </x:c>
      <x:c r="G80" s="24" t="n">
        <x:v>0.003101329993439494</x:v>
      </x:c>
      <x:c r="H80" s="25" t="n">
        <x:v>7.280413652974268</x:v>
      </x:c>
    </x:row>
    <x:row r="81">
      <x:c r="A81" t="str">
        <x:v>MBS</x:v>
      </x:c>
      <x:c r="B81" t="str">
        <x:v>Saginaw/Bay City/Midland, MI</x:v>
      </x:c>
      <x:c r="C81" t="str">
        <x:v>MI</x:v>
      </x:c>
      <x:c r="D81" s="23" t="n">
        <x:v>6121</x:v>
      </x:c>
      <x:c r="E81" s="24" t="n">
        <x:v>0.201764417578827</x:v>
      </x:c>
      <x:c r="F81" s="24" t="n">
        <x:v>0.014540107825518706</x:v>
      </x:c>
      <x:c r="G81" s="24" t="n">
        <x:v>0.001143603986276752</x:v>
      </x:c>
      <x:c r="H81" s="25" t="n">
        <x:v>11.416265560165975</x:v>
      </x:c>
    </x:row>
    <x:row r="82">
      <x:c r="A82" t="str">
        <x:v>CID</x:v>
      </x:c>
      <x:c r="B82" t="str">
        <x:v>Cedar Rapids/Iowa City, IA</x:v>
      </x:c>
      <x:c r="C82" t="str">
        <x:v>IA</x:v>
      </x:c>
      <x:c r="D82" s="23" t="n">
        <x:v>23258</x:v>
      </x:c>
      <x:c r="E82" s="24" t="n">
        <x:v>0.2015650528850288</x:v>
      </x:c>
      <x:c r="F82" s="24" t="n">
        <x:v>0.01956316106286009</x:v>
      </x:c>
      <x:c r="G82" s="24" t="n">
        <x:v>0.001934818127096053</x:v>
      </x:c>
      <x:c r="H82" s="25" t="n">
        <x:v>10.600140609895421</x:v>
      </x:c>
    </x:row>
    <x:row r="83">
      <x:c r="A83" t="str">
        <x:v>RAP</x:v>
      </x:c>
      <x:c r="B83" t="str">
        <x:v>Rapid City, SD</x:v>
      </x:c>
      <x:c r="C83" t="str">
        <x:v>SD</x:v>
      </x:c>
      <x:c r="D83" s="23" t="n">
        <x:v>14592</x:v>
      </x:c>
      <x:c r="E83" s="24" t="n">
        <x:v>0.20079495614035087</x:v>
      </x:c>
      <x:c r="F83" s="24" t="n">
        <x:v>0.0161047149122807</x:v>
      </x:c>
      <x:c r="G83" s="24" t="n">
        <x:v>0.003769188596491228</x:v>
      </x:c>
      <x:c r="H83" s="25" t="n">
        <x:v>8.281219409872746</x:v>
      </x:c>
    </x:row>
    <x:row r="84">
      <x:c r="A84" t="str">
        <x:v>HSV</x:v>
      </x:c>
      <x:c r="B84" t="str">
        <x:v>Huntsville, AL</x:v>
      </x:c>
      <x:c r="C84" t="str">
        <x:v>AL</x:v>
      </x:c>
      <x:c r="D84" s="23" t="n">
        <x:v>25332</x:v>
      </x:c>
      <x:c r="E84" s="24" t="n">
        <x:v>0.200734249171009</x:v>
      </x:c>
      <x:c r="F84" s="24" t="n">
        <x:v>0.01788252013263856</x:v>
      </x:c>
      <x:c r="G84" s="24" t="n">
        <x:v>0.002881730617400916</x:v>
      </x:c>
      <x:c r="H84" s="25" t="n">
        <x:v>9.096186406514553</x:v>
      </x:c>
    </x:row>
    <x:row r="85">
      <x:c r="A85" t="str">
        <x:v>RDU</x:v>
      </x:c>
      <x:c r="B85" t="str">
        <x:v>Raleigh/Durham, NC</x:v>
      </x:c>
      <x:c r="C85" t="str">
        <x:v>NC</x:v>
      </x:c>
      <x:c r="D85" s="23" t="n">
        <x:v>176115</x:v>
      </x:c>
      <x:c r="E85" s="24" t="n">
        <x:v>0.2006473043182012</x:v>
      </x:c>
      <x:c r="F85" s="24" t="n">
        <x:v>0.01568293444624251</x:v>
      </x:c>
      <x:c r="G85" s="24" t="n">
        <x:v>0.0020725094398546403</x:v>
      </x:c>
      <x:c r="H85" s="25" t="n">
        <x:v>7.632697065692418</x:v>
      </x:c>
    </x:row>
    <x:row r="86">
      <x:c r="A86" t="str">
        <x:v>RSW</x:v>
      </x:c>
      <x:c r="B86" t="str">
        <x:v>Fort Myers, FL</x:v>
      </x:c>
      <x:c r="C86" t="str">
        <x:v>FL</x:v>
      </x:c>
      <x:c r="D86" s="23" t="n">
        <x:v>103163</x:v>
      </x:c>
      <x:c r="E86" s="24" t="n">
        <x:v>0.2005370142396014</x:v>
      </x:c>
      <x:c r="F86" s="24" t="n">
        <x:v>0.016711417853300117</x:v>
      </x:c>
      <x:c r="G86" s="24" t="n">
        <x:v>0.0027432315849674786</x:v>
      </x:c>
      <x:c r="H86" s="25" t="n">
        <x:v>8.1630748546799</x:v>
      </x:c>
    </x:row>
    <x:row r="87">
      <x:c r="A87" t="str">
        <x:v>BGR</x:v>
      </x:c>
      <x:c r="B87" t="str">
        <x:v>Bangor, ME</x:v>
      </x:c>
      <x:c r="C87" t="str">
        <x:v>ME</x:v>
      </x:c>
      <x:c r="D87" s="23" t="n">
        <x:v>13007</x:v>
      </x:c>
      <x:c r="E87" s="24" t="n">
        <x:v>0.20043053740293687</x:v>
      </x:c>
      <x:c r="F87" s="24" t="n">
        <x:v>0.0358268624586761</x:v>
      </x:c>
      <x:c r="G87" s="24" t="n">
        <x:v>0.0026139770892596296</x:v>
      </x:c>
      <x:c r="H87" s="25" t="n">
        <x:v>7.643639561845367</x:v>
      </x:c>
    </x:row>
    <x:row r="88">
      <x:c r="A88" t="str">
        <x:v>LGA</x:v>
      </x:c>
      <x:c r="B88" t="str">
        <x:v>New York, NY</x:v>
      </x:c>
      <x:c r="C88" t="str">
        <x:v>NY</x:v>
      </x:c>
      <x:c r="D88" s="23" t="n">
        <x:v>461883</x:v>
      </x:c>
      <x:c r="E88" s="24" t="n">
        <x:v>0.2002433516713107</x:v>
      </x:c>
      <x:c r="F88" s="24" t="n">
        <x:v>0.02696786848617507</x:v>
      </x:c>
      <x:c r="G88" s="24" t="n">
        <x:v>0.0028080704420816527</x:v>
      </x:c>
      <x:c r="H88" s="25" t="n">
        <x:v>4.2009042039234235</x:v>
      </x:c>
    </x:row>
    <x:row r="89">
      <x:c r="A89" t="str">
        <x:v>HHH</x:v>
      </x:c>
      <x:c r="B89" t="str">
        <x:v>Hilton Head, SC</x:v>
      </x:c>
      <x:c r="C89" t="str">
        <x:v>SC</x:v>
      </x:c>
      <x:c r="D89" s="23" t="n">
        <x:v>5861</x:v>
      </x:c>
      <x:c r="E89" s="24" t="n">
        <x:v>0.20013649547858728</x:v>
      </x:c>
      <x:c r="F89" s="24" t="n">
        <x:v>0.02132741852926122</x:v>
      </x:c>
      <x:c r="G89" s="24" t="n">
        <x:v>0.008701586759938576</x:v>
      </x:c>
      <x:c r="H89" s="25" t="n">
        <x:v>7.296042216358839</x:v>
      </x:c>
    </x:row>
    <x:row r="90">
      <x:c r="A90" t="str">
        <x:v>LIT</x:v>
      </x:c>
      <x:c r="B90" t="str">
        <x:v>Little Rock, AR</x:v>
      </x:c>
      <x:c r="C90" t="str">
        <x:v>AR</x:v>
      </x:c>
      <x:c r="D90" s="23" t="n">
        <x:v>37096</x:v>
      </x:c>
      <x:c r="E90" s="24" t="n">
        <x:v>0.19932068147509166</x:v>
      </x:c>
      <x:c r="F90" s="24" t="n">
        <x:v>0.013478542160879878</x:v>
      </x:c>
      <x:c r="G90" s="24" t="n">
        <x:v>0.002075695492775501</x:v>
      </x:c>
      <x:c r="H90" s="25" t="n">
        <x:v>8.378433144390591</x:v>
      </x:c>
    </x:row>
    <x:row r="91">
      <x:c r="A91" t="str">
        <x:v>CPR</x:v>
      </x:c>
      <x:c r="B91" t="str">
        <x:v>Casper, WY</x:v>
      </x:c>
      <x:c r="C91" t="str">
        <x:v>WY</x:v>
      </x:c>
      <x:c r="D91" s="23" t="n">
        <x:v>5537</x:v>
      </x:c>
      <x:c r="E91" s="24" t="n">
        <x:v>0.19920534585515623</x:v>
      </x:c>
      <x:c r="F91" s="24" t="n">
        <x:v>0.014267653964240564</x:v>
      </x:c>
      <x:c r="G91" s="24" t="n">
        <x:v>0.0028896514357955572</x:v>
      </x:c>
      <x:c r="H91" s="25" t="n">
        <x:v>6.51231165012863</x:v>
      </x:c>
    </x:row>
    <x:row r="92">
      <x:c r="A92" t="str">
        <x:v>HOU</x:v>
      </x:c>
      <x:c r="B92" t="str">
        <x:v>Houston, TX</x:v>
      </x:c>
      <x:c r="C92" t="str">
        <x:v>TX</x:v>
      </x:c>
      <x:c r="D92" s="23" t="n">
        <x:v>167513</x:v>
      </x:c>
      <x:c r="E92" s="24" t="n">
        <x:v>0.1987965113155397</x:v>
      </x:c>
      <x:c r="F92" s="24" t="n">
        <x:v>0.010542465360897363</x:v>
      </x:c>
      <x:c r="G92" s="24" t="n">
        <x:v>0.0018446329538602975</x:v>
      </x:c>
      <x:c r="H92" s="25" t="n">
        <x:v>5.233821733821734</x:v>
      </x:c>
    </x:row>
    <x:row r="93">
      <x:c r="A93" t="str">
        <x:v>RIC</x:v>
      </x:c>
      <x:c r="B93" t="str">
        <x:v>Richmond, VA</x:v>
      </x:c>
      <x:c r="C93" t="str">
        <x:v>VA</x:v>
      </x:c>
      <x:c r="D93" s="23" t="n">
        <x:v>54932</x:v>
      </x:c>
      <x:c r="E93" s="24" t="n">
        <x:v>0.19866380251947863</x:v>
      </x:c>
      <x:c r="F93" s="24" t="n">
        <x:v>0.016893613922668027</x:v>
      </x:c>
      <x:c r="G93" s="24" t="n">
        <x:v>0.0022391320177674217</x:v>
      </x:c>
      <x:c r="H93" s="25" t="n">
        <x:v>7.237894619624728</x:v>
      </x:c>
    </x:row>
    <x:row r="94">
      <x:c r="A94" t="str">
        <x:v>DRO</x:v>
      </x:c>
      <x:c r="B94" t="str">
        <x:v>Durango, CO</x:v>
      </x:c>
      <x:c r="C94" t="str">
        <x:v>CO</x:v>
      </x:c>
      <x:c r="D94" s="23" t="n">
        <x:v>11475</x:v>
      </x:c>
      <x:c r="E94" s="24" t="n">
        <x:v>0.19808278867102397</x:v>
      </x:c>
      <x:c r="F94" s="24" t="n">
        <x:v>0.01429193899782135</x:v>
      </x:c>
      <x:c r="G94" s="24" t="n">
        <x:v>0.0027886710239651414</x:v>
      </x:c>
      <x:c r="H94" s="25" t="n">
        <x:v>8.773118184236191</x:v>
      </x:c>
    </x:row>
    <x:row r="95">
      <x:c r="A95" t="str">
        <x:v>BTV</x:v>
      </x:c>
      <x:c r="B95" t="str">
        <x:v>Burlington, VT</x:v>
      </x:c>
      <x:c r="C95" t="str">
        <x:v>VT</x:v>
      </x:c>
      <x:c r="D95" s="23" t="n">
        <x:v>22485</x:v>
      </x:c>
      <x:c r="E95" s="24" t="n">
        <x:v>0.19733155436957972</x:v>
      </x:c>
      <x:c r="F95" s="24" t="n">
        <x:v>0.025661552145875028</x:v>
      </x:c>
      <x:c r="G95" s="24" t="n">
        <x:v>0.002801867911941294</x:v>
      </x:c>
      <x:c r="H95" s="25" t="n">
        <x:v>8.79464408331426</x:v>
      </x:c>
    </x:row>
    <x:row r="96">
      <x:c r="A96" t="str">
        <x:v>MFE</x:v>
      </x:c>
      <x:c r="B96" t="str">
        <x:v>Mission/McAllen/Edinburg, TX</x:v>
      </x:c>
      <x:c r="C96" t="str">
        <x:v>TX</x:v>
      </x:c>
      <x:c r="D96" s="23" t="n">
        <x:v>12562</x:v>
      </x:c>
      <x:c r="E96" s="24" t="n">
        <x:v>0.19710237223372074</x:v>
      </x:c>
      <x:c r="F96" s="24" t="n">
        <x:v>0.017513134851138354</x:v>
      </x:c>
      <x:c r="G96" s="24" t="n">
        <x:v>0.0019901289603566313</x:v>
      </x:c>
      <x:c r="H96" s="25" t="n">
        <x:v>11.504668344564424</x:v>
      </x:c>
    </x:row>
    <x:row r="97">
      <x:c r="A97" t="str">
        <x:v>SBP</x:v>
      </x:c>
      <x:c r="B97" t="str">
        <x:v>San Luis Obispo, CA</x:v>
      </x:c>
      <x:c r="C97" t="str">
        <x:v>CA</x:v>
      </x:c>
      <x:c r="D97" s="23" t="n">
        <x:v>15488</x:v>
      </x:c>
      <x:c r="E97" s="24" t="n">
        <x:v>0.19699121900826447</x:v>
      </x:c>
      <x:c r="F97" s="24" t="n">
        <x:v>0.011040805785123967</x:v>
      </x:c>
      <x:c r="G97" s="24" t="n">
        <x:v>0.002518078512396694</x:v>
      </x:c>
      <x:c r="H97" s="25" t="n">
        <x:v>10.557140987040189</x:v>
      </x:c>
    </x:row>
    <x:row r="98">
      <x:c r="A98" t="str">
        <x:v>AVP</x:v>
      </x:c>
      <x:c r="B98" t="str">
        <x:v>Scranton/Wilkes-Barre, PA</x:v>
      </x:c>
      <x:c r="C98" t="str">
        <x:v>PA</x:v>
      </x:c>
      <x:c r="D98" s="23" t="n">
        <x:v>5169</x:v>
      </x:c>
      <x:c r="E98" s="24" t="n">
        <x:v>0.19694331592184175</x:v>
      </x:c>
      <x:c r="F98" s="24" t="n">
        <x:v>0.01644418649642097</x:v>
      </x:c>
      <x:c r="G98" s="24" t="n">
        <x:v>0.002901915264074289</x:v>
      </x:c>
      <x:c r="H98" s="25" t="n">
        <x:v>9.48333004537384</x:v>
      </x:c>
    </x:row>
    <x:row r="99">
      <x:c r="A99" t="str">
        <x:v>JAX</x:v>
      </x:c>
      <x:c r="B99" t="str">
        <x:v>Jacksonville, FL</x:v>
      </x:c>
      <x:c r="C99" t="str">
        <x:v>FL</x:v>
      </x:c>
      <x:c r="D99" s="23" t="n">
        <x:v>87003</x:v>
      </x:c>
      <x:c r="E99" s="24" t="n">
        <x:v>0.19668287300437917</x:v>
      </x:c>
      <x:c r="F99" s="24" t="n">
        <x:v>0.015620151029274852</x:v>
      </x:c>
      <x:c r="G99" s="24" t="n">
        <x:v>0.0025516361504775696</x:v>
      </x:c>
      <x:c r="H99" s="25" t="n">
        <x:v>9.052925475872726</x:v>
      </x:c>
    </x:row>
    <x:row r="100">
      <x:c r="A100" t="str">
        <x:v>GRK</x:v>
      </x:c>
      <x:c r="B100" t="str">
        <x:v>Killeen, TX</x:v>
      </x:c>
      <x:c r="C100" t="str">
        <x:v>TX</x:v>
      </x:c>
      <x:c r="D100" s="23" t="n">
        <x:v>5189</x:v>
      </x:c>
      <x:c r="E100" s="24" t="n">
        <x:v>0.19599152052418578</x:v>
      </x:c>
      <x:c r="F100" s="24" t="n">
        <x:v>0.02505299672383889</x:v>
      </x:c>
      <x:c r="G100" s="24" t="n">
        <x:v>0.0011562921564848719</x:v>
      </x:c>
      <x:c r="H100" s="25" t="n">
        <x:v>6.577280823273303</x:v>
      </x:c>
    </x:row>
    <x:row r="101">
      <x:c r="A101" t="str">
        <x:v>CHA</x:v>
      </x:c>
      <x:c r="B101" t="str">
        <x:v>Chattanooga, TN</x:v>
      </x:c>
      <x:c r="C101" t="str">
        <x:v>TN</x:v>
      </x:c>
      <x:c r="D101" s="23" t="n">
        <x:v>17818</x:v>
      </x:c>
      <x:c r="E101" s="24" t="n">
        <x:v>0.19570097654057694</x:v>
      </x:c>
      <x:c r="F101" s="24" t="n">
        <x:v>0.014591985632506453</x:v>
      </x:c>
      <x:c r="G101" s="24" t="n">
        <x:v>0.00185205971489505</x:v>
      </x:c>
      <x:c r="H101" s="25" t="n">
        <x:v>8.78453637660485</x:v>
      </x:c>
    </x:row>
    <x:row r="102">
      <x:c r="A102" t="str">
        <x:v>BUF</x:v>
      </x:c>
      <x:c r="B102" t="str">
        <x:v>Buffalo, NY</x:v>
      </x:c>
      <x:c r="C102" t="str">
        <x:v>NY</x:v>
      </x:c>
      <x:c r="D102" s="23" t="n">
        <x:v>63669</x:v>
      </x:c>
      <x:c r="E102" s="24" t="n">
        <x:v>0.19560539666085536</x:v>
      </x:c>
      <x:c r="F102" s="24" t="n">
        <x:v>0.02151753600653379</x:v>
      </x:c>
      <x:c r="G102" s="24" t="n">
        <x:v>0.0020732224473448617</x:v>
      </x:c>
      <x:c r="H102" s="25" t="n">
        <x:v>7.214374185661203</x:v>
      </x:c>
    </x:row>
    <x:row r="103">
      <x:c r="A103" t="str">
        <x:v>EVV</x:v>
      </x:c>
      <x:c r="B103" t="str">
        <x:v>Evansville, IN</x:v>
      </x:c>
      <x:c r="C103" t="str">
        <x:v>IN</x:v>
      </x:c>
      <x:c r="D103" s="23" t="n">
        <x:v>5943</x:v>
      </x:c>
      <x:c r="E103" s="24" t="n">
        <x:v>0.1955241460541814</x:v>
      </x:c>
      <x:c r="F103" s="24" t="n">
        <x:v>0.014470805990240618</x:v>
      </x:c>
      <x:c r="G103" s="24" t="n">
        <x:v>0.0038700992764597003</x:v>
      </x:c>
      <x:c r="H103" s="25" t="n">
        <x:v>6.426294137812821</x:v>
      </x:c>
    </x:row>
    <x:row r="104">
      <x:c r="A104" t="str">
        <x:v>COS</x:v>
      </x:c>
      <x:c r="B104" t="str">
        <x:v>Colorado Springs, CO</x:v>
      </x:c>
      <x:c r="C104" t="str">
        <x:v>CO</x:v>
      </x:c>
      <x:c r="D104" s="23" t="n">
        <x:v>37596</x:v>
      </x:c>
      <x:c r="E104" s="24" t="n">
        <x:v>0.19480795829343547</x:v>
      </x:c>
      <x:c r="F104" s="24" t="n">
        <x:v>0.012953505692094905</x:v>
      </x:c>
      <x:c r="G104" s="24" t="n">
        <x:v>0.002447068837110331</x:v>
      </x:c>
      <x:c r="H104" s="25" t="n">
        <x:v>7.527055136829024</x:v>
      </x:c>
    </x:row>
    <x:row r="105">
      <x:c r="A105" t="str">
        <x:v>ALB</x:v>
      </x:c>
      <x:c r="B105" t="str">
        <x:v>Albany, NY</x:v>
      </x:c>
      <x:c r="C105" t="str">
        <x:v>NY</x:v>
      </x:c>
      <x:c r="D105" s="23" t="n">
        <x:v>36528</x:v>
      </x:c>
      <x:c r="E105" s="24" t="n">
        <x:v>0.1946178274200613</x:v>
      </x:c>
      <x:c r="F105" s="24" t="n">
        <x:v>0.016042487954445905</x:v>
      </x:c>
      <x:c r="G105" s="24" t="n">
        <x:v>0.003148269820411739</x:v>
      </x:c>
      <x:c r="H105" s="25" t="n">
        <x:v>7.014960783766433</x:v>
      </x:c>
    </x:row>
    <x:row r="106">
      <x:c r="A106" t="str">
        <x:v>MSO</x:v>
      </x:c>
      <x:c r="B106" t="str">
        <x:v>Missoula, MT</x:v>
      </x:c>
      <x:c r="C106" t="str">
        <x:v>MT</x:v>
      </x:c>
      <x:c r="D106" s="23" t="n">
        <x:v>12490</x:v>
      </x:c>
      <x:c r="E106" s="24" t="n">
        <x:v>0.19423538831064852</x:v>
      </x:c>
      <x:c r="F106" s="24" t="n">
        <x:v>0.008246597277822258</x:v>
      </x:c>
      <x:c r="G106" s="24" t="n">
        <x:v>0.003522818254603683</x:v>
      </x:c>
      <x:c r="H106" s="25" t="n">
        <x:v>9.111723243943937</x:v>
      </x:c>
    </x:row>
    <x:row r="107">
      <x:c r="A107" t="str">
        <x:v>ORF</x:v>
      </x:c>
      <x:c r="B107" t="str">
        <x:v>Norfolk, VA</x:v>
      </x:c>
      <x:c r="C107" t="str">
        <x:v>VA</x:v>
      </x:c>
      <x:c r="D107" s="23" t="n">
        <x:v>62201</x:v>
      </x:c>
      <x:c r="E107" s="24" t="n">
        <x:v>0.1940965579331522</x:v>
      </x:c>
      <x:c r="F107" s="24" t="n">
        <x:v>0.02061060111573769</x:v>
      </x:c>
      <x:c r="G107" s="24" t="n">
        <x:v>0.0020096139933441586</x:v>
      </x:c>
      <x:c r="H107" s="25" t="n">
        <x:v>8.186975688390302</x:v>
      </x:c>
    </x:row>
    <x:row r="108">
      <x:c r="A108" t="str">
        <x:v>GRR</x:v>
      </x:c>
      <x:c r="B108" t="str">
        <x:v>Grand Rapids, MI</x:v>
      </x:c>
      <x:c r="C108" t="str">
        <x:v>MI</x:v>
      </x:c>
      <x:c r="D108" s="23" t="n">
        <x:v>53387</x:v>
      </x:c>
      <x:c r="E108" s="24" t="n">
        <x:v>0.19341787326502707</x:v>
      </x:c>
      <x:c r="F108" s="24" t="n">
        <x:v>0.014666491842583401</x:v>
      </x:c>
      <x:c r="G108" s="24" t="n">
        <x:v>0.0018169217225167174</x:v>
      </x:c>
      <x:c r="H108" s="25" t="n">
        <x:v>6.071647589845163</x:v>
      </x:c>
    </x:row>
    <x:row r="109">
      <x:c r="A109" t="str">
        <x:v>SYR</x:v>
      </x:c>
      <x:c r="B109" t="str">
        <x:v>Syracuse, NY</x:v>
      </x:c>
      <x:c r="C109" t="str">
        <x:v>NY</x:v>
      </x:c>
      <x:c r="D109" s="23" t="n">
        <x:v>37063</x:v>
      </x:c>
      <x:c r="E109" s="24" t="n">
        <x:v>0.19304967217980196</x:v>
      </x:c>
      <x:c r="F109" s="24" t="n">
        <x:v>0.018805817122197338</x:v>
      </x:c>
      <x:c r="G109" s="24" t="n">
        <x:v>0.0019156571243558265</x:v>
      </x:c>
      <x:c r="H109" s="25" t="n">
        <x:v>5.981843229094917</x:v>
      </x:c>
    </x:row>
    <x:row r="110">
      <x:c r="A110" t="str">
        <x:v>LFT</x:v>
      </x:c>
      <x:c r="B110" t="str">
        <x:v>Lafayette, LA</x:v>
      </x:c>
      <x:c r="C110" t="str">
        <x:v>LA</x:v>
      </x:c>
      <x:c r="D110" s="23" t="n">
        <x:v>8855</x:v>
      </x:c>
      <x:c r="E110" s="24" t="n">
        <x:v>0.19288537549407114</x:v>
      </x:c>
      <x:c r="F110" s="24" t="n">
        <x:v>0.02168266516092603</x:v>
      </x:c>
      <x:c r="G110" s="24" t="n">
        <x:v>0.0027103331451157537</x:v>
      </x:c>
      <x:c r="H110" s="25" t="n">
        <x:v>10.55619863410117</x:v>
      </x:c>
    </x:row>
    <x:row r="111">
      <x:c r="A111" t="str">
        <x:v>XNA</x:v>
      </x:c>
      <x:c r="B111" t="str">
        <x:v>Fayetteville, AR</x:v>
      </x:c>
      <x:c r="C111" t="str">
        <x:v>AR</x:v>
      </x:c>
      <x:c r="D111" s="23" t="n">
        <x:v>38288</x:v>
      </x:c>
      <x:c r="E111" s="24" t="n">
        <x:v>0.19251462599247807</x:v>
      </x:c>
      <x:c r="F111" s="24" t="n">
        <x:v>0.01227538654408692</x:v>
      </x:c>
      <x:c r="G111" s="24" t="n">
        <x:v>0.002350605933974091</x:v>
      </x:c>
      <x:c r="H111" s="25" t="n">
        <x:v>7.919635284139101</x:v>
      </x:c>
    </x:row>
    <x:row r="112">
      <x:c r="A112" t="str">
        <x:v>MLI</x:v>
      </x:c>
      <x:c r="B112" t="str">
        <x:v>Moline, IL</x:v>
      </x:c>
      <x:c r="C112" t="str">
        <x:v>IL</x:v>
      </x:c>
      <x:c r="D112" s="23" t="n">
        <x:v>11725</x:v>
      </x:c>
      <x:c r="E112" s="24" t="n">
        <x:v>0.19232409381663113</x:v>
      </x:c>
      <x:c r="F112" s="24" t="n">
        <x:v>0.018763326226012792</x:v>
      </x:c>
      <x:c r="G112" s="24" t="n">
        <x:v>0.00255863539445629</x:v>
      </x:c>
      <x:c r="H112" s="25" t="n">
        <x:v>8.063442265795207</x:v>
      </x:c>
    </x:row>
    <x:row r="113">
      <x:c r="A113" t="str">
        <x:v>BIS</x:v>
      </x:c>
      <x:c r="B113" t="str">
        <x:v>Bismarck/Mandan, ND</x:v>
      </x:c>
      <x:c r="C113" t="str">
        <x:v>ND</x:v>
      </x:c>
      <x:c r="D113" s="23" t="n">
        <x:v>11741</x:v>
      </x:c>
      <x:c r="E113" s="24" t="n">
        <x:v>0.19180649007750616</x:v>
      </x:c>
      <x:c r="F113" s="24" t="n">
        <x:v>0.010390937739545183</x:v>
      </x:c>
      <x:c r="G113" s="24" t="n">
        <x:v>0.003832722936717486</x:v>
      </x:c>
      <x:c r="H113" s="25" t="n">
        <x:v>7.141178503542423</x:v>
      </x:c>
    </x:row>
    <x:row r="114">
      <x:c r="A114" t="str">
        <x:v>FAR</x:v>
      </x:c>
      <x:c r="B114" t="str">
        <x:v>Fargo, ND</x:v>
      </x:c>
      <x:c r="C114" t="str">
        <x:v>ND</x:v>
      </x:c>
      <x:c r="D114" s="23" t="n">
        <x:v>19988</x:v>
      </x:c>
      <x:c r="E114" s="24" t="n">
        <x:v>0.19176505903542126</x:v>
      </x:c>
      <x:c r="F114" s="24" t="n">
        <x:v>0.01265759455673404</x:v>
      </x:c>
      <x:c r="G114" s="24" t="n">
        <x:v>0.002051230738443066</x:v>
      </x:c>
      <x:c r="H114" s="25" t="n">
        <x:v>6.856453742256525</x:v>
      </x:c>
    </x:row>
    <x:row r="115">
      <x:c r="A115" t="str">
        <x:v>ECP</x:v>
      </x:c>
      <x:c r="B115" t="str">
        <x:v>Panama City, FL</x:v>
      </x:c>
      <x:c r="C115" t="str">
        <x:v>FL</x:v>
      </x:c>
      <x:c r="D115" s="23" t="n">
        <x:v>24145</x:v>
      </x:c>
      <x:c r="E115" s="24" t="n">
        <x:v>0.19150962932284116</x:v>
      </x:c>
      <x:c r="F115" s="24" t="n">
        <x:v>0.011555187409401533</x:v>
      </x:c>
      <x:c r="G115" s="24" t="n">
        <x:v>0.0025264029819838476</x:v>
      </x:c>
      <x:c r="H115" s="25" t="n">
        <x:v>7.338332283133796</x:v>
      </x:c>
    </x:row>
    <x:row r="116">
      <x:c r="A116" t="str">
        <x:v>MOT</x:v>
      </x:c>
      <x:c r="B116" t="str">
        <x:v>Minot, ND</x:v>
      </x:c>
      <x:c r="C116" t="str">
        <x:v>ND</x:v>
      </x:c>
      <x:c r="D116" s="23" t="n">
        <x:v>7244</x:v>
      </x:c>
      <x:c r="E116" s="24" t="n">
        <x:v>0.1913307564881281</x:v>
      </x:c>
      <x:c r="F116" s="24" t="n">
        <x:v>0.014632799558255107</x:v>
      </x:c>
      <x:c r="G116" s="24" t="n">
        <x:v>0.004417448923246825</x:v>
      </x:c>
      <x:c r="H116" s="25" t="n">
        <x:v>7.663523782718829</x:v>
      </x:c>
    </x:row>
    <x:row r="117">
      <x:c r="A117" t="str">
        <x:v>SRQ</x:v>
      </x:c>
      <x:c r="B117" t="str">
        <x:v>Sarasota/Bradenton, FL</x:v>
      </x:c>
      <x:c r="C117" t="str">
        <x:v>FL</x:v>
      </x:c>
      <x:c r="D117" s="23" t="n">
        <x:v>49036</x:v>
      </x:c>
      <x:c r="E117" s="24" t="n">
        <x:v>0.19051309242189413</x:v>
      </x:c>
      <x:c r="F117" s="24" t="n">
        <x:v>0.019169589689207928</x:v>
      </x:c>
      <x:c r="G117" s="24" t="n">
        <x:v>0.0026918998286972837</x:v>
      </x:c>
      <x:c r="H117" s="25" t="n">
        <x:v>8.12478108581436</x:v>
      </x:c>
    </x:row>
    <x:row r="118">
      <x:c r="A118" t="str">
        <x:v>PVD</x:v>
      </x:c>
      <x:c r="B118" t="str">
        <x:v>Providence, RI</x:v>
      </x:c>
      <x:c r="C118" t="str">
        <x:v>RI</x:v>
      </x:c>
      <x:c r="D118" s="23" t="n">
        <x:v>44751</x:v>
      </x:c>
      <x:c r="E118" s="24" t="n">
        <x:v>0.1903868069987263</x:v>
      </x:c>
      <x:c r="F118" s="24" t="n">
        <x:v>0.015798529641795712</x:v>
      </x:c>
      <x:c r="G118" s="24" t="n">
        <x:v>0.0024356997608991978</x:v>
      </x:c>
      <x:c r="H118" s="25" t="n">
        <x:v>6.583179697280073</x:v>
      </x:c>
    </x:row>
    <x:row r="119">
      <x:c r="A119" t="str">
        <x:v>DTW</x:v>
      </x:c>
      <x:c r="B119" t="str">
        <x:v>Detroit, MI</x:v>
      </x:c>
      <x:c r="C119" t="str">
        <x:v>MI</x:v>
      </x:c>
      <x:c r="D119" s="23" t="n">
        <x:v>379972</x:v>
      </x:c>
      <x:c r="E119" s="24" t="n">
        <x:v>0.19014032612929374</x:v>
      </x:c>
      <x:c r="F119" s="24" t="n">
        <x:v>0.011019232996115503</x:v>
      </x:c>
      <x:c r="G119" s="24" t="n">
        <x:v>0.0021922667986062133</x:v>
      </x:c>
      <x:c r="H119" s="25" t="n">
        <x:v>5.2800065074996265</x:v>
      </x:c>
    </x:row>
    <x:row r="120">
      <x:c r="A120" t="str">
        <x:v>DSM</x:v>
      </x:c>
      <x:c r="B120" t="str">
        <x:v>Des Moines, IA</x:v>
      </x:c>
      <x:c r="C120" t="str">
        <x:v>IA</x:v>
      </x:c>
      <x:c r="D120" s="23" t="n">
        <x:v>44690</x:v>
      </x:c>
      <x:c r="E120" s="24" t="n">
        <x:v>0.18999776236294472</x:v>
      </x:c>
      <x:c r="F120" s="24" t="n">
        <x:v>0.015909599462967106</x:v>
      </x:c>
      <x:c r="G120" s="24" t="n">
        <x:v>0.002170507943611546</x:v>
      </x:c>
      <x:c r="H120" s="25" t="n">
        <x:v>8.01802561414703</x:v>
      </x:c>
    </x:row>
    <x:row r="121">
      <x:c r="A121" t="str">
        <x:v>PHX</x:v>
      </x:c>
      <x:c r="B121" t="str">
        <x:v>Phoenix, AZ</x:v>
      </x:c>
      <x:c r="C121" t="str">
        <x:v>AZ</x:v>
      </x:c>
      <x:c r="D121" s="23" t="n">
        <x:v>566998</x:v>
      </x:c>
      <x:c r="E121" s="24" t="n">
        <x:v>0.18981548435796952</x:v>
      </x:c>
      <x:c r="F121" s="24" t="n">
        <x:v>0.006574979100455381</x:v>
      </x:c>
      <x:c r="G121" s="24" t="n">
        <x:v>0.002500890655698962</x:v>
      </x:c>
      <x:c r="H121" s="25" t="n">
        <x:v>5.155781237763682</x:v>
      </x:c>
    </x:row>
    <x:row r="122">
      <x:c r="A122" t="str">
        <x:v>PWM</x:v>
      </x:c>
      <x:c r="B122" t="str">
        <x:v>Portland, ME</x:v>
      </x:c>
      <x:c r="C122" t="str">
        <x:v>ME</x:v>
      </x:c>
      <x:c r="D122" s="23" t="n">
        <x:v>33396</x:v>
      </x:c>
      <x:c r="E122" s="24" t="n">
        <x:v>0.18954365792310457</x:v>
      </x:c>
      <x:c r="F122" s="24" t="n">
        <x:v>0.02320637202060127</x:v>
      </x:c>
      <x:c r="G122" s="24" t="n">
        <x:v>0.002575158701640915</x:v>
      </x:c>
      <x:c r="H122" s="25" t="n">
        <x:v>7.744521284770247</x:v>
      </x:c>
    </x:row>
    <x:row r="123">
      <x:c r="A123" t="str">
        <x:v>CVG</x:v>
      </x:c>
      <x:c r="B123" t="str">
        <x:v>Cincinnati, OH</x:v>
      </x:c>
      <x:c r="C123" t="str">
        <x:v>KY</x:v>
      </x:c>
      <x:c r="D123" s="23" t="n">
        <x:v>114461</x:v>
      </x:c>
      <x:c r="E123" s="24" t="n">
        <x:v>0.18914739518263862</x:v>
      </x:c>
      <x:c r="F123" s="24" t="n">
        <x:v>0.014598859000008737</x:v>
      </x:c>
      <x:c r="G123" s="24" t="n">
        <x:v>0.00245498466726658</x:v>
      </x:c>
      <x:c r="H123" s="25" t="n">
        <x:v>6.248504564079318</x:v>
      </x:c>
    </x:row>
    <x:row r="124">
      <x:c r="A124" t="str">
        <x:v>LEX</x:v>
      </x:c>
      <x:c r="B124" t="str">
        <x:v>Lexington, KY</x:v>
      </x:c>
      <x:c r="C124" t="str">
        <x:v>KY</x:v>
      </x:c>
      <x:c r="D124" s="23" t="n">
        <x:v>26436</x:v>
      </x:c>
      <x:c r="E124" s="24" t="n">
        <x:v>0.18864427296111363</x:v>
      </x:c>
      <x:c r="F124" s="24" t="n">
        <x:v>0.014941746103797851</x:v>
      </x:c>
      <x:c r="G124" s="24" t="n">
        <x:v>0.0023452867302163716</x:v>
      </x:c>
      <x:c r="H124" s="25" t="n">
        <x:v>6.187690057354017</x:v>
      </x:c>
    </x:row>
    <x:row r="125">
      <x:c r="A125" t="str">
        <x:v>SAV</x:v>
      </x:c>
      <x:c r="B125" t="str">
        <x:v>Savannah, GA</x:v>
      </x:c>
      <x:c r="C125" t="str">
        <x:v>GA</x:v>
      </x:c>
      <x:c r="D125" s="23" t="n">
        <x:v>55876</x:v>
      </x:c>
      <x:c r="E125" s="24" t="n">
        <x:v>0.18859617724962416</x:v>
      </x:c>
      <x:c r="F125" s="24" t="n">
        <x:v>0.01716300379411554</x:v>
      </x:c>
      <x:c r="G125" s="24" t="n">
        <x:v>0.002362373827761472</x:v>
      </x:c>
      <x:c r="H125" s="25" t="n">
        <x:v>7.649393082048006</x:v>
      </x:c>
    </x:row>
    <x:row r="126">
      <x:c r="A126" t="str">
        <x:v>CHO</x:v>
      </x:c>
      <x:c r="B126" t="str">
        <x:v>Charlottesville, VA</x:v>
      </x:c>
      <x:c r="C126" t="str">
        <x:v>VA</x:v>
      </x:c>
      <x:c r="D126" s="23" t="n">
        <x:v>7605</x:v>
      </x:c>
      <x:c r="E126" s="24" t="n">
        <x:v>0.18856015779092702</x:v>
      </x:c>
      <x:c r="F126" s="24" t="n">
        <x:v>0.025904010519395136</x:v>
      </x:c>
      <x:c r="G126" s="24" t="n">
        <x:v>0.00210387902695595</x:v>
      </x:c>
      <x:c r="H126" s="25" t="n">
        <x:v>7.910714285714286</x:v>
      </x:c>
    </x:row>
    <x:row r="127">
      <x:c r="A127" t="str">
        <x:v>TYS</x:v>
      </x:c>
      <x:c r="B127" t="str">
        <x:v>Knoxville, TN</x:v>
      </x:c>
      <x:c r="C127" t="str">
        <x:v>TN</x:v>
      </x:c>
      <x:c r="D127" s="23" t="n">
        <x:v>43501</x:v>
      </x:c>
      <x:c r="E127" s="24" t="n">
        <x:v>0.1885244017378911</x:v>
      </x:c>
      <x:c r="F127" s="24" t="n">
        <x:v>0.014965173214408864</x:v>
      </x:c>
      <x:c r="G127" s="24" t="n">
        <x:v>0.0032183168203029815</x:v>
      </x:c>
      <x:c r="H127" s="25" t="n">
        <x:v>6.912362444392414</x:v>
      </x:c>
    </x:row>
    <x:row r="128">
      <x:c r="A128" t="str">
        <x:v>CHS</x:v>
      </x:c>
      <x:c r="B128" t="str">
        <x:v>Charleston, SC</x:v>
      </x:c>
      <x:c r="C128" t="str">
        <x:v>SC</x:v>
      </x:c>
      <x:c r="D128" s="23" t="n">
        <x:v>74947</x:v>
      </x:c>
      <x:c r="E128" s="24" t="n">
        <x:v>0.18811960452052784</x:v>
      </x:c>
      <x:c r="F128" s="24" t="n">
        <x:v>0.018012728995156577</x:v>
      </x:c>
      <x:c r="G128" s="24" t="n">
        <x:v>0.0024817537726660173</x:v>
      </x:c>
      <x:c r="H128" s="25" t="n">
        <x:v>7.737913936603507</x:v>
      </x:c>
    </x:row>
    <x:row r="129">
      <x:c r="A129" t="str">
        <x:v>PNS</x:v>
      </x:c>
      <x:c r="B129" t="str">
        <x:v>Pensacola, FL</x:v>
      </x:c>
      <x:c r="C129" t="str">
        <x:v>FL</x:v>
      </x:c>
      <x:c r="D129" s="23" t="n">
        <x:v>38693</x:v>
      </x:c>
      <x:c r="E129" s="24" t="n">
        <x:v>0.18788928229912388</x:v>
      </x:c>
      <x:c r="F129" s="24" t="n">
        <x:v>0.016721370790582276</x:v>
      </x:c>
      <x:c r="G129" s="24" t="n">
        <x:v>0.0026619802031375185</x:v>
      </x:c>
      <x:c r="H129" s="25" t="n">
        <x:v>10.091716522151648</x:v>
      </x:c>
    </x:row>
    <x:row r="130">
      <x:c r="A130" t="str">
        <x:v>IAD</x:v>
      </x:c>
      <x:c r="B130" t="str">
        <x:v>Washington, DC</x:v>
      </x:c>
      <x:c r="C130" t="str">
        <x:v>VA</x:v>
      </x:c>
      <x:c r="D130" s="23" t="n">
        <x:v>160252</x:v>
      </x:c>
      <x:c r="E130" s="24" t="n">
        <x:v>0.1878541297456506</x:v>
      </x:c>
      <x:c r="F130" s="24" t="n">
        <x:v>0.011862566457828919</x:v>
      </x:c>
      <x:c r="G130" s="24" t="n">
        <x:v>0.002215260963981729</x:v>
      </x:c>
      <x:c r="H130" s="25" t="n">
        <x:v>5.102711461049647</x:v>
      </x:c>
    </x:row>
    <x:row r="131">
      <x:c r="A131" t="str">
        <x:v>ROC</x:v>
      </x:c>
      <x:c r="B131" t="str">
        <x:v>Rochester, NY</x:v>
      </x:c>
      <x:c r="C131" t="str">
        <x:v>NY</x:v>
      </x:c>
      <x:c r="D131" s="23" t="n">
        <x:v>35072</x:v>
      </x:c>
      <x:c r="E131" s="24" t="n">
        <x:v>0.18715784671532848</x:v>
      </x:c>
      <x:c r="F131" s="24" t="n">
        <x:v>0.018219662408759125</x:v>
      </x:c>
      <x:c r="G131" s="24" t="n">
        <x:v>0.001625228102189781</x:v>
      </x:c>
      <x:c r="H131" s="25" t="n">
        <x:v>6.553671165929718</x:v>
      </x:c>
    </x:row>
    <x:row r="132">
      <x:c r="A132" t="str">
        <x:v>ICT</x:v>
      </x:c>
      <x:c r="B132" t="str">
        <x:v>Wichita, KS</x:v>
      </x:c>
      <x:c r="C132" t="str">
        <x:v>KS</x:v>
      </x:c>
      <x:c r="D132" s="23" t="n">
        <x:v>30035</x:v>
      </x:c>
      <x:c r="E132" s="24" t="n">
        <x:v>0.18704844348260363</x:v>
      </x:c>
      <x:c r="F132" s="24" t="n">
        <x:v>0.015781588147161643</x:v>
      </x:c>
      <x:c r="G132" s="24" t="n">
        <x:v>0.001997669385716664</x:v>
      </x:c>
      <x:c r="H132" s="25" t="n">
        <x:v>8.119758652249077</x:v>
      </x:c>
    </x:row>
    <x:row r="133">
      <x:c r="A133" t="str">
        <x:v>MCI</x:v>
      </x:c>
      <x:c r="B133" t="str">
        <x:v>Kansas City, MO</x:v>
      </x:c>
      <x:c r="C133" t="str">
        <x:v>MO</x:v>
      </x:c>
      <x:c r="D133" s="23" t="n">
        <x:v>146549</x:v>
      </x:c>
      <x:c r="E133" s="24" t="n">
        <x:v>0.18664746944707913</x:v>
      </x:c>
      <x:c r="F133" s="24" t="n">
        <x:v>0.012930828596578618</x:v>
      </x:c>
      <x:c r="G133" s="24" t="n">
        <x:v>0.002374632375519451</x:v>
      </x:c>
      <x:c r="H133" s="25" t="n">
        <x:v>6.122177872021953</x:v>
      </x:c>
    </x:row>
    <x:row r="134">
      <x:c r="A134" t="str">
        <x:v>MDT</x:v>
      </x:c>
      <x:c r="B134" t="str">
        <x:v>Harrisburg, PA</x:v>
      </x:c>
      <x:c r="C134" t="str">
        <x:v>PA</x:v>
      </x:c>
      <x:c r="D134" s="23" t="n">
        <x:v>16004</x:v>
      </x:c>
      <x:c r="E134" s="24" t="n">
        <x:v>0.1866408397900525</x:v>
      </x:c>
      <x:c r="F134" s="24" t="n">
        <x:v>0.01255936015996001</x:v>
      </x:c>
      <x:c r="G134" s="24" t="n">
        <x:v>0.002124468882779305</x:v>
      </x:c>
      <x:c r="H134" s="25" t="n">
        <x:v>6.975521592998922</x:v>
      </x:c>
    </x:row>
    <x:row r="135">
      <x:c r="A135" t="str">
        <x:v>VPS</x:v>
      </x:c>
      <x:c r="B135" t="str">
        <x:v>Valparaiso, FL</x:v>
      </x:c>
      <x:c r="C135" t="str">
        <x:v>FL</x:v>
      </x:c>
      <x:c r="D135" s="23" t="n">
        <x:v>29661</x:v>
      </x:c>
      <x:c r="E135" s="24" t="n">
        <x:v>0.18556353460773406</x:v>
      </x:c>
      <x:c r="F135" s="24" t="n">
        <x:v>0.01244057853747345</x:v>
      </x:c>
      <x:c r="G135" s="24" t="n">
        <x:v>0.002764573008327433</x:v>
      </x:c>
      <x:c r="H135" s="25" t="n">
        <x:v>8.624683327627524</x:v>
      </x:c>
    </x:row>
    <x:row r="136">
      <x:c r="A136" t="str">
        <x:v>CLE</x:v>
      </x:c>
      <x:c r="B136" t="str">
        <x:v>Cleveland, OH</x:v>
      </x:c>
      <x:c r="C136" t="str">
        <x:v>OH</x:v>
      </x:c>
      <x:c r="D136" s="23" t="n">
        <x:v>122733</x:v>
      </x:c>
      <x:c r="E136" s="24" t="n">
        <x:v>0.1848565585457864</x:v>
      </x:c>
      <x:c r="F136" s="24" t="n">
        <x:v>0.017387336739100322</x:v>
      </x:c>
      <x:c r="G136" s="24" t="n">
        <x:v>0.0018169522459322268</x:v>
      </x:c>
      <x:c r="H136" s="25" t="n">
        <x:v>5.204459360669901</x:v>
      </x:c>
    </x:row>
    <x:row r="137">
      <x:c r="A137" t="str">
        <x:v>MKE</x:v>
      </x:c>
      <x:c r="B137" t="str">
        <x:v>Milwaukee, WI</x:v>
      </x:c>
      <x:c r="C137" t="str">
        <x:v>WI</x:v>
      </x:c>
      <x:c r="D137" s="23" t="n">
        <x:v>82529</x:v>
      </x:c>
      <x:c r="E137" s="24" t="n">
        <x:v>0.18485623235468746</x:v>
      </x:c>
      <x:c r="F137" s="24" t="n">
        <x:v>0.015218892752850512</x:v>
      </x:c>
      <x:c r="G137" s="24" t="n">
        <x:v>0.0021568176035090697</x:v>
      </x:c>
      <x:c r="H137" s="25" t="n">
        <x:v>5.722473642024786</x:v>
      </x:c>
    </x:row>
    <x:row r="138">
      <x:c r="A138" t="str">
        <x:v>RNO</x:v>
      </x:c>
      <x:c r="B138" t="str">
        <x:v>Reno, NV</x:v>
      </x:c>
      <x:c r="C138" t="str">
        <x:v>NV</x:v>
      </x:c>
      <x:c r="D138" s="23" t="n">
        <x:v>61536</x:v>
      </x:c>
      <x:c r="E138" s="24" t="n">
        <x:v>0.18462363494539782</x:v>
      </x:c>
      <x:c r="F138" s="24" t="n">
        <x:v>0.010432917316692669</x:v>
      </x:c>
      <x:c r="G138" s="24" t="n">
        <x:v>0.0021288351534061362</x:v>
      </x:c>
      <x:c r="H138" s="25" t="n">
        <x:v>5.749008442637789</x:v>
      </x:c>
    </x:row>
    <x:row r="139">
      <x:c r="A139" t="str">
        <x:v>GJT</x:v>
      </x:c>
      <x:c r="B139" t="str">
        <x:v>Grand Junction, CO</x:v>
      </x:c>
      <x:c r="C139" t="str">
        <x:v>CO</x:v>
      </x:c>
      <x:c r="D139" s="23" t="n">
        <x:v>11820</x:v>
      </x:c>
      <x:c r="E139" s="24" t="n">
        <x:v>0.18392554991539764</x:v>
      </x:c>
      <x:c r="F139" s="24" t="n">
        <x:v>0.011336717428087987</x:v>
      </x:c>
      <x:c r="G139" s="24" t="n">
        <x:v>0.002961082910321489</x:v>
      </x:c>
      <x:c r="H139" s="25" t="n">
        <x:v>7.488885074242554</x:v>
      </x:c>
    </x:row>
    <x:row r="140">
      <x:c r="A140" t="str">
        <x:v>MSN</x:v>
      </x:c>
      <x:c r="B140" t="str">
        <x:v>Madison, WI</x:v>
      </x:c>
      <x:c r="C140" t="str">
        <x:v>WI</x:v>
      </x:c>
      <x:c r="D140" s="23" t="n">
        <x:v>35068</x:v>
      </x:c>
      <x:c r="E140" s="24" t="n">
        <x:v>0.18318695106649938</x:v>
      </x:c>
      <x:c r="F140" s="24" t="n">
        <x:v>0.014628721341393864</x:v>
      </x:c>
      <x:c r="G140" s="24" t="n">
        <x:v>0.0027090224706284934</x:v>
      </x:c>
      <x:c r="H140" s="25" t="n">
        <x:v>7.481137550783517</x:v>
      </x:c>
    </x:row>
    <x:row r="141">
      <x:c r="A141" t="str">
        <x:v>MYR</x:v>
      </x:c>
      <x:c r="B141" t="str">
        <x:v>Myrtle Beach, SC</x:v>
      </x:c>
      <x:c r="C141" t="str">
        <x:v>SC</x:v>
      </x:c>
      <x:c r="D141" s="23" t="n">
        <x:v>44975</x:v>
      </x:c>
      <x:c r="E141" s="24" t="n">
        <x:v>0.18263479710950528</x:v>
      </x:c>
      <x:c r="F141" s="24" t="n">
        <x:v>0.019655364091161757</x:v>
      </x:c>
      <x:c r="G141" s="24" t="n">
        <x:v>0.002112284602556976</x:v>
      </x:c>
      <x:c r="H141" s="25" t="n">
        <x:v>5.952904809528139</x:v>
      </x:c>
    </x:row>
    <x:row r="142">
      <x:c r="A142" t="str">
        <x:v>LAX</x:v>
      </x:c>
      <x:c r="B142" t="str">
        <x:v>Los Angeles, CA</x:v>
      </x:c>
      <x:c r="C142" t="str">
        <x:v>CA</x:v>
      </x:c>
      <x:c r="D142" s="23" t="n">
        <x:v>578878</x:v>
      </x:c>
      <x:c r="E142" s="24" t="n">
        <x:v>0.18165658394342157</x:v>
      </x:c>
      <x:c r="F142" s="24" t="n">
        <x:v>0.007720106827345313</x:v>
      </x:c>
      <x:c r="G142" s="24" t="n">
        <x:v>0.00288143615753233</x:v>
      </x:c>
      <x:c r="H142" s="25" t="n">
        <x:v>3.712625776747256</x:v>
      </x:c>
    </x:row>
    <x:row r="143">
      <x:c r="A143" t="str">
        <x:v>MEM</x:v>
      </x:c>
      <x:c r="B143" t="str">
        <x:v>Memphis, TN</x:v>
      </x:c>
      <x:c r="C143" t="str">
        <x:v>TN</x:v>
      </x:c>
      <x:c r="D143" s="23" t="n">
        <x:v>69693</x:v>
      </x:c>
      <x:c r="E143" s="24" t="n">
        <x:v>0.1815246868408592</x:v>
      </x:c>
      <x:c r="F143" s="24" t="n">
        <x:v>0.015008680929218142</x:v>
      </x:c>
      <x:c r="G143" s="24" t="n">
        <x:v>0.0024823152970886602</x:v>
      </x:c>
      <x:c r="H143" s="25" t="n">
        <x:v>6.412799018605602</x:v>
      </x:c>
    </x:row>
    <x:row r="144">
      <x:c r="A144" t="str">
        <x:v>OKC</x:v>
      </x:c>
      <x:c r="B144" t="str">
        <x:v>Oklahoma City, OK</x:v>
      </x:c>
      <x:c r="C144" t="str">
        <x:v>OK</x:v>
      </x:c>
      <x:c r="D144" s="23" t="n">
        <x:v>68296</x:v>
      </x:c>
      <x:c r="E144" s="24" t="n">
        <x:v>0.18140154621061264</x:v>
      </x:c>
      <x:c r="F144" s="24" t="n">
        <x:v>0.011113388778259342</x:v>
      </x:c>
      <x:c r="G144" s="24" t="n">
        <x:v>0.002708797001288509</x:v>
      </x:c>
      <x:c r="H144" s="25" t="n">
        <x:v>6.088445777408244</x:v>
      </x:c>
    </x:row>
    <x:row r="145">
      <x:c r="A145" t="str">
        <x:v>MSP</x:v>
      </x:c>
      <x:c r="B145" t="str">
        <x:v>Minneapolis, MN</x:v>
      </x:c>
      <x:c r="C145" t="str">
        <x:v>MN</x:v>
      </x:c>
      <x:c r="D145" s="23" t="n">
        <x:v>361729</x:v>
      </x:c>
      <x:c r="E145" s="24" t="n">
        <x:v>0.1810001409895253</x:v>
      </x:c>
      <x:c r="F145" s="24" t="n">
        <x:v>0.009711690243248399</x:v>
      </x:c>
      <x:c r="G145" s="24" t="n">
        <x:v>0.002410644432710676</x:v>
      </x:c>
      <x:c r="H145" s="25" t="n">
        <x:v>3.2028857347541866</x:v>
      </x:c>
    </x:row>
    <x:row r="146">
      <x:c r="A146" t="str">
        <x:v>BTR</x:v>
      </x:c>
      <x:c r="B146" t="str">
        <x:v>Baton Rouge, LA</x:v>
      </x:c>
      <x:c r="C146" t="str">
        <x:v>LA</x:v>
      </x:c>
      <x:c r="D146" s="23" t="n">
        <x:v>13790</x:v>
      </x:c>
      <x:c r="E146" s="24" t="n">
        <x:v>0.1804205946337926</x:v>
      </x:c>
      <x:c r="F146" s="24" t="n">
        <x:v>0.02044960116026106</x:v>
      </x:c>
      <x:c r="G146" s="24" t="n">
        <x:v>0.002320522117476432</x:v>
      </x:c>
      <x:c r="H146" s="25" t="n">
        <x:v>8.661175422974177</x:v>
      </x:c>
    </x:row>
    <x:row r="147">
      <x:c r="A147" t="str">
        <x:v>AMA</x:v>
      </x:c>
      <x:c r="B147" t="str">
        <x:v>Amarillo, TX</x:v>
      </x:c>
      <x:c r="C147" t="str">
        <x:v>TX</x:v>
      </x:c>
      <x:c r="D147" s="23" t="n">
        <x:v>15593</x:v>
      </x:c>
      <x:c r="E147" s="24" t="n">
        <x:v>0.18014493683062913</x:v>
      </x:c>
      <x:c r="F147" s="24" t="n">
        <x:v>0.015391521836721605</x:v>
      </x:c>
      <x:c r="G147" s="24" t="n">
        <x:v>0.0028859103443853013</x:v>
      </x:c>
      <x:c r="H147" s="25" t="n">
        <x:v>6.823295009145545</x:v>
      </x:c>
    </x:row>
    <x:row r="148">
      <x:c r="A148" t="str">
        <x:v>GRB</x:v>
      </x:c>
      <x:c r="B148" t="str">
        <x:v>Green Bay, WI</x:v>
      </x:c>
      <x:c r="C148" t="str">
        <x:v>WI</x:v>
      </x:c>
      <x:c r="D148" s="23" t="n">
        <x:v>12415</x:v>
      </x:c>
      <x:c r="E148" s="24" t="n">
        <x:v>0.18002416431735804</x:v>
      </x:c>
      <x:c r="F148" s="24" t="n">
        <x:v>0.014901329037454692</x:v>
      </x:c>
      <x:c r="G148" s="24" t="n">
        <x:v>0.0008054772452678212</x:v>
      </x:c>
      <x:c r="H148" s="25" t="n">
        <x:v>7.045417348608838</x:v>
      </x:c>
    </x:row>
    <x:row r="149">
      <x:c r="A149" t="str">
        <x:v>FCA</x:v>
      </x:c>
      <x:c r="B149" t="str">
        <x:v>Kalispell, MT</x:v>
      </x:c>
      <x:c r="C149" t="str">
        <x:v>MT</x:v>
      </x:c>
      <x:c r="D149" s="23" t="n">
        <x:v>11689</x:v>
      </x:c>
      <x:c r="E149" s="24" t="n">
        <x:v>0.1794849858841646</x:v>
      </x:c>
      <x:c r="F149" s="24" t="n">
        <x:v>0.006758490888869878</x:v>
      </x:c>
      <x:c r="G149" s="24" t="n">
        <x:v>0.0024809650098383093</x:v>
      </x:c>
      <x:c r="H149" s="25" t="n">
        <x:v>8.006130731370348</x:v>
      </x:c>
    </x:row>
    <x:row r="150">
      <x:c r="A150" t="str">
        <x:v>BHM</x:v>
      </x:c>
      <x:c r="B150" t="str">
        <x:v>Birmingham, AL</x:v>
      </x:c>
      <x:c r="C150" t="str">
        <x:v>AL</x:v>
      </x:c>
      <x:c r="D150" s="23" t="n">
        <x:v>50019</x:v>
      </x:c>
      <x:c r="E150" s="24" t="n">
        <x:v>0.1792918690897459</x:v>
      </x:c>
      <x:c r="F150" s="24" t="n">
        <x:v>0.014134628841040405</x:v>
      </x:c>
      <x:c r="G150" s="24" t="n">
        <x:v>0.0029188908214878347</x:v>
      </x:c>
      <x:c r="H150" s="25" t="n">
        <x:v>6.3836797787088635</x:v>
      </x:c>
    </x:row>
    <x:row r="151">
      <x:c r="A151" t="str">
        <x:v>SNA</x:v>
      </x:c>
      <x:c r="B151" t="str">
        <x:v>Santa Ana, CA</x:v>
      </x:c>
      <x:c r="C151" t="str">
        <x:v>CA</x:v>
      </x:c>
      <x:c r="D151" s="23" t="n">
        <x:v>133414</x:v>
      </x:c>
      <x:c r="E151" s="24" t="n">
        <x:v>0.1791341238550677</x:v>
      </x:c>
      <x:c r="F151" s="24" t="n">
        <x:v>0.010696028902513978</x:v>
      </x:c>
      <x:c r="G151" s="24" t="n">
        <x:v>0.0029756997016804833</x:v>
      </x:c>
      <x:c r="H151" s="25" t="n">
        <x:v>5.029857891937077</x:v>
      </x:c>
    </x:row>
    <x:row r="152">
      <x:c r="A152" t="str">
        <x:v>MHT</x:v>
      </x:c>
      <x:c r="B152" t="str">
        <x:v>Manchester, NH</x:v>
      </x:c>
      <x:c r="C152" t="str">
        <x:v>NH</x:v>
      </x:c>
      <x:c r="D152" s="23" t="n">
        <x:v>17904</x:v>
      </x:c>
      <x:c r="E152" s="24" t="n">
        <x:v>0.17901027703306524</x:v>
      </x:c>
      <x:c r="F152" s="24" t="n">
        <x:v>0.01966041108132261</x:v>
      </x:c>
      <x:c r="G152" s="24" t="n">
        <x:v>0.003127792672028597</x:v>
      </x:c>
      <x:c r="H152" s="25" t="n">
        <x:v>5.029206675811614</x:v>
      </x:c>
    </x:row>
    <x:row r="153">
      <x:c r="A153" t="str">
        <x:v>IDA</x:v>
      </x:c>
      <x:c r="B153" t="str">
        <x:v>Idaho Falls, ID</x:v>
      </x:c>
      <x:c r="C153" t="str">
        <x:v>ID</x:v>
      </x:c>
      <x:c r="D153" s="23" t="n">
        <x:v>11069</x:v>
      </x:c>
      <x:c r="E153" s="24" t="n">
        <x:v>0.1785165778299756</x:v>
      </x:c>
      <x:c r="F153" s="24" t="n">
        <x:v>0.007950130996476646</x:v>
      </x:c>
      <x:c r="G153" s="24" t="n">
        <x:v>0.004155750293612793</x:v>
      </x:c>
      <x:c r="H153" s="25" t="n">
        <x:v>8.689346136259717</x:v>
      </x:c>
    </x:row>
    <x:row r="154">
      <x:c r="A154" t="str">
        <x:v>OAK</x:v>
      </x:c>
      <x:c r="B154" t="str">
        <x:v>Oakland, CA</x:v>
      </x:c>
      <x:c r="C154" t="str">
        <x:v>CA</x:v>
      </x:c>
      <x:c r="D154" s="23" t="n">
        <x:v>121915</x:v>
      </x:c>
      <x:c r="E154" s="24" t="n">
        <x:v>0.17787802977484313</x:v>
      </x:c>
      <x:c r="F154" s="24" t="n">
        <x:v>0.007431407127916991</x:v>
      </x:c>
      <x:c r="G154" s="24" t="n">
        <x:v>0.0014436287577410491</x:v>
      </x:c>
      <x:c r="H154" s="25" t="n">
        <x:v>2.975892347289234</x:v>
      </x:c>
    </x:row>
    <x:row r="155">
      <x:c r="A155" t="str">
        <x:v>SBA</x:v>
      </x:c>
      <x:c r="B155" t="str">
        <x:v>Santa Barbara, CA</x:v>
      </x:c>
      <x:c r="C155" t="str">
        <x:v>CA</x:v>
      </x:c>
      <x:c r="D155" s="23" t="n">
        <x:v>22930</x:v>
      </x:c>
      <x:c r="E155" s="24" t="n">
        <x:v>0.1771478412559965</x:v>
      </x:c>
      <x:c r="F155" s="24" t="n">
        <x:v>0.013911905800261666</x:v>
      </x:c>
      <x:c r="G155" s="24" t="n">
        <x:v>0.00170082860880942</x:v>
      </x:c>
      <x:c r="H155" s="25" t="n">
        <x:v>6.185628211944001</x:v>
      </x:c>
    </x:row>
    <x:row r="156">
      <x:c r="A156" t="str">
        <x:v>ACY</x:v>
      </x:c>
      <x:c r="B156" t="str">
        <x:v>Atlantic City, NJ</x:v>
      </x:c>
      <x:c r="C156" t="str">
        <x:v>NJ</x:v>
      </x:c>
      <x:c r="D156" s="23" t="n">
        <x:v>8756</x:v>
      </x:c>
      <x:c r="E156" s="24" t="n">
        <x:v>0.1771356783919598</x:v>
      </x:c>
      <x:c r="F156" s="24" t="n">
        <x:v>0.015532206486980357</x:v>
      </x:c>
      <x:c r="G156" s="24" t="n">
        <x:v>0.0029693924166285975</x:v>
      </x:c>
      <x:c r="H156" s="25" t="n">
        <x:v>2.294740516639516</x:v>
      </x:c>
    </x:row>
    <x:row r="157">
      <x:c r="A157" t="str">
        <x:v>PSP</x:v>
      </x:c>
      <x:c r="B157" t="str">
        <x:v>Palm Springs, CA</x:v>
      </x:c>
      <x:c r="C157" t="str">
        <x:v>CA</x:v>
      </x:c>
      <x:c r="D157" s="23" t="n">
        <x:v>42640</x:v>
      </x:c>
      <x:c r="E157" s="24" t="n">
        <x:v>0.17680581613508442</x:v>
      </x:c>
      <x:c r="F157" s="24" t="n">
        <x:v>0.008278611632270168</x:v>
      </x:c>
      <x:c r="G157" s="24" t="n">
        <x:v>0.0028611632270168857</x:v>
      </x:c>
      <x:c r="H157" s="25" t="n">
        <x:v>4.24062611170402</x:v>
      </x:c>
    </x:row>
    <x:row r="158">
      <x:c r="A158" t="str">
        <x:v>OMA</x:v>
      </x:c>
      <x:c r="B158" t="str">
        <x:v>Omaha, NE</x:v>
      </x:c>
      <x:c r="C158" t="str">
        <x:v>NE</x:v>
      </x:c>
      <x:c r="D158" s="23" t="n">
        <x:v>70992</x:v>
      </x:c>
      <x:c r="E158" s="24" t="n">
        <x:v>0.17678048230786567</x:v>
      </x:c>
      <x:c r="F158" s="24" t="n">
        <x:v>0.0116351138156412</x:v>
      </x:c>
      <x:c r="G158" s="24" t="n">
        <x:v>0.0021692585080009016</x:v>
      </x:c>
      <x:c r="H158" s="25" t="n">
        <x:v>5.142846940524482</x:v>
      </x:c>
    </x:row>
    <x:row r="159">
      <x:c r="A159" t="str">
        <x:v>IND</x:v>
      </x:c>
      <x:c r="B159" t="str">
        <x:v>Indianapolis, IN</x:v>
      </x:c>
      <x:c r="C159" t="str">
        <x:v>IN</x:v>
      </x:c>
      <x:c r="D159" s="23" t="n">
        <x:v>140066</x:v>
      </x:c>
      <x:c r="E159" s="24" t="n">
        <x:v>0.17630260020276156</x:v>
      </x:c>
      <x:c r="F159" s="24" t="n">
        <x:v>0.014343238187711507</x:v>
      </x:c>
      <x:c r="G159" s="24" t="n">
        <x:v>0.0022203818199991432</x:v>
      </x:c>
      <x:c r="H159" s="25" t="n">
        <x:v>4.528204085781075</x:v>
      </x:c>
    </x:row>
    <x:row r="160">
      <x:c r="A160" t="str">
        <x:v>SDF</x:v>
      </x:c>
      <x:c r="B160" t="str">
        <x:v>Louisville, KY</x:v>
      </x:c>
      <x:c r="C160" t="str">
        <x:v>KY</x:v>
      </x:c>
      <x:c r="D160" s="23" t="n">
        <x:v>70537</x:v>
      </x:c>
      <x:c r="E160" s="24" t="n">
        <x:v>0.1751279470348895</x:v>
      </x:c>
      <x:c r="F160" s="24" t="n">
        <x:v>0.014503026780271346</x:v>
      </x:c>
      <x:c r="G160" s="24" t="n">
        <x:v>0.002282490040687866</x:v>
      </x:c>
      <x:c r="H160" s="25" t="n">
        <x:v>5.378599339610399</x:v>
      </x:c>
    </x:row>
    <x:row r="161">
      <x:c r="A161" t="str">
        <x:v>FAT</x:v>
      </x:c>
      <x:c r="B161" t="str">
        <x:v>Fresno, CA</x:v>
      </x:c>
      <x:c r="C161" t="str">
        <x:v>CA</x:v>
      </x:c>
      <x:c r="D161" s="23" t="n">
        <x:v>36300</x:v>
      </x:c>
      <x:c r="E161" s="24" t="n">
        <x:v>0.17484848484848484</x:v>
      </x:c>
      <x:c r="F161" s="24" t="n">
        <x:v>0.0069696969696969695</x:v>
      </x:c>
      <x:c r="G161" s="24" t="n">
        <x:v>0.0023691460055096417</x:v>
      </x:c>
      <x:c r="H161" s="25" t="n">
        <x:v>6.048024248491421</x:v>
      </x:c>
    </x:row>
    <x:row r="162">
      <x:c r="A162" t="str">
        <x:v>CMH</x:v>
      </x:c>
      <x:c r="B162" t="str">
        <x:v>Columbus, OH</x:v>
      </x:c>
      <x:c r="C162" t="str">
        <x:v>OH</x:v>
      </x:c>
      <x:c r="D162" s="23" t="n">
        <x:v>128057</x:v>
      </x:c>
      <x:c r="E162" s="24" t="n">
        <x:v>0.17430519221908994</x:v>
      </x:c>
      <x:c r="F162" s="24" t="n">
        <x:v>0.013447136821884005</x:v>
      </x:c>
      <x:c r="G162" s="24" t="n">
        <x:v>0.002131863154688928</x:v>
      </x:c>
      <x:c r="H162" s="25" t="n">
        <x:v>3.909885611841792</x:v>
      </x:c>
    </x:row>
    <x:row r="163">
      <x:c r="A163" t="str">
        <x:v>SAT</x:v>
      </x:c>
      <x:c r="B163" t="str">
        <x:v>San Antonio, TX</x:v>
      </x:c>
      <x:c r="C163" t="str">
        <x:v>TX</x:v>
      </x:c>
      <x:c r="D163" s="23" t="n">
        <x:v>122957</x:v>
      </x:c>
      <x:c r="E163" s="24" t="n">
        <x:v>0.17367860308888472</x:v>
      </x:c>
      <x:c r="F163" s="24" t="n">
        <x:v>0.011020112722333823</x:v>
      </x:c>
      <x:c r="G163" s="24" t="n">
        <x:v>0.0021714908463934548</x:v>
      </x:c>
      <x:c r="H163" s="25" t="n">
        <x:v>5.333704207359789</x:v>
      </x:c>
    </x:row>
    <x:row r="164">
      <x:c r="A164" t="str">
        <x:v>BUR</x:v>
      </x:c>
      <x:c r="B164" t="str">
        <x:v>Burbank, CA</x:v>
      </x:c>
      <x:c r="C164" t="str">
        <x:v>CA</x:v>
      </x:c>
      <x:c r="D164" s="23" t="n">
        <x:v>91078</x:v>
      </x:c>
      <x:c r="E164" s="24" t="n">
        <x:v>0.17321416807571532</x:v>
      </x:c>
      <x:c r="F164" s="24" t="n">
        <x:v>0.014174663475262961</x:v>
      </x:c>
      <x:c r="G164" s="24" t="n">
        <x:v>0.0024594303783570127</x:v>
      </x:c>
      <x:c r="H164" s="25" t="n">
        <x:v>3.054107164789031</x:v>
      </x:c>
    </x:row>
    <x:row r="165">
      <x:c r="A165" t="str">
        <x:v>CAE</x:v>
      </x:c>
      <x:c r="B165" t="str">
        <x:v>Columbia, SC</x:v>
      </x:c>
      <x:c r="C165" t="str">
        <x:v>SC</x:v>
      </x:c>
      <x:c r="D165" s="23" t="n">
        <x:v>18451</x:v>
      </x:c>
      <x:c r="E165" s="24" t="n">
        <x:v>0.17272776543276788</x:v>
      </x:c>
      <x:c r="F165" s="24" t="n">
        <x:v>0.020432496883637744</x:v>
      </x:c>
      <x:c r="G165" s="24" t="n">
        <x:v>0.002384694596498835</x:v>
      </x:c>
      <x:c r="H165" s="25" t="n">
        <x:v>5.499500831946755</x:v>
      </x:c>
    </x:row>
    <x:row r="166">
      <x:c r="A166" t="str">
        <x:v>PIT</x:v>
      </x:c>
      <x:c r="B166" t="str">
        <x:v>Pittsburgh, PA</x:v>
      </x:c>
      <x:c r="C166" t="str">
        <x:v>PA</x:v>
      </x:c>
      <x:c r="D166" s="23" t="n">
        <x:v>129137</x:v>
      </x:c>
      <x:c r="E166" s="24" t="n">
        <x:v>0.17228989367880623</x:v>
      </x:c>
      <x:c r="F166" s="24" t="n">
        <x:v>0.01407807212495257</x:v>
      </x:c>
      <x:c r="G166" s="24" t="n">
        <x:v>0.0017113608028682717</x:v>
      </x:c>
      <x:c r="H166" s="25" t="n">
        <x:v>3.487049363483296</x:v>
      </x:c>
    </x:row>
    <x:row r="167">
      <x:c r="A167" t="str">
        <x:v>BMI</x:v>
      </x:c>
      <x:c r="B167" t="str">
        <x:v>Bloomington/Normal, IL</x:v>
      </x:c>
      <x:c r="C167" t="str">
        <x:v>IL</x:v>
      </x:c>
      <x:c r="D167" s="23" t="n">
        <x:v>5254</x:v>
      </x:c>
      <x:c r="E167" s="24" t="n">
        <x:v>0.17205938332698897</x:v>
      </x:c>
      <x:c r="F167" s="24" t="n">
        <x:v>0.013513513513513514</x:v>
      </x:c>
      <x:c r="G167" s="24" t="n">
        <x:v>0.002854967643700038</x:v>
      </x:c>
      <x:c r="H167" s="25" t="n">
        <x:v>4.235294117647059</x:v>
      </x:c>
    </x:row>
    <x:row r="168">
      <x:c r="A168" t="str">
        <x:v>DAY</x:v>
      </x:c>
      <x:c r="B168" t="str">
        <x:v>Dayton, OH</x:v>
      </x:c>
      <x:c r="C168" t="str">
        <x:v>OH</x:v>
      </x:c>
      <x:c r="D168" s="23" t="n">
        <x:v>22629</x:v>
      </x:c>
      <x:c r="E168" s="24" t="n">
        <x:v>0.17181492774758053</x:v>
      </x:c>
      <x:c r="F168" s="24" t="n">
        <x:v>0.01484820363250696</x:v>
      </x:c>
      <x:c r="G168" s="24" t="n">
        <x:v>0.002695656016615847</x:v>
      </x:c>
      <x:c r="H168" s="25" t="n">
        <x:v>4.7688916876574305</x:v>
      </x:c>
    </x:row>
    <x:row r="169">
      <x:c r="A169" t="str">
        <x:v>ILM</x:v>
      </x:c>
      <x:c r="B169" t="str">
        <x:v>Wilmington, NC</x:v>
      </x:c>
      <x:c r="C169" t="str">
        <x:v>NC</x:v>
      </x:c>
      <x:c r="D169" s="23" t="n">
        <x:v>22942</x:v>
      </x:c>
      <x:c r="E169" s="24" t="n">
        <x:v>0.1714758957370761</x:v>
      </x:c>
      <x:c r="F169" s="24" t="n">
        <x:v>0.022927382093976115</x:v>
      </x:c>
      <x:c r="G169" s="24" t="n">
        <x:v>0.0020922325865225353</x:v>
      </x:c>
      <x:c r="H169" s="25" t="n">
        <x:v>6.008002503576538</x:v>
      </x:c>
    </x:row>
    <x:row r="170">
      <x:c r="A170" t="str">
        <x:v>DLH</x:v>
      </x:c>
      <x:c r="B170" t="str">
        <x:v>Duluth, MN</x:v>
      </x:c>
      <x:c r="C170" t="str">
        <x:v>MN</x:v>
      </x:c>
      <x:c r="D170" s="23" t="n">
        <x:v>6336</x:v>
      </x:c>
      <x:c r="E170" s="24" t="n">
        <x:v>0.17124368686868688</x:v>
      </x:c>
      <x:c r="F170" s="24" t="n">
        <x:v>0.01452020202020202</x:v>
      </x:c>
      <x:c r="G170" s="24" t="n">
        <x:v>0.0007891414141414141</x:v>
      </x:c>
      <x:c r="H170" s="25" t="n">
        <x:v>7.445423946145215</x:v>
      </x:c>
    </x:row>
    <x:row r="171">
      <x:c r="A171" t="str">
        <x:v>LBB</x:v>
      </x:c>
      <x:c r="B171" t="str">
        <x:v>Lubbock, TX</x:v>
      </x:c>
      <x:c r="C171" t="str">
        <x:v>TX</x:v>
      </x:c>
      <x:c r="D171" s="23" t="n">
        <x:v>18499</x:v>
      </x:c>
      <x:c r="E171" s="24" t="n">
        <x:v>0.17054975944645656</x:v>
      </x:c>
      <x:c r="F171" s="24" t="n">
        <x:v>0.015081896318719932</x:v>
      </x:c>
      <x:c r="G171" s="24" t="n">
        <x:v>0.0028109627547434997</x:v>
      </x:c>
      <x:c r="H171" s="25" t="n">
        <x:v>5.834819462791722</x:v>
      </x:c>
    </x:row>
    <x:row r="172">
      <x:c r="A172" t="str">
        <x:v>ABQ</x:v>
      </x:c>
      <x:c r="B172" t="str">
        <x:v>Albuquerque, NM</x:v>
      </x:c>
      <x:c r="C172" t="str">
        <x:v>NM</x:v>
      </x:c>
      <x:c r="D172" s="23" t="n">
        <x:v>72820</x:v>
      </x:c>
      <x:c r="E172" s="24" t="n">
        <x:v>0.17033781928041747</x:v>
      </x:c>
      <x:c r="F172" s="24" t="n">
        <x:v>0.008678934358692667</x:v>
      </x:c>
      <x:c r="G172" s="24" t="n">
        <x:v>0.0023894534468552595</x:v>
      </x:c>
      <x:c r="H172" s="25" t="n">
        <x:v>4.239758935762491</x:v>
      </x:c>
    </x:row>
    <x:row r="173">
      <x:c r="A173" t="str">
        <x:v>BIL</x:v>
      </x:c>
      <x:c r="B173" t="str">
        <x:v>Billings, MT</x:v>
      </x:c>
      <x:c r="C173" t="str">
        <x:v>MT</x:v>
      </x:c>
      <x:c r="D173" s="23" t="n">
        <x:v>12471</x:v>
      </x:c>
      <x:c r="E173" s="24" t="n">
        <x:v>0.17023494507256837</x:v>
      </x:c>
      <x:c r="F173" s="24" t="n">
        <x:v>0.009461951728008981</x:v>
      </x:c>
      <x:c r="G173" s="24" t="n">
        <x:v>0.0031272552321385616</x:v>
      </x:c>
      <x:c r="H173" s="25" t="n">
        <x:v>4.770586324508689</x:v>
      </x:c>
    </x:row>
    <x:row r="174">
      <x:c r="A174" t="str">
        <x:v>MRY</x:v>
      </x:c>
      <x:c r="B174" t="str">
        <x:v>Monterey, CA</x:v>
      </x:c>
      <x:c r="C174" t="str">
        <x:v>CA</x:v>
      </x:c>
      <x:c r="D174" s="23" t="n">
        <x:v>13516</x:v>
      </x:c>
      <x:c r="E174" s="24" t="n">
        <x:v>0.17009470257472625</x:v>
      </x:c>
      <x:c r="F174" s="24" t="n">
        <x:v>0.009692216632139686</x:v>
      </x:c>
      <x:c r="G174" s="24" t="n">
        <x:v>0.0022935779816513763</x:v>
      </x:c>
      <x:c r="H174" s="25" t="n">
        <x:v>7.6317208327093</x:v>
      </x:c>
    </x:row>
    <x:row r="175">
      <x:c r="A175" t="str">
        <x:v>RDM</x:v>
      </x:c>
      <x:c r="B175" t="str">
        <x:v>Bend/Redmond, OR</x:v>
      </x:c>
      <x:c r="C175" t="str">
        <x:v>OR</x:v>
      </x:c>
      <x:c r="D175" s="23" t="n">
        <x:v>18024</x:v>
      </x:c>
      <x:c r="E175" s="24" t="n">
        <x:v>0.16849755881047493</x:v>
      </x:c>
      <x:c r="F175" s="24" t="n">
        <x:v>0.010707944962272526</x:v>
      </x:c>
      <x:c r="G175" s="24" t="n">
        <x:v>0.002108300044385264</x:v>
      </x:c>
      <x:c r="H175" s="25" t="n">
        <x:v>6.782948350474906</x:v>
      </x:c>
    </x:row>
    <x:row r="176">
      <x:c r="A176" t="str">
        <x:v>EUG</x:v>
      </x:c>
      <x:c r="B176" t="str">
        <x:v>Eugene, OR</x:v>
      </x:c>
      <x:c r="C176" t="str">
        <x:v>OR</x:v>
      </x:c>
      <x:c r="D176" s="23" t="n">
        <x:v>22933</x:v>
      </x:c>
      <x:c r="E176" s="24" t="n">
        <x:v>0.16805476823791043</x:v>
      </x:c>
      <x:c r="F176" s="24" t="n">
        <x:v>0.009462346836436576</x:v>
      </x:c>
      <x:c r="G176" s="24" t="n">
        <x:v>0.00235468538786901</x:v>
      </x:c>
      <x:c r="H176" s="25" t="n">
        <x:v>6.288500573647515</x:v>
      </x:c>
    </x:row>
    <x:row r="177">
      <x:c r="A177" t="str">
        <x:v>TLH</x:v>
      </x:c>
      <x:c r="B177" t="str">
        <x:v>Tallahassee, FL</x:v>
      </x:c>
      <x:c r="C177" t="str">
        <x:v>FL</x:v>
      </x:c>
      <x:c r="D177" s="23" t="n">
        <x:v>15538</x:v>
      </x:c>
      <x:c r="E177" s="24" t="n">
        <x:v>0.16700991118548075</x:v>
      </x:c>
      <x:c r="F177" s="24" t="n">
        <x:v>0.01724803707040803</x:v>
      </x:c>
      <x:c r="G177" s="24" t="n">
        <x:v>0.0016733170292186897</x:v>
      </x:c>
      <x:c r="H177" s="25" t="n">
        <x:v>4.915638939910784</x:v>
      </x:c>
    </x:row>
    <x:row r="178">
      <x:c r="A178" t="str">
        <x:v>MOB</x:v>
      </x:c>
      <x:c r="B178" t="str">
        <x:v>Mobile, AL</x:v>
      </x:c>
      <x:c r="C178" t="str">
        <x:v>AL</x:v>
      </x:c>
      <x:c r="D178" s="23" t="n">
        <x:v>6872</x:v>
      </x:c>
      <x:c r="E178" s="24" t="n">
        <x:v>0.1669091967403958</x:v>
      </x:c>
      <x:c r="F178" s="24" t="n">
        <x:v>0.01891734575087311</x:v>
      </x:c>
      <x:c r="G178" s="24" t="n">
        <x:v>0.002910360884749709</x:v>
      </x:c>
      <x:c r="H178" s="25" t="n">
        <x:v>4.687592978280274</x:v>
      </x:c>
    </x:row>
    <x:row r="179">
      <x:c r="A179" t="str">
        <x:v>PDX</x:v>
      </x:c>
      <x:c r="B179" t="str">
        <x:v>Portland, OR</x:v>
      </x:c>
      <x:c r="C179" t="str">
        <x:v>OR</x:v>
      </x:c>
      <x:c r="D179" s="23" t="n">
        <x:v>179425</x:v>
      </x:c>
      <x:c r="E179" s="24" t="n">
        <x:v>0.1665431238679114</x:v>
      </x:c>
      <x:c r="F179" s="24" t="n">
        <x:v>0.009797965723840044</x:v>
      </x:c>
      <x:c r="G179" s="24" t="n">
        <x:v>0.0021959035808833773</x:v>
      </x:c>
      <x:c r="H179" s="25" t="n">
        <x:v>3.4891212987877456</x:v>
      </x:c>
    </x:row>
    <x:row r="180">
      <x:c r="A180" t="str">
        <x:v>ELP</x:v>
      </x:c>
      <x:c r="B180" t="str">
        <x:v>El Paso, TX</x:v>
      </x:c>
      <x:c r="C180" t="str">
        <x:v>TX</x:v>
      </x:c>
      <x:c r="D180" s="23" t="n">
        <x:v>51528</x:v>
      </x:c>
      <x:c r="E180" s="24" t="n">
        <x:v>0.16627852817885422</x:v>
      </x:c>
      <x:c r="F180" s="24" t="n">
        <x:v>0.009373544480670704</x:v>
      </x:c>
      <x:c r="G180" s="24" t="n">
        <x:v>0.002872224809812141</x:v>
      </x:c>
      <x:c r="H180" s="25" t="n">
        <x:v>4.979114682594259</x:v>
      </x:c>
    </x:row>
    <x:row r="181">
      <x:c r="A181" t="str">
        <x:v>GSP</x:v>
      </x:c>
      <x:c r="B181" t="str">
        <x:v>Greer, SC</x:v>
      </x:c>
      <x:c r="C181" t="str">
        <x:v>SC</x:v>
      </x:c>
      <x:c r="D181" s="23" t="n">
        <x:v>43958</x:v>
      </x:c>
      <x:c r="E181" s="24" t="n">
        <x:v>0.1660676099913554</x:v>
      </x:c>
      <x:c r="F181" s="24" t="n">
        <x:v>0.01571955048000364</x:v>
      </x:c>
      <x:c r="G181" s="24" t="n">
        <x:v>0.002365894717685063</x:v>
      </x:c>
      <x:c r="H181" s="25" t="n">
        <x:v>3.85925445404629</x:v>
      </x:c>
    </x:row>
    <x:row r="182">
      <x:c r="A182" t="str">
        <x:v>SMF</x:v>
      </x:c>
      <x:c r="B182" t="str">
        <x:v>Sacramento, CA</x:v>
      </x:c>
      <x:c r="C182" t="str">
        <x:v>CA</x:v>
      </x:c>
      <x:c r="D182" s="23" t="n">
        <x:v>165920</x:v>
      </x:c>
      <x:c r="E182" s="24" t="n">
        <x:v>0.16604990356798457</x:v>
      </x:c>
      <x:c r="F182" s="24" t="n">
        <x:v>0.007160077145612343</x:v>
      </x:c>
      <x:c r="G182" s="24" t="n">
        <x:v>0.0020250723240115716</x:v>
      </x:c>
      <x:c r="H182" s="25" t="n">
        <x:v>3.147795566802112</x:v>
      </x:c>
    </x:row>
    <x:row r="183">
      <x:c r="A183" t="str">
        <x:v>TUL</x:v>
      </x:c>
      <x:c r="B183" t="str">
        <x:v>Tulsa, OK</x:v>
      </x:c>
      <x:c r="C183" t="str">
        <x:v>OK</x:v>
      </x:c>
      <x:c r="D183" s="23" t="n">
        <x:v>51784</x:v>
      </x:c>
      <x:c r="E183" s="24" t="n">
        <x:v>0.16586204232967713</x:v>
      </x:c>
      <x:c r="F183" s="24" t="n">
        <x:v>0.01262938359338792</x:v>
      </x:c>
      <x:c r="G183" s="24" t="n">
        <x:v>0.0021435192337401513</x:v>
      </x:c>
      <x:c r="H183" s="25" t="n">
        <x:v>4.564397577373136</x:v>
      </x:c>
    </x:row>
    <x:row r="184">
      <x:c r="A184" t="str">
        <x:v>GSO</x:v>
      </x:c>
      <x:c r="B184" t="str">
        <x:v>Greensboro/High Point, NC</x:v>
      </x:c>
      <x:c r="C184" t="str">
        <x:v>NC</x:v>
      </x:c>
      <x:c r="D184" s="23" t="n">
        <x:v>33243</x:v>
      </x:c>
      <x:c r="E184" s="24" t="n">
        <x:v>0.16568901723671148</x:v>
      </x:c>
      <x:c r="F184" s="24" t="n">
        <x:v>0.019192010348043197</x:v>
      </x:c>
      <x:c r="G184" s="24" t="n">
        <x:v>0.0014439130042414945</x:v>
      </x:c>
      <x:c r="H184" s="25" t="n">
        <x:v>3.4446662776054304</x:v>
      </x:c>
    </x:row>
    <x:row r="185">
      <x:c r="A185" t="str">
        <x:v>SLC</x:v>
      </x:c>
      <x:c r="B185" t="str">
        <x:v>Salt Lake City, UT</x:v>
      </x:c>
      <x:c r="C185" t="str">
        <x:v>UT</x:v>
      </x:c>
      <x:c r="D185" s="23" t="n">
        <x:v>338822</x:v>
      </x:c>
      <x:c r="E185" s="24" t="n">
        <x:v>0.16555005283009958</x:v>
      </x:c>
      <x:c r="F185" s="24" t="n">
        <x:v>0.006254021285512747</x:v>
      </x:c>
      <x:c r="G185" s="24" t="n">
        <x:v>0.002700533023239341</x:v>
      </x:c>
      <x:c r="H185" s="25" t="n">
        <x:v>2.7573081825437478</x:v>
      </x:c>
    </x:row>
    <x:row r="186">
      <x:c r="A186" t="str">
        <x:v>ANC</x:v>
      </x:c>
      <x:c r="B186" t="str">
        <x:v>Anchorage, AK</x:v>
      </x:c>
      <x:c r="C186" t="str">
        <x:v>AK</x:v>
      </x:c>
      <x:c r="D186" s="23" t="n">
        <x:v>55253</x:v>
      </x:c>
      <x:c r="E186" s="24" t="n">
        <x:v>0.16534848786491232</x:v>
      </x:c>
      <x:c r="F186" s="24" t="n">
        <x:v>0.012469911136046912</x:v>
      </x:c>
      <x:c r="G186" s="24" t="n">
        <x:v>0.002588094764085208</x:v>
      </x:c>
      <x:c r="H186" s="25" t="n">
        <x:v>1.8918799728046158</x:v>
      </x:c>
    </x:row>
    <x:row r="187">
      <x:c r="A187" t="str">
        <x:v>ONT</x:v>
      </x:c>
      <x:c r="B187" t="str">
        <x:v>Ontario, CA</x:v>
      </x:c>
      <x:c r="C187" t="str">
        <x:v>CA</x:v>
      </x:c>
      <x:c r="D187" s="23" t="n">
        <x:v>76661</x:v>
      </x:c>
      <x:c r="E187" s="24" t="n">
        <x:v>0.16407299669975606</x:v>
      </x:c>
      <x:c r="F187" s="24" t="n">
        <x:v>0.009718109599405174</x:v>
      </x:c>
      <x:c r="G187" s="24" t="n">
        <x:v>0.00187839970780449</x:v>
      </x:c>
      <x:c r="H187" s="25" t="n">
        <x:v>3.7744813387531013</x:v>
      </x:c>
    </x:row>
    <x:row r="188">
      <x:c r="A188" t="str">
        <x:v>FAI</x:v>
      </x:c>
      <x:c r="B188" t="str">
        <x:v>Fairbanks, AK</x:v>
      </x:c>
      <x:c r="C188" t="str">
        <x:v>AK</x:v>
      </x:c>
      <x:c r="D188" s="23" t="n">
        <x:v>10260</x:v>
      </x:c>
      <x:c r="E188" s="24" t="n">
        <x:v>0.16189083820662767</x:v>
      </x:c>
      <x:c r="F188" s="24" t="n">
        <x:v>0.008869395711500975</x:v>
      </x:c>
      <x:c r="G188" s="24" t="n">
        <x:v>0.00029239766081871346</x:v>
      </x:c>
      <x:c r="H188" s="25" t="n">
        <x:v>1.1624040920716112</x:v>
      </x:c>
    </x:row>
    <x:row r="189">
      <x:c r="A189" t="str">
        <x:v>ABE</x:v>
      </x:c>
      <x:c r="B189" t="str">
        <x:v>Allentown/Bethlehem/Easton, PA</x:v>
      </x:c>
      <x:c r="C189" t="str">
        <x:v>PA</x:v>
      </x:c>
      <x:c r="D189" s="23" t="n">
        <x:v>11783</x:v>
      </x:c>
      <x:c r="E189" s="24" t="n">
        <x:v>0.16133412543494866</x:v>
      </x:c>
      <x:c r="F189" s="24" t="n">
        <x:v>0.011457184078757532</x:v>
      </x:c>
      <x:c r="G189" s="24" t="n">
        <x:v>0.004413137571076975</x:v>
      </x:c>
      <x:c r="H189" s="25" t="n">
        <x:v>3.6703173508106244</x:v>
      </x:c>
    </x:row>
    <x:row r="190">
      <x:c r="A190" t="str">
        <x:v>MAF</x:v>
      </x:c>
      <x:c r="B190" t="str">
        <x:v>Midland/Odessa, TX</x:v>
      </x:c>
      <x:c r="C190" t="str">
        <x:v>TX</x:v>
      </x:c>
      <x:c r="D190" s="23" t="n">
        <x:v>27259</x:v>
      </x:c>
      <x:c r="E190" s="24" t="n">
        <x:v>0.16130452327671593</x:v>
      </x:c>
      <x:c r="F190" s="24" t="n">
        <x:v>0.013169962214314539</x:v>
      </x:c>
      <x:c r="G190" s="24" t="n">
        <x:v>0.0030081807843281116</x:v>
      </x:c>
      <x:c r="H190" s="25" t="n">
        <x:v>4.8991349093892165</x:v>
      </x:c>
    </x:row>
    <x:row r="191">
      <x:c r="A191" t="str">
        <x:v>AZA</x:v>
      </x:c>
      <x:c r="B191" t="str">
        <x:v>Phoenix, AZ</x:v>
      </x:c>
      <x:c r="C191" t="str">
        <x:v>AZ</x:v>
      </x:c>
      <x:c r="D191" s="23" t="n">
        <x:v>17856</x:v>
      </x:c>
      <x:c r="E191" s="24" t="n">
        <x:v>0.16078629032258066</x:v>
      </x:c>
      <x:c r="F191" s="24" t="n">
        <x:v>0.004760304659498208</x:v>
      </x:c>
      <x:c r="G191" s="24" t="n">
        <x:v>0.002968189964157706</x:v>
      </x:c>
      <x:c r="H191" s="25" t="n">
        <x:v>1.617338300033864</x:v>
      </x:c>
    </x:row>
    <x:row r="192">
      <x:c r="A192" t="str">
        <x:v>KTN</x:v>
      </x:c>
      <x:c r="B192" t="str">
        <x:v>Ketchikan, AK</x:v>
      </x:c>
      <x:c r="C192" t="str">
        <x:v>AK</x:v>
      </x:c>
      <x:c r="D192" s="23" t="n">
        <x:v>7392</x:v>
      </x:c>
      <x:c r="E192" s="24" t="n">
        <x:v>0.16044372294372294</x:v>
      </x:c>
      <x:c r="F192" s="24" t="n">
        <x:v>0.019886363636363636</x:v>
      </x:c>
      <x:c r="G192" s="24" t="n">
        <x:v>0.002976190476190476</x:v>
      </x:c>
      <x:c r="H192" s="25" t="n">
        <x:v>-0.3717291983940191</x:v>
      </x:c>
    </x:row>
    <x:row r="193">
      <x:c r="A193" t="str">
        <x:v>FLG</x:v>
      </x:c>
      <x:c r="B193" t="str">
        <x:v>Flagstaff, AZ</x:v>
      </x:c>
      <x:c r="C193" t="str">
        <x:v>AZ</x:v>
      </x:c>
      <x:c r="D193" s="23" t="n">
        <x:v>5233</x:v>
      </x:c>
      <x:c r="E193" s="24" t="n">
        <x:v>0.15803554366520162</x:v>
      </x:c>
      <x:c r="F193" s="24" t="n">
        <x:v>0.017007452703993883</x:v>
      </x:c>
      <x:c r="G193" s="24" t="n">
        <x:v>0.0021020447162239633</x:v>
      </x:c>
      <x:c r="H193" s="25" t="n">
        <x:v>7.795246444574323</x:v>
      </x:c>
    </x:row>
    <x:row r="194">
      <x:c r="A194" t="str">
        <x:v>JAN</x:v>
      </x:c>
      <x:c r="B194" t="str">
        <x:v>Jackson/Vicksburg, MS</x:v>
      </x:c>
      <x:c r="C194" t="str">
        <x:v>MS</x:v>
      </x:c>
      <x:c r="D194" s="23" t="n">
        <x:v>20233</x:v>
      </x:c>
      <x:c r="E194" s="24" t="n">
        <x:v>0.15800919290268373</x:v>
      </x:c>
      <x:c r="F194" s="24" t="n">
        <x:v>0.01448129293728068</x:v>
      </x:c>
      <x:c r="G194" s="24" t="n">
        <x:v>0.0016309988632432165</x:v>
      </x:c>
      <x:c r="H194" s="25" t="n">
        <x:v>4.121062942683478</x:v>
      </x:c>
    </x:row>
    <x:row r="195">
      <x:c r="A195" t="str">
        <x:v>TRI</x:v>
      </x:c>
      <x:c r="B195" t="str">
        <x:v>Bristol/Johnson City/Kingsport, TN</x:v>
      </x:c>
      <x:c r="C195" t="str">
        <x:v>TN</x:v>
      </x:c>
      <x:c r="D195" s="23" t="n">
        <x:v>6321</x:v>
      </x:c>
      <x:c r="E195" s="24" t="n">
        <x:v>0.15741180193007437</x:v>
      </x:c>
      <x:c r="F195" s="24" t="n">
        <x:v>0.009492168960607499</x:v>
      </x:c>
      <x:c r="G195" s="24" t="n">
        <x:v>0.0012656225280809998</x:v>
      </x:c>
      <x:c r="H195" s="25" t="n">
        <x:v>2.1773548696625618</x:v>
      </x:c>
    </x:row>
    <x:row r="196">
      <x:c r="A196" t="str">
        <x:v>BOI</x:v>
      </x:c>
      <x:c r="B196" t="str">
        <x:v>Boise, ID</x:v>
      </x:c>
      <x:c r="C196" t="str">
        <x:v>ID</x:v>
      </x:c>
      <x:c r="D196" s="23" t="n">
        <x:v>67517</x:v>
      </x:c>
      <x:c r="E196" s="24" t="n">
        <x:v>0.15723447428055157</x:v>
      </x:c>
      <x:c r="F196" s="24" t="n">
        <x:v>0.005435668053971592</x:v>
      </x:c>
      <x:c r="G196" s="24" t="n">
        <x:v>0.0018958188308129803</x:v>
      </x:c>
      <x:c r="H196" s="25" t="n">
        <x:v>2.4899286801348812</x:v>
      </x:c>
    </x:row>
    <x:row r="197">
      <x:c r="A197" t="str">
        <x:v>OGG</x:v>
      </x:c>
      <x:c r="B197" t="str">
        <x:v>Kahului, HI</x:v>
      </x:c>
      <x:c r="C197" t="str">
        <x:v>HI</x:v>
      </x:c>
      <x:c r="D197" s="23" t="n">
        <x:v>82093</x:v>
      </x:c>
      <x:c r="E197" s="24" t="n">
        <x:v>0.15695613511505244</x:v>
      </x:c>
      <x:c r="F197" s="24" t="n">
        <x:v>0.010147028370262995</x:v>
      </x:c>
      <x:c r="G197" s="24" t="n">
        <x:v>0.0015713885471355658</x:v>
      </x:c>
      <x:c r="H197" s="25" t="n">
        <x:v>2.174236728254305</x:v>
      </x:c>
    </x:row>
    <x:row r="198">
      <x:c r="A198" t="str">
        <x:v>SJC</x:v>
      </x:c>
      <x:c r="B198" t="str">
        <x:v>San Jose, CA</x:v>
      </x:c>
      <x:c r="C198" t="str">
        <x:v>CA</x:v>
      </x:c>
      <x:c r="D198" s="23" t="n">
        <x:v>148322</x:v>
      </x:c>
      <x:c r="E198" s="24" t="n">
        <x:v>0.1561669880395356</x:v>
      </x:c>
      <x:c r="F198" s="24" t="n">
        <x:v>0.0070117716859265655</x:v>
      </x:c>
      <x:c r="G198" s="24" t="n">
        <x:v>0.0017192324806839174</x:v>
      </x:c>
      <x:c r="H198" s="25" t="n">
        <x:v>1.285206118604066</x:v>
      </x:c>
    </x:row>
    <x:row r="199">
      <x:c r="A199" t="str">
        <x:v>BFL</x:v>
      </x:c>
      <x:c r="B199" t="str">
        <x:v>Bakersfield, CA</x:v>
      </x:c>
      <x:c r="C199" t="str">
        <x:v>CA</x:v>
      </x:c>
      <x:c r="D199" s="23" t="n">
        <x:v>8352</x:v>
      </x:c>
      <x:c r="E199" s="24" t="n">
        <x:v>0.15613026819923373</x:v>
      </x:c>
      <x:c r="F199" s="24" t="n">
        <x:v>0.007183908045977011</x:v>
      </x:c>
      <x:c r="G199" s="24" t="n">
        <x:v>0.0031130268199233715</x:v>
      </x:c>
      <x:c r="H199" s="25" t="n">
        <x:v>4.02153399467699</x:v>
      </x:c>
    </x:row>
    <x:row r="200">
      <x:c r="A200" t="str">
        <x:v>MLB</x:v>
      </x:c>
      <x:c r="B200" t="str">
        <x:v>Melbourne, FL</x:v>
      </x:c>
      <x:c r="C200" t="str">
        <x:v>FL</x:v>
      </x:c>
      <x:c r="D200" s="23" t="n">
        <x:v>8452</x:v>
      </x:c>
      <x:c r="E200" s="24" t="n">
        <x:v>0.15558447704685283</x:v>
      </x:c>
      <x:c r="F200" s="24" t="n">
        <x:v>0.01407950780880265</x:v>
      </x:c>
      <x:c r="G200" s="24" t="n">
        <x:v>0.0020113582584003788</x:v>
      </x:c>
      <x:c r="H200" s="25" t="n">
        <x:v>3.083934583934584</x:v>
      </x:c>
    </x:row>
    <x:row r="201">
      <x:c r="A201" t="str">
        <x:v>HNL</x:v>
      </x:c>
      <x:c r="B201" t="str">
        <x:v>Honolulu, HI</x:v>
      </x:c>
      <x:c r="C201" t="str">
        <x:v>HI</x:v>
      </x:c>
      <x:c r="D201" s="23" t="n">
        <x:v>182189</x:v>
      </x:c>
      <x:c r="E201" s="24" t="n">
        <x:v>0.1544604778554139</x:v>
      </x:c>
      <x:c r="F201" s="24" t="n">
        <x:v>0.009149838903556197</x:v>
      </x:c>
      <x:c r="G201" s="24" t="n">
        <x:v>0.0011526491720136782</x:v>
      </x:c>
      <x:c r="H201" s="25" t="n">
        <x:v>2.8704301433071566</x:v>
      </x:c>
    </x:row>
    <x:row r="202">
      <x:c r="A202" t="str">
        <x:v>TUS</x:v>
      </x:c>
      <x:c r="B202" t="str">
        <x:v>Tucson, AZ</x:v>
      </x:c>
      <x:c r="C202" t="str">
        <x:v>AZ</x:v>
      </x:c>
      <x:c r="D202" s="23" t="n">
        <x:v>56009</x:v>
      </x:c>
      <x:c r="E202" s="24" t="n">
        <x:v>0.1542609223517649</x:v>
      </x:c>
      <x:c r="F202" s="24" t="n">
        <x:v>0.00751664910996447</x:v>
      </x:c>
      <x:c r="G202" s="24" t="n">
        <x:v>0.0017854273420343158</x:v>
      </x:c>
      <x:c r="H202" s="25" t="n">
        <x:v>3.618782439446367</x:v>
      </x:c>
    </x:row>
    <x:row r="203">
      <x:c r="A203" t="str">
        <x:v>HRL</x:v>
      </x:c>
      <x:c r="B203" t="str">
        <x:v>Harlingen/San Benito, TX</x:v>
      </x:c>
      <x:c r="C203" t="str">
        <x:v>TX</x:v>
      </x:c>
      <x:c r="D203" s="23" t="n">
        <x:v>12392</x:v>
      </x:c>
      <x:c r="E203" s="24" t="n">
        <x:v>0.1542123950936088</x:v>
      </x:c>
      <x:c r="F203" s="24" t="n">
        <x:v>0.016865719819238217</x:v>
      </x:c>
      <x:c r="G203" s="24" t="n">
        <x:v>0.001856036152356359</x:v>
      </x:c>
      <x:c r="H203" s="25" t="n">
        <x:v>2.4548519736842107</x:v>
      </x:c>
    </x:row>
    <x:row r="204">
      <x:c r="A204" t="str">
        <x:v>BLI</x:v>
      </x:c>
      <x:c r="B204" t="str">
        <x:v>Bellingham, WA</x:v>
      </x:c>
      <x:c r="C204" t="str">
        <x:v>WA</x:v>
      </x:c>
      <x:c r="D204" s="23" t="n">
        <x:v>7578</x:v>
      </x:c>
      <x:c r="E204" s="24" t="n">
        <x:v>0.15175508049617314</x:v>
      </x:c>
      <x:c r="F204" s="24" t="n">
        <x:v>0.007521773555027712</x:v>
      </x:c>
      <x:c r="G204" s="24" t="n">
        <x:v>0.001715492214304566</x:v>
      </x:c>
      <x:c r="H204" s="25" t="n">
        <x:v>3.0067927543953115</x:v>
      </x:c>
    </x:row>
    <x:row r="205">
      <x:c r="A205" t="str">
        <x:v>LGB</x:v>
      </x:c>
      <x:c r="B205" t="str">
        <x:v>Long Beach, CA</x:v>
      </x:c>
      <x:c r="C205" t="str">
        <x:v>CA</x:v>
      </x:c>
      <x:c r="D205" s="23" t="n">
        <x:v>50876</x:v>
      </x:c>
      <x:c r="E205" s="24" t="n">
        <x:v>0.15170217784417014</x:v>
      </x:c>
      <x:c r="F205" s="24" t="n">
        <x:v>0.006034279424483057</x:v>
      </x:c>
      <x:c r="G205" s="24" t="n">
        <x:v>0.0015724506643604056</x:v>
      </x:c>
      <x:c r="H205" s="25" t="n">
        <x:v>0.687951831091921</x:v>
      </x:c>
    </x:row>
    <x:row r="206">
      <x:c r="A206" t="str">
        <x:v>CRP</x:v>
      </x:c>
      <x:c r="B206" t="str">
        <x:v>Corpus Christi, TX</x:v>
      </x:c>
      <x:c r="C206" t="str">
        <x:v>TX</x:v>
      </x:c>
      <x:c r="D206" s="23" t="n">
        <x:v>11543</x:v>
      </x:c>
      <x:c r="E206" s="24" t="n">
        <x:v>0.15169366715758467</x:v>
      </x:c>
      <x:c r="F206" s="24" t="n">
        <x:v>0.016546824915533224</x:v>
      </x:c>
      <x:c r="G206" s="24" t="n">
        <x:v>0.0014727540500736377</x:v>
      </x:c>
      <x:c r="H206" s="25" t="n">
        <x:v>3.105425672695192</x:v>
      </x:c>
    </x:row>
    <x:row r="207">
      <x:c r="A207" t="str">
        <x:v>GEG</x:v>
      </x:c>
      <x:c r="B207" t="str">
        <x:v>Spokane, WA</x:v>
      </x:c>
      <x:c r="C207" t="str">
        <x:v>WA</x:v>
      </x:c>
      <x:c r="D207" s="23" t="n">
        <x:v>52285</x:v>
      </x:c>
      <x:c r="E207" s="24" t="n">
        <x:v>0.15092282681457397</x:v>
      </x:c>
      <x:c r="F207" s="24" t="n">
        <x:v>0.006005546523859616</x:v>
      </x:c>
      <x:c r="G207" s="24" t="n">
        <x:v>0.0017404609352586783</x:v>
      </x:c>
      <x:c r="H207" s="25" t="n">
        <x:v>2.2735929067077874</x:v>
      </x:c>
    </x:row>
    <x:row r="208">
      <x:c r="A208" t="str">
        <x:v>GPT</x:v>
      </x:c>
      <x:c r="B208" t="str">
        <x:v>Gulfport/Biloxi, MS</x:v>
      </x:c>
      <x:c r="C208" t="str">
        <x:v>MS</x:v>
      </x:c>
      <x:c r="D208" s="23" t="n">
        <x:v>9641</x:v>
      </x:c>
      <x:c r="E208" s="24" t="n">
        <x:v>0.14915465200705322</x:v>
      </x:c>
      <x:c r="F208" s="24" t="n">
        <x:v>0.018877709781143035</x:v>
      </x:c>
      <x:c r="G208" s="24" t="n">
        <x:v>0.0022819209625557515</x:v>
      </x:c>
      <x:c r="H208" s="25" t="n">
        <x:v>4.506940765073646</x:v>
      </x:c>
    </x:row>
    <x:row r="209">
      <x:c r="A209" t="str">
        <x:v>DAB</x:v>
      </x:c>
      <x:c r="B209" t="str">
        <x:v>Daytona Beach, FL</x:v>
      </x:c>
      <x:c r="C209" t="str">
        <x:v>FL</x:v>
      </x:c>
      <x:c r="D209" s="23" t="n">
        <x:v>8753</x:v>
      </x:c>
      <x:c r="E209" s="24" t="n">
        <x:v>0.14772078144636125</x:v>
      </x:c>
      <x:c r="F209" s="24" t="n">
        <x:v>0.015651776533759855</x:v>
      </x:c>
      <x:c r="G209" s="24" t="n">
        <x:v>0.002970410145093111</x:v>
      </x:c>
      <x:c r="H209" s="25" t="n">
        <x:v>3.1287543655413272</x:v>
      </x:c>
    </x:row>
    <x:row r="210">
      <x:c r="A210" t="str">
        <x:v>JNU</x:v>
      </x:c>
      <x:c r="B210" t="str">
        <x:v>Juneau, AK</x:v>
      </x:c>
      <x:c r="C210" t="str">
        <x:v>AK</x:v>
      </x:c>
      <x:c r="D210" s="23" t="n">
        <x:v>14148</x:v>
      </x:c>
      <x:c r="E210" s="24" t="n">
        <x:v>0.14708792762227876</x:v>
      </x:c>
      <x:c r="F210" s="24" t="n">
        <x:v>0.019154650834040148</x:v>
      </x:c>
      <x:c r="G210" s="24" t="n">
        <x:v>0.004806333050607859</x:v>
      </x:c>
      <x:c r="H210" s="25" t="n">
        <x:v>-0.16648562531682237</x:v>
      </x:c>
    </x:row>
    <x:row r="211">
      <x:c r="A211" t="str">
        <x:v>LIH</x:v>
      </x:c>
      <x:c r="B211" t="str">
        <x:v>Lihue, HI</x:v>
      </x:c>
      <x:c r="C211" t="str">
        <x:v>HI</x:v>
      </x:c>
      <x:c r="D211" s="23" t="n">
        <x:v>47770</x:v>
      </x:c>
      <x:c r="E211" s="24" t="n">
        <x:v>0.1456772032656479</x:v>
      </x:c>
      <x:c r="F211" s="24" t="n">
        <x:v>0.009566673644546787</x:v>
      </x:c>
      <x:c r="G211" s="24" t="n">
        <x:v>0.0012560184216035169</x:v>
      </x:c>
      <x:c r="H211" s="25" t="n">
        <x:v>1.3497132457198484</x:v>
      </x:c>
    </x:row>
    <x:row r="212">
      <x:c r="A212" t="str">
        <x:v>GNV</x:v>
      </x:c>
      <x:c r="B212" t="str">
        <x:v>Gainesville, FL</x:v>
      </x:c>
      <x:c r="C212" t="str">
        <x:v>FL</x:v>
      </x:c>
      <x:c r="D212" s="23" t="n">
        <x:v>8570</x:v>
      </x:c>
      <x:c r="E212" s="24" t="n">
        <x:v>0.14527421236872812</x:v>
      </x:c>
      <x:c r="F212" s="24" t="n">
        <x:v>0.015519253208868145</x:v>
      </x:c>
      <x:c r="G212" s="24" t="n">
        <x:v>0.0022170361726954494</x:v>
      </x:c>
      <x:c r="H212" s="25" t="n">
        <x:v>3.43703967688287</x:v>
      </x:c>
    </x:row>
    <x:row r="213">
      <x:c r="A213" t="str">
        <x:v>MFR</x:v>
      </x:c>
      <x:c r="B213" t="str">
        <x:v>Medford, OR</x:v>
      </x:c>
      <x:c r="C213" t="str">
        <x:v>OR</x:v>
      </x:c>
      <x:c r="D213" s="23" t="n">
        <x:v>13690</x:v>
      </x:c>
      <x:c r="E213" s="24" t="n">
        <x:v>0.1428780131482834</x:v>
      </x:c>
      <x:c r="F213" s="24" t="n">
        <x:v>0.008473338203067933</x:v>
      </x:c>
      <x:c r="G213" s="24" t="n">
        <x:v>0.002118334550766983</x:v>
      </x:c>
      <x:c r="H213" s="25" t="n">
        <x:v>4.149354005167958</x:v>
      </x:c>
    </x:row>
    <x:row r="214">
      <x:c r="A214" t="str">
        <x:v>SUN</x:v>
      </x:c>
      <x:c r="B214" t="str">
        <x:v>Sun Valley/Hailey/Ketchum, ID</x:v>
      </x:c>
      <x:c r="C214" t="str">
        <x:v>ID</x:v>
      </x:c>
      <x:c r="D214" s="23" t="n">
        <x:v>6189</x:v>
      </x:c>
      <x:c r="E214" s="24" t="n">
        <x:v>0.14251090644692196</x:v>
      </x:c>
      <x:c r="F214" s="24" t="n">
        <x:v>0.01195669736629504</x:v>
      </x:c>
      <x:c r="G214" s="24" t="n">
        <x:v>0.003554693811601228</x:v>
      </x:c>
      <x:c r="H214" s="25" t="n">
        <x:v>5.142622681765961</x:v>
      </x:c>
    </x:row>
    <x:row r="215">
      <x:c r="A215" t="str">
        <x:v>SGU</x:v>
      </x:c>
      <x:c r="B215" t="str">
        <x:v>St. George, UT</x:v>
      </x:c>
      <x:c r="C215" t="str">
        <x:v>UT</x:v>
      </x:c>
      <x:c r="D215" s="23" t="n">
        <x:v>10178</x:v>
      </x:c>
      <x:c r="E215" s="24" t="n">
        <x:v>0.1358813126350953</x:v>
      </x:c>
      <x:c r="F215" s="24" t="n">
        <x:v>0.0021615248575358615</x:v>
      </x:c>
      <x:c r="G215" s="24" t="n">
        <x:v>0.003144036156415799</x:v>
      </x:c>
      <x:c r="H215" s="25" t="n">
        <x:v>0.6315685499802449</x:v>
      </x:c>
    </x:row>
    <x:row r="216">
      <x:c r="A216" t="str">
        <x:v>KOA</x:v>
      </x:c>
      <x:c r="B216" t="str">
        <x:v>Kona, HI</x:v>
      </x:c>
      <x:c r="C216" t="str">
        <x:v>HI</x:v>
      </x:c>
      <x:c r="D216" s="23" t="n">
        <x:v>49428</x:v>
      </x:c>
      <x:c r="E216" s="24" t="n">
        <x:v>0.13502468236627013</x:v>
      </x:c>
      <x:c r="F216" s="24" t="n">
        <x:v>0.009650400582665695</x:v>
      </x:c>
      <x:c r="G216" s="24" t="n">
        <x:v>0.0012138868657441126</x:v>
      </x:c>
      <x:c r="H216" s="25" t="n">
        <x:v>1.4315927266777115</x:v>
      </x:c>
    </x:row>
    <x:row r="217">
      <x:c r="A217" t="str">
        <x:v>PSC</x:v>
      </x:c>
      <x:c r="B217" t="str">
        <x:v>Pasco/Kennewick/Richland, WA</x:v>
      </x:c>
      <x:c r="C217" t="str">
        <x:v>WA</x:v>
      </x:c>
      <x:c r="D217" s="23" t="n">
        <x:v>17043</x:v>
      </x:c>
      <x:c r="E217" s="24" t="n">
        <x:v>0.13084550841987913</x:v>
      </x:c>
      <x:c r="F217" s="24" t="n">
        <x:v>0.003931232764184709</x:v>
      </x:c>
      <x:c r="G217" s="24" t="n">
        <x:v>0.002229654403567447</x:v>
      </x:c>
      <x:c r="H217" s="25" t="n">
        <x:v>0.896622977919471</x:v>
      </x:c>
    </x:row>
    <x:row r="218">
      <x:c r="A218" t="str">
        <x:v>YUM</x:v>
      </x:c>
      <x:c r="B218" t="str">
        <x:v>Yuma, AZ</x:v>
      </x:c>
      <x:c r="C218" t="str">
        <x:v>AZ</x:v>
      </x:c>
      <x:c r="D218" s="23" t="n">
        <x:v>5028</x:v>
      </x:c>
      <x:c r="E218" s="24" t="n">
        <x:v>0.13007159904534607</x:v>
      </x:c>
      <x:c r="F218" s="24" t="n">
        <x:v>0.007955449482895784</x:v>
      </x:c>
      <x:c r="G218" s="24" t="n">
        <x:v>0.004176610978520286</x:v>
      </x:c>
      <x:c r="H218" s="25" t="n">
        <x:v>5.735856653915844</x:v>
      </x:c>
    </x:row>
    <x:row r="219">
      <x:c r="A219" t="str">
        <x:v>GTF</x:v>
      </x:c>
      <x:c r="B219" t="str">
        <x:v>Great Falls, MT</x:v>
      </x:c>
      <x:c r="C219" t="str">
        <x:v>MT</x:v>
      </x:c>
      <x:c r="D219" s="23" t="n">
        <x:v>7462</x:v>
      </x:c>
      <x:c r="E219" s="24" t="n">
        <x:v>0.12771374966496918</x:v>
      </x:c>
      <x:c r="F219" s="24" t="n">
        <x:v>0.005360493165371214</x:v>
      </x:c>
      <x:c r="G219" s="24" t="n">
        <x:v>0.0025462342535513267</x:v>
      </x:c>
      <x:c r="H219" s="25" t="n">
        <x:v>0.7518573551263001</x:v>
      </x:c>
    </x:row>
    <x:row r="220">
      <x:c r="A220" t="str">
        <x:v>ITO</x:v>
      </x:c>
      <x:c r="B220" t="str">
        <x:v>Hilo, HI</x:v>
      </x:c>
      <x:c r="C220" t="str">
        <x:v>HI</x:v>
      </x:c>
      <x:c r="D220" s="23" t="n">
        <x:v>20631</x:v>
      </x:c>
      <x:c r="E220" s="24" t="n">
        <x:v>0.12621782754107896</x:v>
      </x:c>
      <x:c r="F220" s="24" t="n">
        <x:v>0.008482380883137026</x:v>
      </x:c>
      <x:c r="G220" s="24" t="n">
        <x:v>0.0001938829916145606</x:v>
      </x:c>
      <x:c r="H220" s="25" t="n">
        <x:v>2.4740856639937414</x:v>
      </x:c>
    </x:row>
  </x:sheetData>
  <x:mergeCells>
    <x:mergeCell ref="A1:P1"/>
    <x:mergeCell ref="A2:P2"/>
    <x:mergeCell ref="A4:B4"/>
    <x:mergeCell ref="J21:P23"/>
  </x:mergeCells>
  <x:conditionalFormatting sqref="E15:E220">
    <x:cfRule type="colorScale" priority="1">
      <x:colorScale>
        <x:cfvo type="min"/>
        <x:cfvo type="percentile" val="50"/>
        <x:cfvo type="max"/>
        <x:color rgb="FFE7F5F2"/>
        <x:color rgb="FFFEE8C8"/>
        <x:color rgb="FFD1495B"/>
      </x:colorScale>
    </x:cfRule>
  </x:conditionalFormatting>
  <x:dataValidations count="1">
    <x:dataValidation type="list" sqref="B5">
      <x:formula1>$A$15:$A$220</x:formula1>
    </x:dataValidation>
  </x:dataValidations>
  <x:pageMargins left="0.7" right="0.7" top="0.75" bottom="0.75" header="0.3" footer="0.3"/>
  <x:drawing xmlns:r="http://schemas.openxmlformats.org/officeDocument/2006/relationships" r:id="R39a84b43426b42dc"/>
  <x:tableParts count="1">
    <x:tablePart xmlns:r="http://schemas.openxmlformats.org/officeDocument/2006/relationships" r:id="Rc6e896703fef4dc9"/>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4" hidden="0" customWidth="1"/>
    <x:col min="2" max="2" width="17" hidden="0" customWidth="1"/>
    <x:col min="3" max="3" width="18" hidden="0" customWidth="1"/>
    <x:col min="4" max="4" width="18" hidden="0" customWidth="1"/>
    <x:col min="5" max="5" width="16" hidden="0" customWidth="1"/>
    <x:col min="6" max="6" width="3" hidden="0" customWidth="1"/>
    <x:col min="7" max="7" width="14" hidden="0" customWidth="1"/>
    <x:col min="8" max="8" width="10" hidden="0" customWidth="1"/>
    <x:col min="9" max="9" width="12" hidden="0" customWidth="1"/>
    <x:col min="10" max="10" width="13" hidden="0" customWidth="1"/>
    <x:col min="11" max="11" width="13" hidden="0" customWidth="1"/>
    <x:col min="12" max="12" width="16" hidden="0" customWidth="1"/>
    <x:col min="13" max="13" width="3" hidden="0" customWidth="1"/>
    <x:col min="14" max="14" width="10" hidden="0" customWidth="1"/>
    <x:col min="15" max="15" width="22" hidden="0" customWidth="1"/>
    <x:col min="16" max="16" width="8" hidden="0" customWidth="1"/>
    <x:col min="17" max="17" width="16" hidden="0" customWidth="1"/>
    <x:col min="18" max="18" width="16" hidden="0" customWidth="1"/>
    <x:col min="19" max="19" width="14" hidden="0" customWidth="1"/>
  </x:cols>
  <x:sheetData>
    <x:row r="1" ht="30" customHeight="1">
      <x:c r="A1" s="4" t="str">
        <x:v>Carrier and Route Analysis</x:v>
      </x:c>
      <x:c r="B1" s="4"/>
      <x:c r="C1" s="4"/>
      <x:c r="D1" s="4"/>
      <x:c r="E1" s="4"/>
      <x:c r="F1" s="4"/>
      <x:c r="G1" s="4"/>
      <x:c r="H1" s="4"/>
      <x:c r="I1" s="4"/>
      <x:c r="J1" s="4"/>
      <x:c r="K1" s="4"/>
      <x:c r="L1" s="4"/>
      <x:c r="M1" s="4"/>
      <x:c r="N1" s="4"/>
      <x:c r="O1" s="4"/>
      <x:c r="P1" s="4"/>
      <x:c r="Q1" s="4"/>
      <x:c r="R1" s="4"/>
      <x:c r="S1" s="4"/>
    </x:row>
    <x:row r="2" ht="30" customHeight="1">
      <x:c r="A2" s="9" t="str">
        <x:v>Carrier comparison uses route-month peer controls with a 100-flight carrier cell threshold; route performance uses a 1,000-flight threshold.</x:v>
      </x:c>
      <x:c r="B2" s="9"/>
      <x:c r="C2" s="9"/>
      <x:c r="D2" s="9"/>
      <x:c r="E2" s="9"/>
      <x:c r="F2" s="9"/>
      <x:c r="G2" s="9"/>
      <x:c r="H2" s="9"/>
      <x:c r="I2" s="9"/>
      <x:c r="J2" s="9"/>
      <x:c r="K2" s="9"/>
      <x:c r="L2" s="9"/>
      <x:c r="M2" s="9"/>
      <x:c r="N2" s="9"/>
      <x:c r="O2" s="9"/>
      <x:c r="P2" s="9"/>
      <x:c r="Q2" s="9"/>
      <x:c r="R2" s="9"/>
      <x:c r="S2" s="9"/>
    </x:row>
    <x:row r="4" ht="26" customHeight="1">
      <x:c r="A4" s="20" t="str">
        <x:v>Carrier</x:v>
      </x:c>
      <x:c r="B4" s="21" t="str">
        <x:v>Comparable Flights</x:v>
      </x:c>
      <x:c r="C4" s="21" t="str">
        <x:v>Comparable Delay Rate</x:v>
      </x:c>
      <x:c r="D4" s="21" t="str">
        <x:v>Route-Month Peer Rate</x:v>
      </x:c>
      <x:c r="E4" s="22" t="str">
        <x:v>Relative Delay Rate</x:v>
      </x:c>
      <x:c r="G4" s="46" t="str">
        <x:v>Route</x:v>
      </x:c>
      <x:c r="H4" s="47" t="str">
        <x:v>Origin</x:v>
      </x:c>
      <x:c r="I4" s="47" t="str">
        <x:v>Destination</x:v>
      </x:c>
      <x:c r="J4" s="47" t="str">
        <x:v>Flights</x:v>
      </x:c>
      <x:c r="K4" s="47" t="str">
        <x:v>Delay Rate</x:v>
      </x:c>
      <x:c r="L4" s="48" t="str">
        <x:v>Cancellation Rate</x:v>
      </x:c>
      <x:c r="N4" s="310" t="str">
        <x:v>Airport</x:v>
      </x:c>
      <x:c r="O4" s="311" t="str">
        <x:v>City</x:v>
      </x:c>
      <x:c r="P4" s="311" t="str">
        <x:v>State</x:v>
      </x:c>
      <x:c r="Q4" s="311" t="str">
        <x:v>Scheduled Flights</x:v>
      </x:c>
      <x:c r="R4" s="311" t="str">
        <x:v>Cancellation Rate</x:v>
      </x:c>
      <x:c r="S4" s="312" t="str">
        <x:v>Diversion Rate</x:v>
      </x:c>
    </x:row>
    <x:row r="5">
      <x:c r="A5" t="str">
        <x:v>WN</x:v>
      </x:c>
      <x:c r="B5" s="23" t="n">
        <x:v>2418827</x:v>
      </x:c>
      <x:c r="C5" s="24" t="n">
        <x:v>0.21148970141312298</x:v>
      </x:c>
      <x:c r="D5" s="24" t="n">
        <x:v>0.20655904054876234</x:v>
      </x:c>
      <x:c r="E5" s="24" t="n">
        <x:v>0.004930660864360628</x:v>
      </x:c>
      <x:c r="G5" t="str">
        <x:v>DFW-SYR</x:v>
      </x:c>
      <x:c r="H5" t="str">
        <x:v>DFW</x:v>
      </x:c>
      <x:c r="I5" t="str">
        <x:v>SYR</x:v>
      </x:c>
      <x:c r="J5" s="23" t="n">
        <x:v>1039</x:v>
      </x:c>
      <x:c r="K5" s="24" t="n">
        <x:v>0.45332050048123196</x:v>
      </x:c>
      <x:c r="L5" s="24" t="n">
        <x:v>0.01828681424446583</x:v>
      </x:c>
      <x:c r="N5" t="str">
        <x:v>ASE</x:v>
      </x:c>
      <x:c r="O5" t="str">
        <x:v>Aspen, CO</x:v>
      </x:c>
      <x:c r="P5" t="str">
        <x:v>CO</x:v>
      </x:c>
      <x:c r="Q5" s="23" t="n">
        <x:v>22164</x:v>
      </x:c>
      <x:c r="R5" s="24" t="n">
        <x:v>0.06614329543403717</x:v>
      </x:c>
      <x:c r="S5" s="24" t="n">
        <x:v>0.0064067857787403</x:v>
      </x:c>
    </x:row>
    <x:row r="6">
      <x:c r="A6" t="str">
        <x:v>DL</x:v>
      </x:c>
      <x:c r="B6" s="23" t="n">
        <x:v>2101344</x:v>
      </x:c>
      <x:c r="C6" s="24" t="n">
        <x:v>0.17696150654057594</x:v>
      </x:c>
      <x:c r="D6" s="24" t="n">
        <x:v>0.18329467076825703</x:v>
      </x:c>
      <x:c r="E6" s="24" t="n">
        <x:v>-0.0063331642276810915</x:v>
      </x:c>
      <x:c r="G6" t="str">
        <x:v>DFW-MDT</x:v>
      </x:c>
      <x:c r="H6" t="str">
        <x:v>DFW</x:v>
      </x:c>
      <x:c r="I6" t="str">
        <x:v>MDT</x:v>
      </x:c>
      <x:c r="J6" s="23" t="n">
        <x:v>1096</x:v>
      </x:c>
      <x:c r="K6" s="24" t="n">
        <x:v>0.41788321167883213</x:v>
      </x:c>
      <x:c r="L6" s="24" t="n">
        <x:v>0.012773722627737226</x:v>
      </x:c>
      <x:c r="N6" t="str">
        <x:v>BGR</x:v>
      </x:c>
      <x:c r="O6" t="str">
        <x:v>Bangor, ME</x:v>
      </x:c>
      <x:c r="P6" t="str">
        <x:v>ME</x:v>
      </x:c>
      <x:c r="Q6" s="23" t="n">
        <x:v>13007</x:v>
      </x:c>
      <x:c r="R6" s="24" t="n">
        <x:v>0.0358268624586761</x:v>
      </x:c>
      <x:c r="S6" s="24" t="n">
        <x:v>0.0026139770892596296</x:v>
      </x:c>
    </x:row>
    <x:row r="7">
      <x:c r="A7" t="str">
        <x:v>AA</x:v>
      </x:c>
      <x:c r="B7" s="23" t="n">
        <x:v>1903689</x:v>
      </x:c>
      <x:c r="C7" s="24" t="n">
        <x:v>0.2466400761889153</x:v>
      </x:c>
      <x:c r="D7" s="24" t="n">
        <x:v>0.24266216652540248</x:v>
      </x:c>
      <x:c r="E7" s="24" t="n">
        <x:v>0.003977909663512834</x:v>
      </x:c>
      <x:c r="G7" t="str">
        <x:v>DCA-AUS</x:v>
      </x:c>
      <x:c r="H7" t="str">
        <x:v>DCA</x:v>
      </x:c>
      <x:c r="I7" t="str">
        <x:v>AUS</x:v>
      </x:c>
      <x:c r="J7" s="23" t="n">
        <x:v>1096</x:v>
      </x:c>
      <x:c r="K7" s="24" t="n">
        <x:v>0.4032846715328467</x:v>
      </x:c>
      <x:c r="L7" s="24" t="n">
        <x:v>0.0072992700729927005</x:v>
      </x:c>
      <x:c r="N7" t="str">
        <x:v>TTN</x:v>
      </x:c>
      <x:c r="O7" t="str">
        <x:v>Trenton, NJ</x:v>
      </x:c>
      <x:c r="P7" t="str">
        <x:v>NJ</x:v>
      </x:c>
      <x:c r="Q7" s="23" t="n">
        <x:v>5142</x:v>
      </x:c>
      <x:c r="R7" s="24" t="n">
        <x:v>0.03267211201866978</x:v>
      </x:c>
      <x:c r="S7" s="24" t="n">
        <x:v>0.003695060287825749</x:v>
      </x:c>
    </x:row>
    <x:row r="8">
      <x:c r="A8" t="str">
        <x:v>UA</x:v>
      </x:c>
      <x:c r="B8" s="23" t="n">
        <x:v>1315510</x:v>
      </x:c>
      <x:c r="C8" s="24" t="n">
        <x:v>0.20820442261936437</x:v>
      </x:c>
      <x:c r="D8" s="24" t="n">
        <x:v>0.22219747633929668</x:v>
      </x:c>
      <x:c r="E8" s="24" t="n">
        <x:v>-0.013993053719932333</x:v>
      </x:c>
      <x:c r="G8" t="str">
        <x:v>DEN-BUF</x:v>
      </x:c>
      <x:c r="H8" t="str">
        <x:v>DEN</x:v>
      </x:c>
      <x:c r="I8" t="str">
        <x:v>BUF</x:v>
      </x:c>
      <x:c r="J8" s="23" t="n">
        <x:v>1322</x:v>
      </x:c>
      <x:c r="K8" s="24" t="n">
        <x:v>0.39863842662632376</x:v>
      </x:c>
      <x:c r="L8" s="24" t="n">
        <x:v>0.00529500756429652</x:v>
      </x:c>
      <x:c r="N8" t="str">
        <x:v>LGA</x:v>
      </x:c>
      <x:c r="O8" t="str">
        <x:v>New York, NY</x:v>
      </x:c>
      <x:c r="P8" t="str">
        <x:v>NY</x:v>
      </x:c>
      <x:c r="Q8" s="23" t="n">
        <x:v>461883</x:v>
      </x:c>
      <x:c r="R8" s="24" t="n">
        <x:v>0.02696786848617507</x:v>
      </x:c>
      <x:c r="S8" s="24" t="n">
        <x:v>0.0028080704420816527</x:v>
      </x:c>
    </x:row>
    <x:row r="9">
      <x:c r="A9" t="str">
        <x:v>OO</x:v>
      </x:c>
      <x:c r="B9" s="23" t="n">
        <x:v>657153</x:v>
      </x:c>
      <x:c r="C9" s="24" t="n">
        <x:v>0.19654327074516895</x:v>
      </x:c>
      <x:c r="D9" s="24" t="n">
        <x:v>0.20394742460134377</x:v>
      </x:c>
      <x:c r="E9" s="24" t="n">
        <x:v>-0.007404153856174837</x:v>
      </x:c>
      <x:c r="G9" t="str">
        <x:v>BDL-SJU</x:v>
      </x:c>
      <x:c r="H9" t="str">
        <x:v>BDL</x:v>
      </x:c>
      <x:c r="I9" t="str">
        <x:v>SJU</x:v>
      </x:c>
      <x:c r="J9" s="23" t="n">
        <x:v>2991</x:v>
      </x:c>
      <x:c r="K9" s="24" t="n">
        <x:v>0.3965229020394517</x:v>
      </x:c>
      <x:c r="L9" s="24" t="n">
        <x:v>0.014042126379137413</x:v>
      </x:c>
      <x:c r="N9" t="str">
        <x:v>EWR</x:v>
      </x:c>
      <x:c r="O9" t="str">
        <x:v>Newark, NJ</x:v>
      </x:c>
      <x:c r="P9" t="str">
        <x:v>NJ</x:v>
      </x:c>
      <x:c r="Q9" s="23" t="n">
        <x:v>387843</x:v>
      </x:c>
      <x:c r="R9" s="24" t="n">
        <x:v>0.02608014067547951</x:v>
      </x:c>
      <x:c r="S9" s="24" t="n">
        <x:v>0.0024803851042818873</x:v>
      </x:c>
    </x:row>
    <x:row r="10">
      <x:c r="A10" t="str">
        <x:v>YX</x:v>
      </x:c>
      <x:c r="B10" s="23" t="n">
        <x:v>386713</x:v>
      </x:c>
      <x:c r="C10" s="24" t="n">
        <x:v>0.16644643443587362</x:v>
      </x:c>
      <x:c r="D10" s="24" t="n">
        <x:v>0.178411715538139</x:v>
      </x:c>
      <x:c r="E10" s="24" t="n">
        <x:v>-0.011965281102265373</x:v>
      </x:c>
      <x:c r="G10" t="str">
        <x:v>SCK-LAS</x:v>
      </x:c>
      <x:c r="H10" t="str">
        <x:v>SCK</x:v>
      </x:c>
      <x:c r="I10" t="str">
        <x:v>LAS</x:v>
      </x:c>
      <x:c r="J10" s="23" t="n">
        <x:v>1242</x:v>
      </x:c>
      <x:c r="K10" s="24" t="n">
        <x:v>0.3832528180354267</x:v>
      </x:c>
      <x:c r="L10" s="24" t="n">
        <x:v>0.00644122383252818</x:v>
      </x:c>
      <x:c r="N10" t="str">
        <x:v>CHO</x:v>
      </x:c>
      <x:c r="O10" t="str">
        <x:v>Charlottesville, VA</x:v>
      </x:c>
      <x:c r="P10" t="str">
        <x:v>VA</x:v>
      </x:c>
      <x:c r="Q10" s="23" t="n">
        <x:v>7605</x:v>
      </x:c>
      <x:c r="R10" s="24" t="n">
        <x:v>0.025904010519395136</x:v>
      </x:c>
      <x:c r="S10" s="24" t="n">
        <x:v>0.00210387902695595</x:v>
      </x:c>
    </x:row>
    <x:row r="11">
      <x:c r="A11" t="str">
        <x:v>B6</x:v>
      </x:c>
      <x:c r="B11" s="23" t="n">
        <x:v>327519</x:v>
      </x:c>
      <x:c r="C11" s="24" t="n">
        <x:v>0.26676314961880077</x:v>
      </x:c>
      <x:c r="D11" s="24" t="n">
        <x:v>0.2470073174641607</x:v>
      </x:c>
      <x:c r="E11" s="24" t="n">
        <x:v>0.019755832154640066</x:v>
      </x:c>
      <x:c r="G11" t="str">
        <x:v>DFW-GEG</x:v>
      </x:c>
      <x:c r="H11" t="str">
        <x:v>DFW</x:v>
      </x:c>
      <x:c r="I11" t="str">
        <x:v>GEG</x:v>
      </x:c>
      <x:c r="J11" s="23" t="n">
        <x:v>1826</x:v>
      </x:c>
      <x:c r="K11" s="24" t="n">
        <x:v>0.38116100766703176</x:v>
      </x:c>
      <x:c r="L11" s="24" t="n">
        <x:v>0.011500547645125958</x:v>
      </x:c>
      <x:c r="N11" t="str">
        <x:v>BTV</x:v>
      </x:c>
      <x:c r="O11" t="str">
        <x:v>Burlington, VT</x:v>
      </x:c>
      <x:c r="P11" t="str">
        <x:v>VT</x:v>
      </x:c>
      <x:c r="Q11" s="23" t="n">
        <x:v>22485</x:v>
      </x:c>
      <x:c r="R11" s="24" t="n">
        <x:v>0.025661552145875028</x:v>
      </x:c>
      <x:c r="S11" s="24" t="n">
        <x:v>0.002801867911941294</x:v>
      </x:c>
    </x:row>
    <x:row r="12">
      <x:c r="A12" t="str">
        <x:v>AS</x:v>
      </x:c>
      <x:c r="B12" s="23" t="n">
        <x:v>319140</x:v>
      </x:c>
      <x:c r="C12" s="24" t="n">
        <x:v>0.2152691608698377</x:v>
      </x:c>
      <x:c r="D12" s="24" t="n">
        <x:v>0.19257065999984538</x:v>
      </x:c>
      <x:c r="E12" s="24" t="n">
        <x:v>0.02269850086999232</x:v>
      </x:c>
      <x:c r="G12" t="str">
        <x:v>SNA-PVU</x:v>
      </x:c>
      <x:c r="H12" t="str">
        <x:v>SNA</x:v>
      </x:c>
      <x:c r="I12" t="str">
        <x:v>PVU</x:v>
      </x:c>
      <x:c r="J12" s="23" t="n">
        <x:v>1081</x:v>
      </x:c>
      <x:c r="K12" s="24" t="n">
        <x:v>0.37835337650323775</x:v>
      </x:c>
      <x:c r="L12" s="24" t="n">
        <x:v>0.018501387604070305</x:v>
      </x:c>
      <x:c r="N12" t="str">
        <x:v>GRK</x:v>
      </x:c>
      <x:c r="O12" t="str">
        <x:v>Killeen, TX</x:v>
      </x:c>
      <x:c r="P12" t="str">
        <x:v>TX</x:v>
      </x:c>
      <x:c r="Q12" s="23" t="n">
        <x:v>5189</x:v>
      </x:c>
      <x:c r="R12" s="24" t="n">
        <x:v>0.02505299672383889</x:v>
      </x:c>
      <x:c r="S12" s="24" t="n">
        <x:v>0.0011562921564848719</x:v>
      </x:c>
    </x:row>
    <x:row r="13">
      <x:c r="A13" t="str">
        <x:v>OH</x:v>
      </x:c>
      <x:c r="B13" s="23" t="n">
        <x:v>209464</x:v>
      </x:c>
      <x:c r="C13" s="24" t="n">
        <x:v>0.21447122178512776</x:v>
      </x:c>
      <x:c r="D13" s="24" t="n">
        <x:v>0.21449117044617616</x:v>
      </x:c>
      <x:c r="E13" s="24" t="n">
        <x:v>-0.000019948661048393016</x:v>
      </x:c>
      <x:c r="G13" t="str">
        <x:v>MIA-MEM</x:v>
      </x:c>
      <x:c r="H13" t="str">
        <x:v>MIA</x:v>
      </x:c>
      <x:c r="I13" t="str">
        <x:v>MEM</x:v>
      </x:c>
      <x:c r="J13" s="23" t="n">
        <x:v>1278</x:v>
      </x:c>
      <x:c r="K13" s="24" t="n">
        <x:v>0.3779342723004695</x:v>
      </x:c>
      <x:c r="L13" s="24" t="n">
        <x:v>0.011737089201877934</x:v>
      </x:c>
      <x:c r="N13" t="str">
        <x:v>COU</x:v>
      </x:c>
      <x:c r="O13" t="str">
        <x:v>Columbia, MO</x:v>
      </x:c>
      <x:c r="P13" t="str">
        <x:v>MO</x:v>
      </x:c>
      <x:c r="Q13" s="23" t="n">
        <x:v>5687</x:v>
      </x:c>
      <x:c r="R13" s="24" t="n">
        <x:v>0.024265869526991383</x:v>
      </x:c>
      <x:c r="S13" s="24" t="n">
        <x:v>0.002813434148056972</x:v>
      </x:c>
    </x:row>
    <x:row r="14">
      <x:c r="A14" t="str">
        <x:v>MQ</x:v>
      </x:c>
      <x:c r="B14" s="23" t="n">
        <x:v>196935</x:v>
      </x:c>
      <x:c r="C14" s="24" t="n">
        <x:v>0.19569908853174905</x:v>
      </x:c>
      <x:c r="D14" s="24" t="n">
        <x:v>0.1976234165659292</x:v>
      </x:c>
      <x:c r="E14" s="24" t="n">
        <x:v>-0.0019243280341801326</x:v>
      </x:c>
      <x:c r="G14" t="str">
        <x:v>DFW-BFL</x:v>
      </x:c>
      <x:c r="H14" t="str">
        <x:v>DFW</x:v>
      </x:c>
      <x:c r="I14" t="str">
        <x:v>BFL</x:v>
      </x:c>
      <x:c r="J14" s="23" t="n">
        <x:v>1456</x:v>
      </x:c>
      <x:c r="K14" s="24" t="n">
        <x:v>0.3708791208791209</x:v>
      </x:c>
      <x:c r="L14" s="24" t="n">
        <x:v>0.019230769230769232</x:v>
      </x:c>
      <x:c r="N14" t="str">
        <x:v>DCA</x:v>
      </x:c>
      <x:c r="O14" t="str">
        <x:v>Washington, DC</x:v>
      </x:c>
      <x:c r="P14" t="str">
        <x:v>VA</x:v>
      </x:c>
      <x:c r="Q14" s="23" t="n">
        <x:v>422527</x:v>
      </x:c>
      <x:c r="R14" s="24" t="n">
        <x:v>0.023288452572261656</x:v>
      </x:c>
      <x:c r="S14" s="24" t="n">
        <x:v>0.002354879096483775</x:v>
      </x:c>
    </x:row>
    <x:row r="15">
      <x:c r="A15" t="str">
        <x:v>HA</x:v>
      </x:c>
      <x:c r="B15" s="23" t="n">
        <x:v>157732</x:v>
      </x:c>
      <x:c r="C15" s="24" t="n">
        <x:v>0.16759440062891487</x:v>
      </x:c>
      <x:c r="D15" s="24" t="n">
        <x:v>0.12970642605883542</x:v>
      </x:c>
      <x:c r="E15" s="24" t="n">
        <x:v>0.03788797457007944</x:v>
      </x:c>
      <x:c r="G15" t="str">
        <x:v>DFW-BUF</x:v>
      </x:c>
      <x:c r="H15" t="str">
        <x:v>DFW</x:v>
      </x:c>
      <x:c r="I15" t="str">
        <x:v>BUF</x:v>
      </x:c>
      <x:c r="J15" s="23" t="n">
        <x:v>1553</x:v>
      </x:c>
      <x:c r="K15" s="24" t="n">
        <x:v>0.3689632968448165</x:v>
      </x:c>
      <x:c r="L15" s="24" t="n">
        <x:v>0.018673535093367676</x:v>
      </x:c>
      <x:c r="N15" t="str">
        <x:v>PWM</x:v>
      </x:c>
      <x:c r="O15" t="str">
        <x:v>Portland, ME</x:v>
      </x:c>
      <x:c r="P15" t="str">
        <x:v>ME</x:v>
      </x:c>
      <x:c r="Q15" s="23" t="n">
        <x:v>33396</x:v>
      </x:c>
      <x:c r="R15" s="24" t="n">
        <x:v>0.02320637202060127</x:v>
      </x:c>
      <x:c r="S15" s="24" t="n">
        <x:v>0.002575158701640915</x:v>
      </x:c>
    </x:row>
    <x:row r="16">
      <x:c r="A16" t="str">
        <x:v>NK</x:v>
      </x:c>
      <x:c r="B16" s="23" t="n">
        <x:v>96176</x:v>
      </x:c>
      <x:c r="C16" s="24" t="n">
        <x:v>0.2764203127599401</x:v>
      </x:c>
      <x:c r="D16" s="24" t="n">
        <x:v>0.25509420940394534</x:v>
      </x:c>
      <x:c r="E16" s="24" t="n">
        <x:v>0.021326103355994747</x:v>
      </x:c>
      <x:c r="G16" t="str">
        <x:v>SJU-BDL</x:v>
      </x:c>
      <x:c r="H16" t="str">
        <x:v>SJU</x:v>
      </x:c>
      <x:c r="I16" t="str">
        <x:v>BDL</x:v>
      </x:c>
      <x:c r="J16" s="23" t="n">
        <x:v>2989</x:v>
      </x:c>
      <x:c r="K16" s="24" t="n">
        <x:v>0.36801605888256944</x:v>
      </x:c>
      <x:c r="L16" s="24" t="n">
        <x:v>0.013382402141184342</x:v>
      </x:c>
      <x:c r="N16" t="str">
        <x:v>ILM</x:v>
      </x:c>
      <x:c r="O16" t="str">
        <x:v>Wilmington, NC</x:v>
      </x:c>
      <x:c r="P16" t="str">
        <x:v>NC</x:v>
      </x:c>
      <x:c r="Q16" s="23" t="n">
        <x:v>22942</x:v>
      </x:c>
      <x:c r="R16" s="24" t="n">
        <x:v>0.022927382093976115</x:v>
      </x:c>
      <x:c r="S16" s="24" t="n">
        <x:v>0.0020922325865225353</x:v>
      </x:c>
    </x:row>
    <x:row r="17">
      <x:c r="A17" t="str">
        <x:v>9E</x:v>
      </x:c>
      <x:c r="B17" s="23" t="n">
        <x:v>75998</x:v>
      </x:c>
      <x:c r="C17" s="24" t="n">
        <x:v>0.14556962025316456</x:v>
      </x:c>
      <x:c r="D17" s="24" t="n">
        <x:v>0.1531131268310159</x:v>
      </x:c>
      <x:c r="E17" s="24" t="n">
        <x:v>-0.007543506577851353</x:v>
      </x:c>
      <x:c r="G17" t="str">
        <x:v>EYW-DFW</x:v>
      </x:c>
      <x:c r="H17" t="str">
        <x:v>EYW</x:v>
      </x:c>
      <x:c r="I17" t="str">
        <x:v>DFW</x:v>
      </x:c>
      <x:c r="J17" s="23" t="n">
        <x:v>1201</x:v>
      </x:c>
      <x:c r="K17" s="24" t="n">
        <x:v>0.3555370524562864</x:v>
      </x:c>
      <x:c r="L17" s="24" t="n">
        <x:v>0.02164862614487927</x:v>
      </x:c>
      <x:c r="N17" t="str">
        <x:v>MGM</x:v>
      </x:c>
      <x:c r="O17" t="str">
        <x:v>Montgomery, AL</x:v>
      </x:c>
      <x:c r="P17" t="str">
        <x:v>AL</x:v>
      </x:c>
      <x:c r="Q17" s="23" t="n">
        <x:v>7070</x:v>
      </x:c>
      <x:c r="R17" s="24" t="n">
        <x:v>0.022065063649222064</x:v>
      </x:c>
      <x:c r="S17" s="24" t="n">
        <x:v>0.0029702970297029703</x:v>
      </x:c>
    </x:row>
    <x:row r="18">
      <x:c r="A18" t="str">
        <x:v>F9</x:v>
      </x:c>
      <x:c r="B18" s="23" t="n">
        <x:v>43446</x:v>
      </x:c>
      <x:c r="C18" s="24" t="n">
        <x:v>0.27307462136905586</x:v>
      </x:c>
      <x:c r="D18" s="24" t="n">
        <x:v>0.25088814094192985</x:v>
      </x:c>
      <x:c r="E18" s="24" t="n">
        <x:v>0.022186480427126</x:v>
      </x:c>
      <x:c r="G18" t="str">
        <x:v>PHL-SJU</x:v>
      </x:c>
      <x:c r="H18" t="str">
        <x:v>PHL</x:v>
      </x:c>
      <x:c r="I18" t="str">
        <x:v>SJU</x:v>
      </x:c>
      <x:c r="J18" s="23" t="n">
        <x:v>4434</x:v>
      </x:c>
      <x:c r="K18" s="24" t="n">
        <x:v>0.35385656292286877</x:v>
      </x:c>
      <x:c r="L18" s="24" t="n">
        <x:v>0.016238159675236806</x:v>
      </x:c>
      <x:c r="N18" t="str">
        <x:v>ROA</x:v>
      </x:c>
      <x:c r="O18" t="str">
        <x:v>Roanoke, VA</x:v>
      </x:c>
      <x:c r="P18" t="str">
        <x:v>VA</x:v>
      </x:c>
      <x:c r="Q18" s="23" t="n">
        <x:v>7496</x:v>
      </x:c>
      <x:c r="R18" s="24" t="n">
        <x:v>0.021878335112059766</x:v>
      </x:c>
      <x:c r="S18" s="24" t="n">
        <x:v>0.0014674493062966916</x:v>
      </x:c>
    </x:row>
    <x:row r="19">
      <x:c r="G19" t="str">
        <x:v>ASE-ATL</x:v>
      </x:c>
      <x:c r="H19" t="str">
        <x:v>ASE</x:v>
      </x:c>
      <x:c r="I19" t="str">
        <x:v>ATL</x:v>
      </x:c>
      <x:c r="J19" s="23" t="n">
        <x:v>1125</x:v>
      </x:c>
      <x:c r="K19" s="24" t="n">
        <x:v>0.3537777777777778</x:v>
      </x:c>
      <x:c r="L19" s="24" t="n">
        <x:v>0.06222222222222222</x:v>
      </x:c>
      <x:c r="N19" t="str">
        <x:v>LFT</x:v>
      </x:c>
      <x:c r="O19" t="str">
        <x:v>Lafayette, LA</x:v>
      </x:c>
      <x:c r="P19" t="str">
        <x:v>LA</x:v>
      </x:c>
      <x:c r="Q19" s="23" t="n">
        <x:v>8855</x:v>
      </x:c>
      <x:c r="R19" s="24" t="n">
        <x:v>0.02168266516092603</x:v>
      </x:c>
      <x:c r="S19" s="24" t="n">
        <x:v>0.0027103331451157537</x:v>
      </x:c>
    </x:row>
    <x:row r="20">
      <x:c r="G20" t="str">
        <x:v>FLL-TYS</x:v>
      </x:c>
      <x:c r="H20" t="str">
        <x:v>FLL</x:v>
      </x:c>
      <x:c r="I20" t="str">
        <x:v>TYS</x:v>
      </x:c>
      <x:c r="J20" s="23" t="n">
        <x:v>1185</x:v>
      </x:c>
      <x:c r="K20" s="24" t="n">
        <x:v>0.35358649789029534</x:v>
      </x:c>
      <x:c r="L20" s="24" t="n">
        <x:v>0.006751054852320675</x:v>
      </x:c>
      <x:c r="N20" t="str">
        <x:v>BUF</x:v>
      </x:c>
      <x:c r="O20" t="str">
        <x:v>Buffalo, NY</x:v>
      </x:c>
      <x:c r="P20" t="str">
        <x:v>NY</x:v>
      </x:c>
      <x:c r="Q20" s="23" t="n">
        <x:v>63669</x:v>
      </x:c>
      <x:c r="R20" s="24" t="n">
        <x:v>0.02151753600653379</x:v>
      </x:c>
      <x:c r="S20" s="24" t="n">
        <x:v>0.0020732224473448617</x:v>
      </x:c>
    </x:row>
    <x:row r="21">
      <x:c r="G21" t="str">
        <x:v>DFW-MSN</x:v>
      </x:c>
      <x:c r="H21" t="str">
        <x:v>DFW</x:v>
      </x:c>
      <x:c r="I21" t="str">
        <x:v>MSN</x:v>
      </x:c>
      <x:c r="J21" s="23" t="n">
        <x:v>3211</x:v>
      </x:c>
      <x:c r="K21" s="24" t="n">
        <x:v>0.35316100903145436</x:v>
      </x:c>
      <x:c r="L21" s="24" t="n">
        <x:v>0.016817190906259733</x:v>
      </x:c>
      <x:c r="N21" t="str">
        <x:v>HHH</x:v>
      </x:c>
      <x:c r="O21" t="str">
        <x:v>Hilton Head, SC</x:v>
      </x:c>
      <x:c r="P21" t="str">
        <x:v>SC</x:v>
      </x:c>
      <x:c r="Q21" s="23" t="n">
        <x:v>5861</x:v>
      </x:c>
      <x:c r="R21" s="24" t="n">
        <x:v>0.02132741852926122</x:v>
      </x:c>
      <x:c r="S21" s="24" t="n">
        <x:v>0.008701586759938576</x:v>
      </x:c>
    </x:row>
    <x:row r="22">
      <x:c r="G22" t="str">
        <x:v>JFK-BQN</x:v>
      </x:c>
      <x:c r="H22" t="str">
        <x:v>JFK</x:v>
      </x:c>
      <x:c r="I22" t="str">
        <x:v>BQN</x:v>
      </x:c>
      <x:c r="J22" s="23" t="n">
        <x:v>1852</x:v>
      </x:c>
      <x:c r="K22" s="24" t="n">
        <x:v>0.35259179265658747</x:v>
      </x:c>
      <x:c r="L22" s="24" t="n">
        <x:v>0.021058315334773217</x:v>
      </x:c>
      <x:c r="N22" t="str">
        <x:v>DFW</x:v>
      </x:c>
      <x:c r="O22" t="str">
        <x:v>Dallas/Fort Worth, TX</x:v>
      </x:c>
      <x:c r="P22" t="str">
        <x:v>TX</x:v>
      </x:c>
      <x:c r="Q22" s="23" t="n">
        <x:v>914680</x:v>
      </x:c>
      <x:c r="R22" s="24" t="n">
        <x:v>0.020725280972580574</x:v>
      </x:c>
      <x:c r="S22" s="24" t="n">
        <x:v>0.002891721695019023</x:v>
      </x:c>
    </x:row>
    <x:row r="23">
      <x:c r="G23" t="str">
        <x:v>SRQ-DFW</x:v>
      </x:c>
      <x:c r="H23" t="str">
        <x:v>SRQ</x:v>
      </x:c>
      <x:c r="I23" t="str">
        <x:v>DFW</x:v>
      </x:c>
      <x:c r="J23" s="23" t="n">
        <x:v>1179</x:v>
      </x:c>
      <x:c r="K23" s="24" t="n">
        <x:v>0.3511450381679389</x:v>
      </x:c>
      <x:c r="L23" s="24" t="n">
        <x:v>0.031382527565733676</x:v>
      </x:c>
      <x:c r="N23" t="str">
        <x:v>JFK</x:v>
      </x:c>
      <x:c r="O23" t="str">
        <x:v>New York, NY</x:v>
      </x:c>
      <x:c r="P23" t="str">
        <x:v>NY</x:v>
      </x:c>
      <x:c r="Q23" s="23" t="n">
        <x:v>361156</x:v>
      </x:c>
      <x:c r="R23" s="24" t="n">
        <x:v>0.02066696939826557</x:v>
      </x:c>
      <x:c r="S23" s="24" t="n">
        <x:v>0.0025778334016325357</x:v>
      </x:c>
    </x:row>
    <x:row r="24">
      <x:c r="G24" t="str">
        <x:v>FLL-ALB</x:v>
      </x:c>
      <x:c r="H24" t="str">
        <x:v>FLL</x:v>
      </x:c>
      <x:c r="I24" t="str">
        <x:v>ALB</x:v>
      </x:c>
      <x:c r="J24" s="23" t="n">
        <x:v>1288</x:v>
      </x:c>
      <x:c r="K24" s="24" t="n">
        <x:v>0.34860248447204967</x:v>
      </x:c>
      <x:c r="L24" s="24" t="n">
        <x:v>0.011645962732919254</x:v>
      </x:c>
      <x:c r="N24" t="str">
        <x:v>ORF</x:v>
      </x:c>
      <x:c r="O24" t="str">
        <x:v>Norfolk, VA</x:v>
      </x:c>
      <x:c r="P24" t="str">
        <x:v>VA</x:v>
      </x:c>
      <x:c r="Q24" s="23" t="n">
        <x:v>62201</x:v>
      </x:c>
      <x:c r="R24" s="24" t="n">
        <x:v>0.02061060111573769</x:v>
      </x:c>
      <x:c r="S24" s="24" t="n">
        <x:v>0.0020096139933441586</x:v>
      </x:c>
    </x:row>
    <x:row r="25">
      <x:c r="G25" t="str">
        <x:v>SJU-DCA</x:v>
      </x:c>
      <x:c r="H25" t="str">
        <x:v>SJU</x:v>
      </x:c>
      <x:c r="I25" t="str">
        <x:v>DCA</x:v>
      </x:c>
      <x:c r="J25" s="23" t="n">
        <x:v>1096</x:v>
      </x:c>
      <x:c r="K25" s="24" t="n">
        <x:v>0.34854014598540145</x:v>
      </x:c>
      <x:c r="L25" s="24" t="n">
        <x:v>0.006386861313868613</x:v>
      </x:c>
      <x:c r="N25" t="str">
        <x:v>BTR</x:v>
      </x:c>
      <x:c r="O25" t="str">
        <x:v>Baton Rouge, LA</x:v>
      </x:c>
      <x:c r="P25" t="str">
        <x:v>LA</x:v>
      </x:c>
      <x:c r="Q25" s="23" t="n">
        <x:v>13790</x:v>
      </x:c>
      <x:c r="R25" s="24" t="n">
        <x:v>0.02044960116026106</x:v>
      </x:c>
      <x:c r="S25" s="24" t="n">
        <x:v>0.002320522117476432</x:v>
      </x:c>
    </x:row>
    <x:row r="26">
      <x:c r="G26" t="str">
        <x:v>FLL-SAN</x:v>
      </x:c>
      <x:c r="H26" t="str">
        <x:v>FLL</x:v>
      </x:c>
      <x:c r="I26" t="str">
        <x:v>SAN</x:v>
      </x:c>
      <x:c r="J26" s="23" t="n">
        <x:v>1138</x:v>
      </x:c>
      <x:c r="K26" s="24" t="n">
        <x:v>0.34797891036906853</x:v>
      </x:c>
      <x:c r="L26" s="24" t="n">
        <x:v>0.022847100175746926</x:v>
      </x:c>
      <x:c r="N26" t="str">
        <x:v>CAE</x:v>
      </x:c>
      <x:c r="O26" t="str">
        <x:v>Columbia, SC</x:v>
      </x:c>
      <x:c r="P26" t="str">
        <x:v>SC</x:v>
      </x:c>
      <x:c r="Q26" s="23" t="n">
        <x:v>18451</x:v>
      </x:c>
      <x:c r="R26" s="24" t="n">
        <x:v>0.020432496883637744</x:v>
      </x:c>
      <x:c r="S26" s="24" t="n">
        <x:v>0.002384694596498835</x:v>
      </x:c>
    </x:row>
    <x:row r="27">
      <x:c r="G27" t="str">
        <x:v>ASE-IAH</x:v>
      </x:c>
      <x:c r="H27" t="str">
        <x:v>ASE</x:v>
      </x:c>
      <x:c r="I27" t="str">
        <x:v>IAH</x:v>
      </x:c>
      <x:c r="J27" s="23" t="n">
        <x:v>1752</x:v>
      </x:c>
      <x:c r="K27" s="24" t="n">
        <x:v>0.3430365296803653</x:v>
      </x:c>
      <x:c r="L27" s="24" t="n">
        <x:v>0.0702054794520548</x:v>
      </x:c>
      <x:c r="N27" t="str">
        <x:v>AVL</x:v>
      </x:c>
      <x:c r="O27" t="str">
        <x:v>Asheville, NC</x:v>
      </x:c>
      <x:c r="P27" t="str">
        <x:v>NC</x:v>
      </x:c>
      <x:c r="Q27" s="23" t="n">
        <x:v>33536</x:v>
      </x:c>
      <x:c r="R27" s="24" t="n">
        <x:v>0.020127624045801526</x:v>
      </x:c>
      <x:c r="S27" s="24" t="n">
        <x:v>0.003369513358778626</x:v>
      </x:c>
    </x:row>
    <x:row r="28">
      <x:c r="G28" t="str">
        <x:v>SAT-BOS</x:v>
      </x:c>
      <x:c r="H28" t="str">
        <x:v>SAT</x:v>
      </x:c>
      <x:c r="I28" t="str">
        <x:v>BOS</x:v>
      </x:c>
      <x:c r="J28" s="23" t="n">
        <x:v>1037</x:v>
      </x:c>
      <x:c r="K28" s="24" t="n">
        <x:v>0.3423336547733848</x:v>
      </x:c>
      <x:c r="L28" s="24" t="n">
        <x:v>0.013500482160077145</x:v>
      </x:c>
      <x:c r="N28" t="str">
        <x:v>KTN</x:v>
      </x:c>
      <x:c r="O28" t="str">
        <x:v>Ketchikan, AK</x:v>
      </x:c>
      <x:c r="P28" t="str">
        <x:v>AK</x:v>
      </x:c>
      <x:c r="Q28" s="23" t="n">
        <x:v>7392</x:v>
      </x:c>
      <x:c r="R28" s="24" t="n">
        <x:v>0.019886363636363636</x:v>
      </x:c>
      <x:c r="S28" s="24" t="n">
        <x:v>0.002976190476190476</x:v>
      </x:c>
    </x:row>
    <x:row r="29">
      <x:c r="G29" t="str">
        <x:v>DEN-MLI</x:v>
      </x:c>
      <x:c r="H29" t="str">
        <x:v>DEN</x:v>
      </x:c>
      <x:c r="I29" t="str">
        <x:v>MLI</x:v>
      </x:c>
      <x:c r="J29" s="23" t="n">
        <x:v>1099</x:v>
      </x:c>
      <x:c r="K29" s="24" t="n">
        <x:v>0.3421292083712466</x:v>
      </x:c>
      <x:c r="L29" s="24" t="n">
        <x:v>0.011828935395814377</x:v>
      </x:c>
      <x:c r="N29" t="str">
        <x:v>MHT</x:v>
      </x:c>
      <x:c r="O29" t="str">
        <x:v>Manchester, NH</x:v>
      </x:c>
      <x:c r="P29" t="str">
        <x:v>NH</x:v>
      </x:c>
      <x:c r="Q29" s="23" t="n">
        <x:v>17904</x:v>
      </x:c>
      <x:c r="R29" s="24" t="n">
        <x:v>0.01966041108132261</x:v>
      </x:c>
      <x:c r="S29" s="24" t="n">
        <x:v>0.003127792672028597</x:v>
      </x:c>
    </x:row>
    <x:row r="30">
      <x:c r="G30" t="str">
        <x:v>IAH-JFK</x:v>
      </x:c>
      <x:c r="H30" t="str">
        <x:v>IAH</x:v>
      </x:c>
      <x:c r="I30" t="str">
        <x:v>JFK</x:v>
      </x:c>
      <x:c r="J30" s="23" t="n">
        <x:v>1039</x:v>
      </x:c>
      <x:c r="K30" s="24" t="n">
        <x:v>0.34167468719923005</x:v>
      </x:c>
      <x:c r="L30" s="24" t="n">
        <x:v>0.02406159769008662</x:v>
      </x:c>
      <x:c r="N30" t="str">
        <x:v>MYR</x:v>
      </x:c>
      <x:c r="O30" t="str">
        <x:v>Myrtle Beach, SC</x:v>
      </x:c>
      <x:c r="P30" t="str">
        <x:v>SC</x:v>
      </x:c>
      <x:c r="Q30" s="23" t="n">
        <x:v>44975</x:v>
      </x:c>
      <x:c r="R30" s="24" t="n">
        <x:v>0.019655364091161757</x:v>
      </x:c>
      <x:c r="S30" s="24" t="n">
        <x:v>0.002112284602556976</x:v>
      </x:c>
    </x:row>
    <x:row r="31">
      <x:c r="G31" t="str">
        <x:v>DFW-PBI</x:v>
      </x:c>
      <x:c r="H31" t="str">
        <x:v>DFW</x:v>
      </x:c>
      <x:c r="I31" t="str">
        <x:v>PBI</x:v>
      </x:c>
      <x:c r="J31" s="23" t="n">
        <x:v>3327</x:v>
      </x:c>
      <x:c r="K31" s="24" t="n">
        <x:v>0.341448752629997</x:v>
      </x:c>
      <x:c r="L31" s="24" t="n">
        <x:v>0.0228434024646829</x:v>
      </x:c>
      <x:c r="N31" t="str">
        <x:v>CID</x:v>
      </x:c>
      <x:c r="O31" t="str">
        <x:v>Cedar Rapids/Iowa City, IA</x:v>
      </x:c>
      <x:c r="P31" t="str">
        <x:v>IA</x:v>
      </x:c>
      <x:c r="Q31" s="23" t="n">
        <x:v>23258</x:v>
      </x:c>
      <x:c r="R31" s="24" t="n">
        <x:v>0.01956316106286009</x:v>
      </x:c>
      <x:c r="S31" s="24" t="n">
        <x:v>0.001934818127096053</x:v>
      </x:c>
    </x:row>
    <x:row r="32">
      <x:c r="G32" t="str">
        <x:v>MIA-MCI</x:v>
      </x:c>
      <x:c r="H32" t="str">
        <x:v>MIA</x:v>
      </x:c>
      <x:c r="I32" t="str">
        <x:v>MCI</x:v>
      </x:c>
      <x:c r="J32" s="23" t="n">
        <x:v>1427</x:v>
      </x:c>
      <x:c r="K32" s="24" t="n">
        <x:v>0.3405746320953048</x:v>
      </x:c>
      <x:c r="L32" s="24" t="n">
        <x:v>0.01401541695865452</x:v>
      </x:c>
      <x:c r="N32" t="str">
        <x:v>SHV</x:v>
      </x:c>
      <x:c r="O32" t="str">
        <x:v>Shreveport, LA</x:v>
      </x:c>
      <x:c r="P32" t="str">
        <x:v>LA</x:v>
      </x:c>
      <x:c r="Q32" s="23" t="n">
        <x:v>14242</x:v>
      </x:c>
      <x:c r="R32" s="24" t="n">
        <x:v>0.01951973037494734</x:v>
      </x:c>
      <x:c r="S32" s="24" t="n">
        <x:v>0.001966016008987502</x:v>
      </x:c>
    </x:row>
    <x:row r="33">
      <x:c r="G33" t="str">
        <x:v>CLT-SFO</x:v>
      </x:c>
      <x:c r="H33" t="str">
        <x:v>CLT</x:v>
      </x:c>
      <x:c r="I33" t="str">
        <x:v>SFO</x:v>
      </x:c>
      <x:c r="J33" s="23" t="n">
        <x:v>4757</x:v>
      </x:c>
      <x:c r="K33" s="24" t="n">
        <x:v>0.34055076729030903</x:v>
      </x:c>
      <x:c r="L33" s="24" t="n">
        <x:v>0.008198444397729661</x:v>
      </x:c>
      <x:c r="N33" t="str">
        <x:v>GSO</x:v>
      </x:c>
      <x:c r="O33" t="str">
        <x:v>Greensboro/High Point, NC</x:v>
      </x:c>
      <x:c r="P33" t="str">
        <x:v>NC</x:v>
      </x:c>
      <x:c r="Q33" s="23" t="n">
        <x:v>33243</x:v>
      </x:c>
      <x:c r="R33" s="24" t="n">
        <x:v>0.019192010348043197</x:v>
      </x:c>
      <x:c r="S33" s="24" t="n">
        <x:v>0.0014439130042414945</x:v>
      </x:c>
    </x:row>
    <x:row r="34">
      <x:c r="G34" t="str">
        <x:v>DFW-BDL</x:v>
      </x:c>
      <x:c r="H34" t="str">
        <x:v>DFW</x:v>
      </x:c>
      <x:c r="I34" t="str">
        <x:v>BDL</x:v>
      </x:c>
      <x:c r="J34" s="23" t="n">
        <x:v>1912</x:v>
      </x:c>
      <x:c r="K34" s="24" t="n">
        <x:v>0.33838912133891214</x:v>
      </x:c>
      <x:c r="L34" s="24" t="n">
        <x:v>0.019351464435146442</x:v>
      </x:c>
      <x:c r="N34" t="str">
        <x:v>SRQ</x:v>
      </x:c>
      <x:c r="O34" t="str">
        <x:v>Sarasota/Bradenton, FL</x:v>
      </x:c>
      <x:c r="P34" t="str">
        <x:v>FL</x:v>
      </x:c>
      <x:c r="Q34" s="23" t="n">
        <x:v>49036</x:v>
      </x:c>
      <x:c r="R34" s="24" t="n">
        <x:v>0.019169589689207928</x:v>
      </x:c>
      <x:c r="S34" s="24" t="n">
        <x:v>0.0026918998286972837</x:v>
      </x:c>
    </x:row>
    <x:row r="35">
      <x:c r="G35" t="str">
        <x:v>DFW-MCO</x:v>
      </x:c>
      <x:c r="H35" t="str">
        <x:v>DFW</x:v>
      </x:c>
      <x:c r="I35" t="str">
        <x:v>MCO</x:v>
      </x:c>
      <x:c r="J35" s="23" t="n">
        <x:v>14785</x:v>
      </x:c>
      <x:c r="K35" s="24" t="n">
        <x:v>0.33642204937436593</x:v>
      </x:c>
      <x:c r="L35" s="24" t="n">
        <x:v>0.022455191072032466</x:v>
      </x:c>
      <x:c r="N35" t="str">
        <x:v>JNU</x:v>
      </x:c>
      <x:c r="O35" t="str">
        <x:v>Juneau, AK</x:v>
      </x:c>
      <x:c r="P35" t="str">
        <x:v>AK</x:v>
      </x:c>
      <x:c r="Q35" s="23" t="n">
        <x:v>14148</x:v>
      </x:c>
      <x:c r="R35" s="24" t="n">
        <x:v>0.019154650834040148</x:v>
      </x:c>
      <x:c r="S35" s="24" t="n">
        <x:v>0.004806333050607859</x:v>
      </x:c>
    </x:row>
    <x:row r="36">
      <x:c r="G36" t="str">
        <x:v>SJU-PHL</x:v>
      </x:c>
      <x:c r="H36" t="str">
        <x:v>SJU</x:v>
      </x:c>
      <x:c r="I36" t="str">
        <x:v>PHL</x:v>
      </x:c>
      <x:c r="J36" s="23" t="n">
        <x:v>4432</x:v>
      </x:c>
      <x:c r="K36" s="24" t="n">
        <x:v>0.3361913357400722</x:v>
      </x:c>
      <x:c r="L36" s="24" t="n">
        <x:v>0.018276173285198555</x:v>
      </x:c>
      <x:c r="N36" t="str">
        <x:v>HPN</x:v>
      </x:c>
      <x:c r="O36" t="str">
        <x:v>White Plains, NY</x:v>
      </x:c>
      <x:c r="P36" t="str">
        <x:v>NY</x:v>
      </x:c>
      <x:c r="Q36" s="23" t="n">
        <x:v>36041</x:v>
      </x:c>
      <x:c r="R36" s="24" t="n">
        <x:v>0.01895063954940207</x:v>
      </x:c>
      <x:c r="S36" s="24" t="n">
        <x:v>0.004328403762381732</x:v>
      </x:c>
    </x:row>
    <x:row r="37">
      <x:c r="G37" t="str">
        <x:v>DFW-SFO</x:v>
      </x:c>
      <x:c r="H37" t="str">
        <x:v>DFW</x:v>
      </x:c>
      <x:c r="I37" t="str">
        <x:v>SFO</x:v>
      </x:c>
      <x:c r="J37" s="23" t="n">
        <x:v>12063</x:v>
      </x:c>
      <x:c r="K37" s="24" t="n">
        <x:v>0.3361518693525657</x:v>
      </x:c>
      <x:c r="L37" s="24" t="n">
        <x:v>0.017242808588245048</x:v>
      </x:c>
      <x:c r="N37" t="str">
        <x:v>MOB</x:v>
      </x:c>
      <x:c r="O37" t="str">
        <x:v>Mobile, AL</x:v>
      </x:c>
      <x:c r="P37" t="str">
        <x:v>AL</x:v>
      </x:c>
      <x:c r="Q37" s="23" t="n">
        <x:v>6872</x:v>
      </x:c>
      <x:c r="R37" s="24" t="n">
        <x:v>0.01891734575087311</x:v>
      </x:c>
      <x:c r="S37" s="24" t="n">
        <x:v>0.002910360884749709</x:v>
      </x:c>
    </x:row>
    <x:row r="38">
      <x:c r="G38" t="str">
        <x:v>FLL-RIC</x:v>
      </x:c>
      <x:c r="H38" t="str">
        <x:v>FLL</x:v>
      </x:c>
      <x:c r="I38" t="str">
        <x:v>RIC</x:v>
      </x:c>
      <x:c r="J38" s="23" t="n">
        <x:v>2488</x:v>
      </x:c>
      <x:c r="K38" s="24" t="n">
        <x:v>0.33440514469453375</x:v>
      </x:c>
      <x:c r="L38" s="24" t="n">
        <x:v>0.01647909967845659</x:v>
      </x:c>
      <x:c r="N38" t="str">
        <x:v>GPT</x:v>
      </x:c>
      <x:c r="O38" t="str">
        <x:v>Gulfport/Biloxi, MS</x:v>
      </x:c>
      <x:c r="P38" t="str">
        <x:v>MS</x:v>
      </x:c>
      <x:c r="Q38" s="23" t="n">
        <x:v>9641</x:v>
      </x:c>
      <x:c r="R38" s="24" t="n">
        <x:v>0.018877709781143035</x:v>
      </x:c>
      <x:c r="S38" s="24" t="n">
        <x:v>0.0022819209625557515</x:v>
      </x:c>
    </x:row>
    <x:row r="39">
      <x:c r="G39" t="str">
        <x:v>DFW-FAT</x:v>
      </x:c>
      <x:c r="H39" t="str">
        <x:v>DFW</x:v>
      </x:c>
      <x:c r="I39" t="str">
        <x:v>FAT</x:v>
      </x:c>
      <x:c r="J39" s="23" t="n">
        <x:v>4291</x:v>
      </x:c>
      <x:c r="K39" s="24" t="n">
        <x:v>0.3341878350034957</x:v>
      </x:c>
      <x:c r="L39" s="24" t="n">
        <x:v>0.017711489163365183</x:v>
      </x:c>
      <x:c r="N39" t="str">
        <x:v>SYR</x:v>
      </x:c>
      <x:c r="O39" t="str">
        <x:v>Syracuse, NY</x:v>
      </x:c>
      <x:c r="P39" t="str">
        <x:v>NY</x:v>
      </x:c>
      <x:c r="Q39" s="23" t="n">
        <x:v>37063</x:v>
      </x:c>
      <x:c r="R39" s="24" t="n">
        <x:v>0.018805817122197338</x:v>
      </x:c>
      <x:c r="S39" s="24" t="n">
        <x:v>0.0019156571243558265</x:v>
      </x:c>
    </x:row>
    <x:row r="40">
      <x:c r="G40" t="str">
        <x:v>SAN-FLL</x:v>
      </x:c>
      <x:c r="H40" t="str">
        <x:v>SAN</x:v>
      </x:c>
      <x:c r="I40" t="str">
        <x:v>FLL</x:v>
      </x:c>
      <x:c r="J40" s="23" t="n">
        <x:v>1138</x:v>
      </x:c>
      <x:c r="K40" s="24" t="n">
        <x:v>0.3339191564147627</x:v>
      </x:c>
      <x:c r="L40" s="24" t="n">
        <x:v>0.016695957820738138</x:v>
      </x:c>
      <x:c r="N40" t="str">
        <x:v>MLI</x:v>
      </x:c>
      <x:c r="O40" t="str">
        <x:v>Moline, IL</x:v>
      </x:c>
      <x:c r="P40" t="str">
        <x:v>IL</x:v>
      </x:c>
      <x:c r="Q40" s="23" t="n">
        <x:v>11725</x:v>
      </x:c>
      <x:c r="R40" s="24" t="n">
        <x:v>0.018763326226012792</x:v>
      </x:c>
      <x:c r="S40" s="24" t="n">
        <x:v>0.00255863539445629</x:v>
      </x:c>
    </x:row>
    <x:row r="41">
      <x:c r="G41" t="str">
        <x:v>AVL-FLL</x:v>
      </x:c>
      <x:c r="H41" t="str">
        <x:v>AVL</x:v>
      </x:c>
      <x:c r="I41" t="str">
        <x:v>FLL</x:v>
      </x:c>
      <x:c r="J41" s="23" t="n">
        <x:v>1950</x:v>
      </x:c>
      <x:c r="K41" s="24" t="n">
        <x:v>0.3323076923076923</x:v>
      </x:c>
      <x:c r="L41" s="24" t="n">
        <x:v>0.017435897435897435</x:v>
      </x:c>
      <x:c r="N41" t="str">
        <x:v>CRW</x:v>
      </x:c>
      <x:c r="O41" t="str">
        <x:v>Charleston/Dunbar, WV</x:v>
      </x:c>
      <x:c r="P41" t="str">
        <x:v>WV</x:v>
      </x:c>
      <x:c r="Q41" s="23" t="n">
        <x:v>9813</x:v>
      </x:c>
      <x:c r="R41" s="24" t="n">
        <x:v>0.01834301436869459</x:v>
      </x:c>
      <x:c r="S41" s="24" t="n">
        <x:v>0.0020381127076327323</x:v>
      </x:c>
    </x:row>
    <x:row r="42">
      <x:c r="G42" t="str">
        <x:v>DFW-MKE</x:v>
      </x:c>
      <x:c r="H42" t="str">
        <x:v>DFW</x:v>
      </x:c>
      <x:c r="I42" t="str">
        <x:v>MKE</x:v>
      </x:c>
      <x:c r="J42" s="23" t="n">
        <x:v>3398</x:v>
      </x:c>
      <x:c r="K42" s="24" t="n">
        <x:v>0.33195997645673925</x:v>
      </x:c>
      <x:c r="L42" s="24" t="n">
        <x:v>0.022660388463802236</x:v>
      </x:c>
      <x:c r="N42" t="str">
        <x:v>ROC</x:v>
      </x:c>
      <x:c r="O42" t="str">
        <x:v>Rochester, NY</x:v>
      </x:c>
      <x:c r="P42" t="str">
        <x:v>NY</x:v>
      </x:c>
      <x:c r="Q42" s="23" t="n">
        <x:v>35072</x:v>
      </x:c>
      <x:c r="R42" s="24" t="n">
        <x:v>0.018219662408759125</x:v>
      </x:c>
      <x:c r="S42" s="24" t="n">
        <x:v>0.001625228102189781</x:v>
      </x:c>
    </x:row>
    <x:row r="43">
      <x:c r="G43" t="str">
        <x:v>DFW-RSW</x:v>
      </x:c>
      <x:c r="H43" t="str">
        <x:v>DFW</x:v>
      </x:c>
      <x:c r="I43" t="str">
        <x:v>RSW</x:v>
      </x:c>
      <x:c r="J43" s="23" t="n">
        <x:v>3880</x:v>
      </x:c>
      <x:c r="K43" s="24" t="n">
        <x:v>0.33118556701030927</x:v>
      </x:c>
      <x:c r="L43" s="24" t="n">
        <x:v>0.027835051546391754</x:v>
      </x:c>
      <x:c r="N43" t="str">
        <x:v>CHS</x:v>
      </x:c>
      <x:c r="O43" t="str">
        <x:v>Charleston, SC</x:v>
      </x:c>
      <x:c r="P43" t="str">
        <x:v>SC</x:v>
      </x:c>
      <x:c r="Q43" s="23" t="n">
        <x:v>74947</x:v>
      </x:c>
      <x:c r="R43" s="24" t="n">
        <x:v>0.018012728995156577</x:v>
      </x:c>
      <x:c r="S43" s="24" t="n">
        <x:v>0.0024817537726660173</x:v>
      </x:c>
    </x:row>
    <x:row r="44">
      <x:c r="G44" t="str">
        <x:v>MIA-SAN</x:v>
      </x:c>
      <x:c r="H44" t="str">
        <x:v>MIA</x:v>
      </x:c>
      <x:c r="I44" t="str">
        <x:v>SAN</x:v>
      </x:c>
      <x:c r="J44" s="23" t="n">
        <x:v>1503</x:v>
      </x:c>
      <x:c r="K44" s="24" t="n">
        <x:v>0.3306719893546241</x:v>
      </x:c>
      <x:c r="L44" s="24" t="n">
        <x:v>0.009314703925482368</x:v>
      </x:c>
      <x:c r="N44" t="str">
        <x:v>HSV</x:v>
      </x:c>
      <x:c r="O44" t="str">
        <x:v>Huntsville, AL</x:v>
      </x:c>
      <x:c r="P44" t="str">
        <x:v>AL</x:v>
      </x:c>
      <x:c r="Q44" s="23" t="n">
        <x:v>25332</x:v>
      </x:c>
      <x:c r="R44" s="24" t="n">
        <x:v>0.01788252013263856</x:v>
      </x:c>
      <x:c r="S44" s="24" t="n">
        <x:v>0.002881730617400916</x:v>
      </x:c>
    </x:row>
    <x:row r="45">
      <x:c r="G45" t="str">
        <x:v>EWR-BQN</x:v>
      </x:c>
      <x:c r="H45" t="str">
        <x:v>EWR</x:v>
      </x:c>
      <x:c r="I45" t="str">
        <x:v>BQN</x:v>
      </x:c>
      <x:c r="J45" s="23" t="n">
        <x:v>1096</x:v>
      </x:c>
      <x:c r="K45" s="24" t="n">
        <x:v>0.3302919708029197</x:v>
      </x:c>
      <x:c r="L45" s="24" t="n">
        <x:v>0.020072992700729927</x:v>
      </x:c>
      <x:c r="N45" t="str">
        <x:v>PIA</x:v>
      </x:c>
      <x:c r="O45" t="str">
        <x:v>Peoria, IL</x:v>
      </x:c>
      <x:c r="P45" t="str">
        <x:v>IL</x:v>
      </x:c>
      <x:c r="Q45" s="23" t="n">
        <x:v>12457</x:v>
      </x:c>
      <x:c r="R45" s="24" t="n">
        <x:v>0.017660752990286587</x:v>
      </x:c>
      <x:c r="S45" s="24" t="n">
        <x:v>0.0019266275989403548</x:v>
      </x:c>
    </x:row>
    <x:row r="46">
      <x:c r="G46" t="str">
        <x:v>ASE-SFO</x:v>
      </x:c>
      <x:c r="H46" t="str">
        <x:v>ASE</x:v>
      </x:c>
      <x:c r="I46" t="str">
        <x:v>SFO</x:v>
      </x:c>
      <x:c r="J46" s="23" t="n">
        <x:v>1030</x:v>
      </x:c>
      <x:c r="K46" s="24" t="n">
        <x:v>0.3300970873786408</x:v>
      </x:c>
      <x:c r="L46" s="24" t="n">
        <x:v>0.07378640776699029</x:v>
      </x:c>
      <x:c r="N46" t="str">
        <x:v>MFE</x:v>
      </x:c>
      <x:c r="O46" t="str">
        <x:v>Mission/McAllen/Edinburg, TX</x:v>
      </x:c>
      <x:c r="P46" t="str">
        <x:v>TX</x:v>
      </x:c>
      <x:c r="Q46" s="23" t="n">
        <x:v>12562</x:v>
      </x:c>
      <x:c r="R46" s="24" t="n">
        <x:v>0.017513134851138354</x:v>
      </x:c>
      <x:c r="S46" s="24" t="n">
        <x:v>0.0019901289603566313</x:v>
      </x:c>
    </x:row>
    <x:row r="47">
      <x:c r="G47" t="str">
        <x:v>CLT-SMF</x:v>
      </x:c>
      <x:c r="H47" t="str">
        <x:v>CLT</x:v>
      </x:c>
      <x:c r="I47" t="str">
        <x:v>SMF</x:v>
      </x:c>
      <x:c r="J47" s="23" t="n">
        <x:v>1218</x:v>
      </x:c>
      <x:c r="K47" s="24" t="n">
        <x:v>0.32922824302134646</x:v>
      </x:c>
      <x:c r="L47" s="24" t="n">
        <x:v>0.011494252873563218</x:v>
      </x:c>
      <x:c r="N47" t="str">
        <x:v>TPA</x:v>
      </x:c>
      <x:c r="O47" t="str">
        <x:v>Tampa, FL</x:v>
      </x:c>
      <x:c r="P47" t="str">
        <x:v>FL</x:v>
      </x:c>
      <x:c r="Q47" s="23" t="n">
        <x:v>236613</x:v>
      </x:c>
      <x:c r="R47" s="24" t="n">
        <x:v>0.017475793806764634</x:v>
      </x:c>
      <x:c r="S47" s="24" t="n">
        <x:v>0.0024723916268336904</x:v>
      </x:c>
    </x:row>
    <x:row r="48">
      <x:c r="G48" t="str">
        <x:v>FLL-PHX</x:v>
      </x:c>
      <x:c r="H48" t="str">
        <x:v>FLL</x:v>
      </x:c>
      <x:c r="I48" t="str">
        <x:v>PHX</x:v>
      </x:c>
      <x:c r="J48" s="23" t="n">
        <x:v>1082</x:v>
      </x:c>
      <x:c r="K48" s="24" t="n">
        <x:v>0.32809611829944546</x:v>
      </x:c>
      <x:c r="L48" s="24" t="n">
        <x:v>0.019408502772643253</x:v>
      </x:c>
      <x:c r="N48" t="str">
        <x:v>CLE</x:v>
      </x:c>
      <x:c r="O48" t="str">
        <x:v>Cleveland, OH</x:v>
      </x:c>
      <x:c r="P48" t="str">
        <x:v>OH</x:v>
      </x:c>
      <x:c r="Q48" s="23" t="n">
        <x:v>122733</x:v>
      </x:c>
      <x:c r="R48" s="24" t="n">
        <x:v>0.017387336739100322</x:v>
      </x:c>
      <x:c r="S48" s="24" t="n">
        <x:v>0.0018169522459322268</x:v>
      </x:c>
    </x:row>
    <x:row r="49">
      <x:c r="G49" t="str">
        <x:v>DFW-EYW</x:v>
      </x:c>
      <x:c r="H49" t="str">
        <x:v>DFW</x:v>
      </x:c>
      <x:c r="I49" t="str">
        <x:v>EYW</x:v>
      </x:c>
      <x:c r="J49" s="23" t="n">
        <x:v>1201</x:v>
      </x:c>
      <x:c r="K49" s="24" t="n">
        <x:v>0.32722731057452126</x:v>
      </x:c>
      <x:c r="L49" s="24" t="n">
        <x:v>0.019150707743547043</x:v>
      </x:c>
      <x:c r="N49" t="str">
        <x:v>AGS</x:v>
      </x:c>
      <x:c r="O49" t="str">
        <x:v>Augusta, GA</x:v>
      </x:c>
      <x:c r="P49" t="str">
        <x:v>GA</x:v>
      </x:c>
      <x:c r="Q49" s="23" t="n">
        <x:v>9962</x:v>
      </x:c>
      <x:c r="R49" s="24" t="n">
        <x:v>0.017265609315398514</x:v>
      </x:c>
      <x:c r="S49" s="24" t="n">
        <x:v>0.0012045773940975708</x:v>
      </x:c>
    </x:row>
    <x:row r="50">
      <x:c r="G50" t="str">
        <x:v>RIC-MCO</x:v>
      </x:c>
      <x:c r="H50" t="str">
        <x:v>RIC</x:v>
      </x:c>
      <x:c r="I50" t="str">
        <x:v>MCO</x:v>
      </x:c>
      <x:c r="J50" s="23" t="n">
        <x:v>2914</x:v>
      </x:c>
      <x:c r="K50" s="24" t="n">
        <x:v>0.3260123541523679</x:v>
      </x:c>
      <x:c r="L50" s="24" t="n">
        <x:v>0.016472203157172273</x:v>
      </x:c>
      <x:c r="N50" t="str">
        <x:v>TLH</x:v>
      </x:c>
      <x:c r="O50" t="str">
        <x:v>Tallahassee, FL</x:v>
      </x:c>
      <x:c r="P50" t="str">
        <x:v>FL</x:v>
      </x:c>
      <x:c r="Q50" s="23" t="n">
        <x:v>15538</x:v>
      </x:c>
      <x:c r="R50" s="24" t="n">
        <x:v>0.01724803707040803</x:v>
      </x:c>
      <x:c r="S50" s="24" t="n">
        <x:v>0.0016733170292186897</x:v>
      </x:c>
    </x:row>
    <x:row r="51">
      <x:c r="G51" t="str">
        <x:v>DFW-SAN</x:v>
      </x:c>
      <x:c r="H51" t="str">
        <x:v>DFW</x:v>
      </x:c>
      <x:c r="I51" t="str">
        <x:v>SAN</x:v>
      </x:c>
      <x:c r="J51" s="23" t="n">
        <x:v>10477</x:v>
      </x:c>
      <x:c r="K51" s="24" t="n">
        <x:v>0.325188508160733</x:v>
      </x:c>
      <x:c r="L51" s="24" t="n">
        <x:v>0.020616588718144507</x:v>
      </x:c>
      <x:c r="N51" t="str">
        <x:v>SAV</x:v>
      </x:c>
      <x:c r="O51" t="str">
        <x:v>Savannah, GA</x:v>
      </x:c>
      <x:c r="P51" t="str">
        <x:v>GA</x:v>
      </x:c>
      <x:c r="Q51" s="23" t="n">
        <x:v>55876</x:v>
      </x:c>
      <x:c r="R51" s="24" t="n">
        <x:v>0.01716300379411554</x:v>
      </x:c>
      <x:c r="S51" s="24" t="n">
        <x:v>0.002362373827761472</x:v>
      </x:c>
    </x:row>
    <x:row r="52">
      <x:c r="G52" t="str">
        <x:v>FLL-AUS</x:v>
      </x:c>
      <x:c r="H52" t="str">
        <x:v>FLL</x:v>
      </x:c>
      <x:c r="I52" t="str">
        <x:v>AUS</x:v>
      </x:c>
      <x:c r="J52" s="23" t="n">
        <x:v>3040</x:v>
      </x:c>
      <x:c r="K52" s="24" t="n">
        <x:v>0.32335526315789476</x:v>
      </x:c>
      <x:c r="L52" s="24" t="n">
        <x:v>0.012171052631578947</x:v>
      </x:c>
      <x:c r="N52" t="str">
        <x:v>HDN</x:v>
      </x:c>
      <x:c r="O52" t="str">
        <x:v>Hayden, CO</x:v>
      </x:c>
      <x:c r="P52" t="str">
        <x:v>CO</x:v>
      </x:c>
      <x:c r="Q52" s="23" t="n">
        <x:v>7183</x:v>
      </x:c>
      <x:c r="R52" s="24" t="n">
        <x:v>0.017123764443825698</x:v>
      </x:c>
      <x:c r="S52" s="24" t="n">
        <x:v>0.002505916747876932</x:v>
      </x:c>
    </x:row>
    <x:row r="53">
      <x:c r="G53" t="str">
        <x:v>FLL-RDU</x:v>
      </x:c>
      <x:c r="H53" t="str">
        <x:v>FLL</x:v>
      </x:c>
      <x:c r="I53" t="str">
        <x:v>RDU</x:v>
      </x:c>
      <x:c r="J53" s="23" t="n">
        <x:v>4093</x:v>
      </x:c>
      <x:c r="K53" s="24" t="n">
        <x:v>0.32323479110676767</x:v>
      </x:c>
      <x:c r="L53" s="24" t="n">
        <x:v>0.012704617639872955</x:v>
      </x:c>
      <x:c r="N53" t="str">
        <x:v>BQN</x:v>
      </x:c>
      <x:c r="O53" t="str">
        <x:v>Aguadilla, PR</x:v>
      </x:c>
      <x:c r="P53" t="str">
        <x:v>PR</x:v>
      </x:c>
      <x:c r="Q53" s="23" t="n">
        <x:v>7641</x:v>
      </x:c>
      <x:c r="R53" s="24" t="n">
        <x:v>0.017013479911006414</x:v>
      </x:c>
      <x:c r="S53" s="24" t="n">
        <x:v>0.0039261876717707105</x:v>
      </x:c>
    </x:row>
    <x:row r="54">
      <x:c r="G54" t="str">
        <x:v>BWI-SJU</x:v>
      </x:c>
      <x:c r="H54" t="str">
        <x:v>BWI</x:v>
      </x:c>
      <x:c r="I54" t="str">
        <x:v>SJU</x:v>
      </x:c>
      <x:c r="J54" s="23" t="n">
        <x:v>4056</x:v>
      </x:c>
      <x:c r="K54" s="24" t="n">
        <x:v>0.32322485207100593</x:v>
      </x:c>
      <x:c r="L54" s="24" t="n">
        <x:v>0.013560157790927022</x:v>
      </x:c>
      <x:c r="N54" t="str">
        <x:v>FLG</x:v>
      </x:c>
      <x:c r="O54" t="str">
        <x:v>Flagstaff, AZ</x:v>
      </x:c>
      <x:c r="P54" t="str">
        <x:v>AZ</x:v>
      </x:c>
      <x:c r="Q54" s="23" t="n">
        <x:v>5233</x:v>
      </x:c>
      <x:c r="R54" s="24" t="n">
        <x:v>0.017007452703993883</x:v>
      </x:c>
      <x:c r="S54" s="24" t="n">
        <x:v>0.0021020447162239633</x:v>
      </x:c>
    </x:row>
    <x:row r="55">
      <x:c r="G55" t="str">
        <x:v>DFW-GSO</x:v>
      </x:c>
      <x:c r="H55" t="str">
        <x:v>DFW</x:v>
      </x:c>
      <x:c r="I55" t="str">
        <x:v>GSO</x:v>
      </x:c>
      <x:c r="J55" s="23" t="n">
        <x:v>2600</x:v>
      </x:c>
      <x:c r="K55" s="24" t="n">
        <x:v>0.3230769230769231</x:v>
      </x:c>
      <x:c r="L55" s="24" t="n">
        <x:v>0.02346153846153846</x:v>
      </x:c>
      <x:c r="N55" t="str">
        <x:v>PHL</x:v>
      </x:c>
      <x:c r="O55" t="str">
        <x:v>Philadelphia, PA</x:v>
      </x:c>
      <x:c r="P55" t="str">
        <x:v>PA</x:v>
      </x:c>
      <x:c r="Q55" s="23" t="n">
        <x:v>288225</x:v>
      </x:c>
      <x:c r="R55" s="24" t="n">
        <x:v>0.01695550351288056</x:v>
      </x:c>
      <x:c r="S55" s="24" t="n">
        <x:v>0.002508456934686443</x:v>
      </x:c>
    </x:row>
    <x:row r="56">
      <x:c r="G56" t="str">
        <x:v>FLL-JAX</x:v>
      </x:c>
      <x:c r="H56" t="str">
        <x:v>FLL</x:v>
      </x:c>
      <x:c r="I56" t="str">
        <x:v>JAX</x:v>
      </x:c>
      <x:c r="J56" s="23" t="n">
        <x:v>1246</x:v>
      </x:c>
      <x:c r="K56" s="24" t="n">
        <x:v>0.32263242375601925</x:v>
      </x:c>
      <x:c r="L56" s="24" t="n">
        <x:v>0.024879614767255216</x:v>
      </x:c>
      <x:c r="N56" t="str">
        <x:v>EYW</x:v>
      </x:c>
      <x:c r="O56" t="str">
        <x:v>Key West, FL</x:v>
      </x:c>
      <x:c r="P56" t="str">
        <x:v>FL</x:v>
      </x:c>
      <x:c r="Q56" s="23" t="n">
        <x:v>22604</x:v>
      </x:c>
      <x:c r="R56" s="24" t="n">
        <x:v>0.016943903733852416</x:v>
      </x:c>
      <x:c r="S56" s="24" t="n">
        <x:v>0.010396390019465582</x:v>
      </x:c>
    </x:row>
    <x:row r="57">
      <x:c r="G57" t="str">
        <x:v>DFW-ANC</x:v>
      </x:c>
      <x:c r="H57" t="str">
        <x:v>DFW</x:v>
      </x:c>
      <x:c r="I57" t="str">
        <x:v>ANC</x:v>
      </x:c>
      <x:c r="J57" s="23" t="n">
        <x:v>1101</x:v>
      </x:c>
      <x:c r="K57" s="24" t="n">
        <x:v>0.3224341507720254</x:v>
      </x:c>
      <x:c r="L57" s="24" t="n">
        <x:v>0.0027247956403269754</x:v>
      </x:c>
      <x:c r="N57" t="str">
        <x:v>RIC</x:v>
      </x:c>
      <x:c r="O57" t="str">
        <x:v>Richmond, VA</x:v>
      </x:c>
      <x:c r="P57" t="str">
        <x:v>VA</x:v>
      </x:c>
      <x:c r="Q57" s="23" t="n">
        <x:v>54932</x:v>
      </x:c>
      <x:c r="R57" s="24" t="n">
        <x:v>0.016893613922668027</x:v>
      </x:c>
      <x:c r="S57" s="24" t="n">
        <x:v>0.0022391320177674217</x:v>
      </x:c>
    </x:row>
    <x:row r="58">
      <x:c r="G58" t="str">
        <x:v>DFW-SBA</x:v>
      </x:c>
      <x:c r="H58" t="str">
        <x:v>DFW</x:v>
      </x:c>
      <x:c r="I58" t="str">
        <x:v>SBA</x:v>
      </x:c>
      <x:c r="J58" s="23" t="n">
        <x:v>1492</x:v>
      </x:c>
      <x:c r="K58" s="24" t="n">
        <x:v>0.32171581769436997</x:v>
      </x:c>
      <x:c r="L58" s="24" t="n">
        <x:v>0.01943699731903485</x:v>
      </x:c>
      <x:c r="N58" t="str">
        <x:v>HRL</x:v>
      </x:c>
      <x:c r="O58" t="str">
        <x:v>Harlingen/San Benito, TX</x:v>
      </x:c>
      <x:c r="P58" t="str">
        <x:v>TX</x:v>
      </x:c>
      <x:c r="Q58" s="23" t="n">
        <x:v>12392</x:v>
      </x:c>
      <x:c r="R58" s="24" t="n">
        <x:v>0.016865719819238217</x:v>
      </x:c>
      <x:c r="S58" s="24" t="n">
        <x:v>0.001856036152356359</x:v>
      </x:c>
    </x:row>
    <x:row r="59">
      <x:c r="G59" t="str">
        <x:v>DEN-ORF</x:v>
      </x:c>
      <x:c r="H59" t="str">
        <x:v>DEN</x:v>
      </x:c>
      <x:c r="I59" t="str">
        <x:v>ORF</x:v>
      </x:c>
      <x:c r="J59" s="23" t="n">
        <x:v>1729</x:v>
      </x:c>
      <x:c r="K59" s="24" t="n">
        <x:v>0.32041642567958356</x:v>
      </x:c>
      <x:c r="L59" s="24" t="n">
        <x:v>0.01735106998264893</x:v>
      </x:c>
      <x:c r="N59" t="str">
        <x:v>PNS</x:v>
      </x:c>
      <x:c r="O59" t="str">
        <x:v>Pensacola, FL</x:v>
      </x:c>
      <x:c r="P59" t="str">
        <x:v>FL</x:v>
      </x:c>
      <x:c r="Q59" s="23" t="n">
        <x:v>38693</x:v>
      </x:c>
      <x:c r="R59" s="24" t="n">
        <x:v>0.016721370790582276</x:v>
      </x:c>
      <x:c r="S59" s="24" t="n">
        <x:v>0.0026619802031375185</x:v>
      </x:c>
    </x:row>
    <x:row r="60">
      <x:c r="G60" t="str">
        <x:v>FLL-PIT</x:v>
      </x:c>
      <x:c r="H60" t="str">
        <x:v>FLL</x:v>
      </x:c>
      <x:c r="I60" t="str">
        <x:v>PIT</x:v>
      </x:c>
      <x:c r="J60" s="23" t="n">
        <x:v>3136</x:v>
      </x:c>
      <x:c r="K60" s="24" t="n">
        <x:v>0.3201530612244898</x:v>
      </x:c>
      <x:c r="L60" s="24" t="n">
        <x:v>0.012436224489795918</x:v>
      </x:c>
      <x:c r="N60" t="str">
        <x:v>RSW</x:v>
      </x:c>
      <x:c r="O60" t="str">
        <x:v>Fort Myers, FL</x:v>
      </x:c>
      <x:c r="P60" t="str">
        <x:v>FL</x:v>
      </x:c>
      <x:c r="Q60" s="23" t="n">
        <x:v>103163</x:v>
      </x:c>
      <x:c r="R60" s="24" t="n">
        <x:v>0.016711417853300117</x:v>
      </x:c>
      <x:c r="S60" s="24" t="n">
        <x:v>0.0027432315849674786</x:v>
      </x:c>
    </x:row>
    <x:row r="61">
      <x:c r="G61" t="str">
        <x:v>DFW-GRR</x:v>
      </x:c>
      <x:c r="H61" t="str">
        <x:v>DFW</x:v>
      </x:c>
      <x:c r="I61" t="str">
        <x:v>GRR</x:v>
      </x:c>
      <x:c r="J61" s="23" t="n">
        <x:v>3224</x:v>
      </x:c>
      <x:c r="K61" s="24" t="n">
        <x:v>0.3197890818858561</x:v>
      </x:c>
      <x:c r="L61" s="24" t="n">
        <x:v>0.019230769230769232</x:v>
      </x:c>
      <x:c r="N61" t="str">
        <x:v>CRP</x:v>
      </x:c>
      <x:c r="O61" t="str">
        <x:v>Corpus Christi, TX</x:v>
      </x:c>
      <x:c r="P61" t="str">
        <x:v>TX</x:v>
      </x:c>
      <x:c r="Q61" s="23" t="n">
        <x:v>11543</x:v>
      </x:c>
      <x:c r="R61" s="24" t="n">
        <x:v>0.016546824915533224</x:v>
      </x:c>
      <x:c r="S61" s="24" t="n">
        <x:v>0.0014727540500736377</x:v>
      </x:c>
    </x:row>
    <x:row r="62">
      <x:c r="G62" t="str">
        <x:v>EYW-PHL</x:v>
      </x:c>
      <x:c r="H62" t="str">
        <x:v>EYW</x:v>
      </x:c>
      <x:c r="I62" t="str">
        <x:v>PHL</x:v>
      </x:c>
      <x:c r="J62" s="23" t="n">
        <x:v>1294</x:v>
      </x:c>
      <x:c r="K62" s="24" t="n">
        <x:v>0.31916537867078826</x:v>
      </x:c>
      <x:c r="L62" s="24" t="n">
        <x:v>0.019319938176197836</x:v>
      </x:c>
      <x:c r="N62" t="str">
        <x:v>AVP</x:v>
      </x:c>
      <x:c r="O62" t="str">
        <x:v>Scranton/Wilkes-Barre, PA</x:v>
      </x:c>
      <x:c r="P62" t="str">
        <x:v>PA</x:v>
      </x:c>
      <x:c r="Q62" s="23" t="n">
        <x:v>5169</x:v>
      </x:c>
      <x:c r="R62" s="24" t="n">
        <x:v>0.01644418649642097</x:v>
      </x:c>
      <x:c r="S62" s="24" t="n">
        <x:v>0.002901915264074289</x:v>
      </x:c>
    </x:row>
    <x:row r="63">
      <x:c r="G63" t="str">
        <x:v>DFW-SMF</x:v>
      </x:c>
      <x:c r="H63" t="str">
        <x:v>DFW</x:v>
      </x:c>
      <x:c r="I63" t="str">
        <x:v>SMF</x:v>
      </x:c>
      <x:c r="J63" s="23" t="n">
        <x:v>5189</x:v>
      </x:c>
      <x:c r="K63" s="24" t="n">
        <x:v>0.3191366351898246</x:v>
      </x:c>
      <x:c r="L63" s="24" t="n">
        <x:v>0.019464251300828676</x:v>
      </x:c>
      <x:c r="N63" t="str">
        <x:v>BOS</x:v>
      </x:c>
      <x:c r="O63" t="str">
        <x:v>Boston, MA</x:v>
      </x:c>
      <x:c r="P63" t="str">
        <x:v>MA</x:v>
      </x:c>
      <x:c r="Q63" s="23" t="n">
        <x:v>426866</x:v>
      </x:c>
      <x:c r="R63" s="24" t="n">
        <x:v>0.016422015339708478</x:v>
      </x:c>
      <x:c r="S63" s="24" t="n">
        <x:v>0.0027104524604911143</x:v>
      </x:c>
    </x:row>
    <x:row r="64">
      <x:c r="G64" t="str">
        <x:v>FLL-AVL</x:v>
      </x:c>
      <x:c r="H64" t="str">
        <x:v>FLL</x:v>
      </x:c>
      <x:c r="I64" t="str">
        <x:v>AVL</x:v>
      </x:c>
      <x:c r="J64" s="23" t="n">
        <x:v>1950</x:v>
      </x:c>
      <x:c r="K64" s="24" t="n">
        <x:v>0.318974358974359</x:v>
      </x:c>
      <x:c r="L64" s="24" t="n">
        <x:v>0.016923076923076923</x:v>
      </x:c>
      <x:c r="N64" t="str">
        <x:v>TVC</x:v>
      </x:c>
      <x:c r="O64" t="str">
        <x:v>Traverse City, MI</x:v>
      </x:c>
      <x:c r="P64" t="str">
        <x:v>MI</x:v>
      </x:c>
      <x:c r="Q64" s="23" t="n">
        <x:v>13233</x:v>
      </x:c>
      <x:c r="R64" s="24" t="n">
        <x:v>0.016398397944532607</x:v>
      </x:c>
      <x:c r="S64" s="24" t="n">
        <x:v>0.0024181969319126426</x:v>
      </x:c>
    </x:row>
    <x:row r="65">
      <x:c r="G65" t="str">
        <x:v>CLT-PDX</x:v>
      </x:c>
      <x:c r="H65" t="str">
        <x:v>CLT</x:v>
      </x:c>
      <x:c r="I65" t="str">
        <x:v>PDX</x:v>
      </x:c>
      <x:c r="J65" s="23" t="n">
        <x:v>1163</x:v>
      </x:c>
      <x:c r="K65" s="24" t="n">
        <x:v>0.3181427343078246</x:v>
      </x:c>
      <x:c r="L65" s="24" t="n">
        <x:v>0.009458297506448839</x:v>
      </x:c>
      <x:c r="N65" t="str">
        <x:v>XWA</x:v>
      </x:c>
      <x:c r="O65" t="str">
        <x:v>Williston, ND</x:v>
      </x:c>
      <x:c r="P65" t="str">
        <x:v>ND</x:v>
      </x:c>
      <x:c r="Q65" s="23" t="n">
        <x:v>6035</x:v>
      </x:c>
      <x:c r="R65" s="24" t="n">
        <x:v>0.01623860811930406</x:v>
      </x:c>
      <x:c r="S65" s="24" t="n">
        <x:v>0.005468102734051367</x:v>
      </x:c>
    </x:row>
    <x:row r="66">
      <x:c r="G66" t="str">
        <x:v>FLL-BQN</x:v>
      </x:c>
      <x:c r="H66" t="str">
        <x:v>FLL</x:v>
      </x:c>
      <x:c r="I66" t="str">
        <x:v>BQN</x:v>
      </x:c>
      <x:c r="J66" s="23" t="n">
        <x:v>1116</x:v>
      </x:c>
      <x:c r="K66" s="24" t="n">
        <x:v>0.31810035842293904</x:v>
      </x:c>
      <x:c r="L66" s="24" t="n">
        <x:v>0.010752688172043012</x:v>
      </x:c>
      <x:c r="N66" t="str">
        <x:v>ACV</x:v>
      </x:c>
      <x:c r="O66" t="str">
        <x:v>Arcata/Eureka, CA</x:v>
      </x:c>
      <x:c r="P66" t="str">
        <x:v>CA</x:v>
      </x:c>
      <x:c r="Q66" s="23" t="n">
        <x:v>5387</x:v>
      </x:c>
      <x:c r="R66" s="24" t="n">
        <x:v>0.016149990718396137</x:v>
      </x:c>
      <x:c r="S66" s="24" t="n">
        <x:v>0.00315574531279005</x:v>
      </x:c>
    </x:row>
    <x:row r="67">
      <x:c r="G67" t="str">
        <x:v>IAH-DSM</x:v>
      </x:c>
      <x:c r="H67" t="str">
        <x:v>IAH</x:v>
      </x:c>
      <x:c r="I67" t="str">
        <x:v>DSM</x:v>
      </x:c>
      <x:c r="J67" s="23" t="n">
        <x:v>1230</x:v>
      </x:c>
      <x:c r="K67" s="24" t="n">
        <x:v>0.3178861788617886</x:v>
      </x:c>
      <x:c r="L67" s="24" t="n">
        <x:v>0.015447154471544716</x:v>
      </x:c>
      <x:c r="N67" t="str">
        <x:v>RAP</x:v>
      </x:c>
      <x:c r="O67" t="str">
        <x:v>Rapid City, SD</x:v>
      </x:c>
      <x:c r="P67" t="str">
        <x:v>SD</x:v>
      </x:c>
      <x:c r="Q67" s="23" t="n">
        <x:v>14592</x:v>
      </x:c>
      <x:c r="R67" s="24" t="n">
        <x:v>0.0161047149122807</x:v>
      </x:c>
      <x:c r="S67" s="24" t="n">
        <x:v>0.003769188596491228</x:v>
      </x:c>
    </x:row>
    <x:row r="68">
      <x:c r="G68" t="str">
        <x:v>MIA-RIC</x:v>
      </x:c>
      <x:c r="H68" t="str">
        <x:v>MIA</x:v>
      </x:c>
      <x:c r="I68" t="str">
        <x:v>RIC</x:v>
      </x:c>
      <x:c r="J68" s="23" t="n">
        <x:v>1256</x:v>
      </x:c>
      <x:c r="K68" s="24" t="n">
        <x:v>0.3176751592356688</x:v>
      </x:c>
      <x:c r="L68" s="24" t="n">
        <x:v>0.010350318471337579</x:v>
      </x:c>
      <x:c r="N68" t="str">
        <x:v>ALB</x:v>
      </x:c>
      <x:c r="O68" t="str">
        <x:v>Albany, NY</x:v>
      </x:c>
      <x:c r="P68" t="str">
        <x:v>NY</x:v>
      </x:c>
      <x:c r="Q68" s="23" t="n">
        <x:v>36528</x:v>
      </x:c>
      <x:c r="R68" s="24" t="n">
        <x:v>0.016042487954445905</x:v>
      </x:c>
      <x:c r="S68" s="24" t="n">
        <x:v>0.003148269820411739</x:v>
      </x:c>
    </x:row>
    <x:row r="69">
      <x:c r="G69" t="str">
        <x:v>BOS-PBI</x:v>
      </x:c>
      <x:c r="H69" t="str">
        <x:v>BOS</x:v>
      </x:c>
      <x:c r="I69" t="str">
        <x:v>PBI</x:v>
      </x:c>
      <x:c r="J69" s="23" t="n">
        <x:v>5999</x:v>
      </x:c>
      <x:c r="K69" s="24" t="n">
        <x:v>0.31755292548758124</x:v>
      </x:c>
      <x:c r="L69" s="24" t="n">
        <x:v>0.012668778129688281</x:v>
      </x:c>
      <x:c r="N69" t="str">
        <x:v>PBI</x:v>
      </x:c>
      <x:c r="O69" t="str">
        <x:v>West Palm Beach/Palm Beach, FL</x:v>
      </x:c>
      <x:c r="P69" t="str">
        <x:v>FL</x:v>
      </x:c>
      <x:c r="Q69" s="23" t="n">
        <x:v>87356</x:v>
      </x:c>
      <x:c r="R69" s="24" t="n">
        <x:v>0.0160034800128211</x:v>
      </x:c>
      <x:c r="S69" s="24" t="n">
        <x:v>0.003514355052887037</x:v>
      </x:c>
    </x:row>
    <x:row r="70">
      <x:c r="G70" t="str">
        <x:v>FLL-PVD</x:v>
      </x:c>
      <x:c r="H70" t="str">
        <x:v>FLL</x:v>
      </x:c>
      <x:c r="I70" t="str">
        <x:v>PVD</x:v>
      </x:c>
      <x:c r="J70" s="23" t="n">
        <x:v>1518</x:v>
      </x:c>
      <x:c r="K70" s="24" t="n">
        <x:v>0.31752305665349145</x:v>
      </x:c>
      <x:c r="L70" s="24" t="n">
        <x:v>0.014492753623188406</x:v>
      </x:c>
      <x:c r="N70" t="str">
        <x:v>DSM</x:v>
      </x:c>
      <x:c r="O70" t="str">
        <x:v>Des Moines, IA</x:v>
      </x:c>
      <x:c r="P70" t="str">
        <x:v>IA</x:v>
      </x:c>
      <x:c r="Q70" s="23" t="n">
        <x:v>44690</x:v>
      </x:c>
      <x:c r="R70" s="24" t="n">
        <x:v>0.015909599462967106</x:v>
      </x:c>
      <x:c r="S70" s="24" t="n">
        <x:v>0.002170507943611546</x:v>
      </x:c>
    </x:row>
    <x:row r="71">
      <x:c r="G71" t="str">
        <x:v>DEN-RIC</x:v>
      </x:c>
      <x:c r="H71" t="str">
        <x:v>DEN</x:v>
      </x:c>
      <x:c r="I71" t="str">
        <x:v>RIC</x:v>
      </x:c>
      <x:c r="J71" s="23" t="n">
        <x:v>2142</x:v>
      </x:c>
      <x:c r="K71" s="24" t="n">
        <x:v>0.31746031746031744</x:v>
      </x:c>
      <x:c r="L71" s="24" t="n">
        <x:v>0.005135387488328665</x:v>
      </x:c>
      <x:c r="N71" t="str">
        <x:v>PVD</x:v>
      </x:c>
      <x:c r="O71" t="str">
        <x:v>Providence, RI</x:v>
      </x:c>
      <x:c r="P71" t="str">
        <x:v>RI</x:v>
      </x:c>
      <x:c r="Q71" s="23" t="n">
        <x:v>44751</x:v>
      </x:c>
      <x:c r="R71" s="24" t="n">
        <x:v>0.015798529641795712</x:v>
      </x:c>
      <x:c r="S71" s="24" t="n">
        <x:v>0.0024356997608991978</x:v>
      </x:c>
    </x:row>
    <x:row r="72">
      <x:c r="G72" t="str">
        <x:v>ORD-ASE</x:v>
      </x:c>
      <x:c r="H72" t="str">
        <x:v>ORD</x:v>
      </x:c>
      <x:c r="I72" t="str">
        <x:v>ASE</x:v>
      </x:c>
      <x:c r="J72" s="23" t="n">
        <x:v>2797</x:v>
      </x:c>
      <x:c r="K72" s="24" t="n">
        <x:v>0.31712549159814085</x:v>
      </x:c>
      <x:c r="L72" s="24" t="n">
        <x:v>0.02860207365033965</x:v>
      </x:c>
      <x:c r="N72" t="str">
        <x:v>ICT</x:v>
      </x:c>
      <x:c r="O72" t="str">
        <x:v>Wichita, KS</x:v>
      </x:c>
      <x:c r="P72" t="str">
        <x:v>KS</x:v>
      </x:c>
      <x:c r="Q72" s="23" t="n">
        <x:v>30035</x:v>
      </x:c>
      <x:c r="R72" s="24" t="n">
        <x:v>0.015781588147161643</x:v>
      </x:c>
      <x:c r="S72" s="24" t="n">
        <x:v>0.001997669385716664</x:v>
      </x:c>
    </x:row>
    <x:row r="73">
      <x:c r="G73" t="str">
        <x:v>ORD-HSV</x:v>
      </x:c>
      <x:c r="H73" t="str">
        <x:v>ORD</x:v>
      </x:c>
      <x:c r="I73" t="str">
        <x:v>HSV</x:v>
      </x:c>
      <x:c r="J73" s="23" t="n">
        <x:v>2571</x:v>
      </x:c>
      <x:c r="K73" s="24" t="n">
        <x:v>0.3166083236094905</x:v>
      </x:c>
      <x:c r="L73" s="24" t="n">
        <x:v>0.014780241151302996</x:v>
      </x:c>
      <x:c r="N73" t="str">
        <x:v>FLL</x:v>
      </x:c>
      <x:c r="O73" t="str">
        <x:v>Fort Lauderdale, FL</x:v>
      </x:c>
      <x:c r="P73" t="str">
        <x:v>FL</x:v>
      </x:c>
      <x:c r="Q73" s="23" t="n">
        <x:v>269310</x:v>
      </x:c>
      <x:c r="R73" s="24" t="n">
        <x:v>0.015736511826519625</x:v>
      </x:c>
      <x:c r="S73" s="24" t="n">
        <x:v>0.0029705543797111135</x:v>
      </x:c>
    </x:row>
    <x:row r="74">
      <x:c r="G74" t="str">
        <x:v>DFW-CAE</x:v>
      </x:c>
      <x:c r="H74" t="str">
        <x:v>DFW</x:v>
      </x:c>
      <x:c r="I74" t="str">
        <x:v>CAE</x:v>
      </x:c>
      <x:c r="J74" s="23" t="n">
        <x:v>2301</x:v>
      </x:c>
      <x:c r="K74" s="24" t="n">
        <x:v>0.3163841807909605</x:v>
      </x:c>
      <x:c r="L74" s="24" t="n">
        <x:v>0.02564102564102564</x:v>
      </x:c>
      <x:c r="N74" t="str">
        <x:v>GSP</x:v>
      </x:c>
      <x:c r="O74" t="str">
        <x:v>Greer, SC</x:v>
      </x:c>
      <x:c r="P74" t="str">
        <x:v>SC</x:v>
      </x:c>
      <x:c r="Q74" s="23" t="n">
        <x:v>43958</x:v>
      </x:c>
      <x:c r="R74" s="24" t="n">
        <x:v>0.01571955048000364</x:v>
      </x:c>
      <x:c r="S74" s="24" t="n">
        <x:v>0.002365894717685063</x:v>
      </x:c>
    </x:row>
    <x:row r="75">
      <x:c r="G75" t="str">
        <x:v>DFW-DSM</x:v>
      </x:c>
      <x:c r="H75" t="str">
        <x:v>DFW</x:v>
      </x:c>
      <x:c r="I75" t="str">
        <x:v>DSM</x:v>
      </x:c>
      <x:c r="J75" s="23" t="n">
        <x:v>3730</x:v>
      </x:c>
      <x:c r="K75" s="24" t="n">
        <x:v>0.3163538873994638</x:v>
      </x:c>
      <x:c r="L75" s="24" t="n">
        <x:v>0.024664879356568366</x:v>
      </x:c>
      <x:c r="N75" t="str">
        <x:v>RDU</x:v>
      </x:c>
      <x:c r="O75" t="str">
        <x:v>Raleigh/Durham, NC</x:v>
      </x:c>
      <x:c r="P75" t="str">
        <x:v>NC</x:v>
      </x:c>
      <x:c r="Q75" s="23" t="n">
        <x:v>176115</x:v>
      </x:c>
      <x:c r="R75" s="24" t="n">
        <x:v>0.01568293444624251</x:v>
      </x:c>
      <x:c r="S75" s="24" t="n">
        <x:v>0.0020725094398546403</x:v>
      </x:c>
    </x:row>
    <x:row r="76">
      <x:c r="G76" t="str">
        <x:v>IAH-ASE</x:v>
      </x:c>
      <x:c r="H76" t="str">
        <x:v>IAH</x:v>
      </x:c>
      <x:c r="I76" t="str">
        <x:v>ASE</x:v>
      </x:c>
      <x:c r="J76" s="23" t="n">
        <x:v>1748</x:v>
      </x:c>
      <x:c r="K76" s="24" t="n">
        <x:v>0.3157894736842105</x:v>
      </x:c>
      <x:c r="L76" s="24" t="n">
        <x:v>0.05205949656750572</x:v>
      </x:c>
      <x:c r="N76" t="str">
        <x:v>DAB</x:v>
      </x:c>
      <x:c r="O76" t="str">
        <x:v>Daytona Beach, FL</x:v>
      </x:c>
      <x:c r="P76" t="str">
        <x:v>FL</x:v>
      </x:c>
      <x:c r="Q76" s="23" t="n">
        <x:v>8753</x:v>
      </x:c>
      <x:c r="R76" s="24" t="n">
        <x:v>0.015651776533759855</x:v>
      </x:c>
      <x:c r="S76" s="24" t="n">
        <x:v>0.002970410145093111</x:v>
      </x:c>
    </x:row>
    <x:row r="77">
      <x:c r="G77" t="str">
        <x:v>MIA-IND</x:v>
      </x:c>
      <x:c r="H77" t="str">
        <x:v>MIA</x:v>
      </x:c>
      <x:c r="I77" t="str">
        <x:v>IND</x:v>
      </x:c>
      <x:c r="J77" s="23" t="n">
        <x:v>2454</x:v>
      </x:c>
      <x:c r="K77" s="24" t="n">
        <x:v>0.3149959250203749</x:v>
      </x:c>
      <x:c r="L77" s="24" t="n">
        <x:v>0.011002444987775062</x:v>
      </x:c>
      <x:c r="N77" t="str">
        <x:v>JAX</x:v>
      </x:c>
      <x:c r="O77" t="str">
        <x:v>Jacksonville, FL</x:v>
      </x:c>
      <x:c r="P77" t="str">
        <x:v>FL</x:v>
      </x:c>
      <x:c r="Q77" s="23" t="n">
        <x:v>87003</x:v>
      </x:c>
      <x:c r="R77" s="24" t="n">
        <x:v>0.015620151029274852</x:v>
      </x:c>
      <x:c r="S77" s="24" t="n">
        <x:v>0.0025516361504775696</x:v>
      </x:c>
    </x:row>
    <x:row r="78">
      <x:c r="G78" t="str">
        <x:v>FCA-ORD</x:v>
      </x:c>
      <x:c r="H78" t="str">
        <x:v>FCA</x:v>
      </x:c>
      <x:c r="I78" t="str">
        <x:v>ORD</x:v>
      </x:c>
      <x:c r="J78" s="23" t="n">
        <x:v>1140</x:v>
      </x:c>
      <x:c r="K78" s="24" t="n">
        <x:v>0.31491228070175437</x:v>
      </x:c>
      <x:c r="L78" s="24" t="n">
        <x:v>0.007017543859649123</x:v>
      </x:c>
      <x:c r="N78" t="str">
        <x:v>ACY</x:v>
      </x:c>
      <x:c r="O78" t="str">
        <x:v>Atlantic City, NJ</x:v>
      </x:c>
      <x:c r="P78" t="str">
        <x:v>NJ</x:v>
      </x:c>
      <x:c r="Q78" s="23" t="n">
        <x:v>8756</x:v>
      </x:c>
      <x:c r="R78" s="24" t="n">
        <x:v>0.015532206486980357</x:v>
      </x:c>
      <x:c r="S78" s="24" t="n">
        <x:v>0.0029693924166285975</x:v>
      </x:c>
    </x:row>
    <x:row r="79">
      <x:c r="G79" t="str">
        <x:v>DFW-ECP</x:v>
      </x:c>
      <x:c r="H79" t="str">
        <x:v>DFW</x:v>
      </x:c>
      <x:c r="I79" t="str">
        <x:v>ECP</x:v>
      </x:c>
      <x:c r="J79" s="23" t="n">
        <x:v>3166</x:v>
      </x:c>
      <x:c r="K79" s="24" t="n">
        <x:v>0.3145925457991156</x:v>
      </x:c>
      <x:c r="L79" s="24" t="n">
        <x:v>0.021794061907770057</x:v>
      </x:c>
      <x:c r="N79" t="str">
        <x:v>GNV</x:v>
      </x:c>
      <x:c r="O79" t="str">
        <x:v>Gainesville, FL</x:v>
      </x:c>
      <x:c r="P79" t="str">
        <x:v>FL</x:v>
      </x:c>
      <x:c r="Q79" s="23" t="n">
        <x:v>8570</x:v>
      </x:c>
      <x:c r="R79" s="24" t="n">
        <x:v>0.015519253208868145</x:v>
      </x:c>
      <x:c r="S79" s="24" t="n">
        <x:v>0.0022170361726954494</x:v>
      </x:c>
    </x:row>
    <x:row r="80">
      <x:c r="G80" t="str">
        <x:v>MIA-SAT</x:v>
      </x:c>
      <x:c r="H80" t="str">
        <x:v>MIA</x:v>
      </x:c>
      <x:c r="I80" t="str">
        <x:v>SAT</x:v>
      </x:c>
      <x:c r="J80" s="23" t="n">
        <x:v>1517</x:v>
      </x:c>
      <x:c r="K80" s="24" t="n">
        <x:v>0.31443638760711934</x:v>
      </x:c>
      <x:c r="L80" s="24" t="n">
        <x:v>0.016479894528675015</x:v>
      </x:c>
      <x:c r="N80" t="str">
        <x:v>AMA</x:v>
      </x:c>
      <x:c r="O80" t="str">
        <x:v>Amarillo, TX</x:v>
      </x:c>
      <x:c r="P80" t="str">
        <x:v>TX</x:v>
      </x:c>
      <x:c r="Q80" s="23" t="n">
        <x:v>15593</x:v>
      </x:c>
      <x:c r="R80" s="24" t="n">
        <x:v>0.015391521836721605</x:v>
      </x:c>
      <x:c r="S80" s="24" t="n">
        <x:v>0.0028859103443853013</x:v>
      </x:c>
    </x:row>
    <x:row r="81">
      <x:c r="G81" t="str">
        <x:v>DFW-MSY</x:v>
      </x:c>
      <x:c r="H81" t="str">
        <x:v>DFW</x:v>
      </x:c>
      <x:c r="I81" t="str">
        <x:v>MSY</x:v>
      </x:c>
      <x:c r="J81" s="23" t="n">
        <x:v>8784</x:v>
      </x:c>
      <x:c r="K81" s="24" t="n">
        <x:v>0.3144353369763206</x:v>
      </x:c>
      <x:c r="L81" s="24" t="n">
        <x:v>0.02515938069216758</x:v>
      </x:c>
      <x:c r="N81" t="str">
        <x:v>SAF</x:v>
      </x:c>
      <x:c r="O81" t="str">
        <x:v>Santa Fe, NM</x:v>
      </x:c>
      <x:c r="P81" t="str">
        <x:v>NM</x:v>
      </x:c>
      <x:c r="Q81" s="23" t="n">
        <x:v>8370</x:v>
      </x:c>
      <x:c r="R81" s="24" t="n">
        <x:v>0.015292712066905615</x:v>
      </x:c>
      <x:c r="S81" s="24" t="n">
        <x:v>0.0027479091995221026</x:v>
      </x:c>
    </x:row>
    <x:row r="82">
      <x:c r="G82" t="str">
        <x:v>MIA-SEA</x:v>
      </x:c>
      <x:c r="H82" t="str">
        <x:v>MIA</x:v>
      </x:c>
      <x:c r="I82" t="str">
        <x:v>SEA</x:v>
      </x:c>
      <x:c r="J82" s="23" t="n">
        <x:v>2678</x:v>
      </x:c>
      <x:c r="K82" s="24" t="n">
        <x:v>0.3144137415982076</x:v>
      </x:c>
      <x:c r="L82" s="24" t="n">
        <x:v>0.013069454817027632</x:v>
      </x:c>
      <x:c r="N82" t="str">
        <x:v>MKE</x:v>
      </x:c>
      <x:c r="O82" t="str">
        <x:v>Milwaukee, WI</x:v>
      </x:c>
      <x:c r="P82" t="str">
        <x:v>WI</x:v>
      </x:c>
      <x:c r="Q82" s="23" t="n">
        <x:v>82529</x:v>
      </x:c>
      <x:c r="R82" s="24" t="n">
        <x:v>0.015218892752850512</x:v>
      </x:c>
      <x:c r="S82" s="24" t="n">
        <x:v>0.0021568176035090697</x:v>
      </x:c>
    </x:row>
    <x:row r="83">
      <x:c r="G83" t="str">
        <x:v>LAS-SFO</x:v>
      </x:c>
      <x:c r="H83" t="str">
        <x:v>LAS</x:v>
      </x:c>
      <x:c r="I83" t="str">
        <x:v>SFO</x:v>
      </x:c>
      <x:c r="J83" s="23" t="n">
        <x:v>17447</x:v>
      </x:c>
      <x:c r="K83" s="24" t="n">
        <x:v>0.31415143004528</x:v>
      </x:c>
      <x:c r="L83" s="24" t="n">
        <x:v>0.011291339485298332</x:v>
      </x:c>
      <x:c r="N83" t="str">
        <x:v>LBB</x:v>
      </x:c>
      <x:c r="O83" t="str">
        <x:v>Lubbock, TX</x:v>
      </x:c>
      <x:c r="P83" t="str">
        <x:v>TX</x:v>
      </x:c>
      <x:c r="Q83" s="23" t="n">
        <x:v>18499</x:v>
      </x:c>
      <x:c r="R83" s="24" t="n">
        <x:v>0.015081896318719932</x:v>
      </x:c>
      <x:c r="S83" s="24" t="n">
        <x:v>0.0028109627547434997</x:v>
      </x:c>
    </x:row>
    <x:row r="84">
      <x:c r="G84" t="str">
        <x:v>BET-ANC</x:v>
      </x:c>
      <x:c r="H84" t="str">
        <x:v>BET</x:v>
      </x:c>
      <x:c r="I84" t="str">
        <x:v>ANC</x:v>
      </x:c>
      <x:c r="J84" s="23" t="n">
        <x:v>2171</x:v>
      </x:c>
      <x:c r="K84" s="24" t="n">
        <x:v>0.3141409488714878</x:v>
      </x:c>
      <x:c r="L84" s="24" t="n">
        <x:v>0.023952095808383235</x:v>
      </x:c>
      <x:c r="N84" t="str">
        <x:v>MEM</x:v>
      </x:c>
      <x:c r="O84" t="str">
        <x:v>Memphis, TN</x:v>
      </x:c>
      <x:c r="P84" t="str">
        <x:v>TN</x:v>
      </x:c>
      <x:c r="Q84" s="23" t="n">
        <x:v>69693</x:v>
      </x:c>
      <x:c r="R84" s="24" t="n">
        <x:v>0.015008680929218142</x:v>
      </x:c>
      <x:c r="S84" s="24" t="n">
        <x:v>0.0024823152970886602</x:v>
      </x:c>
    </x:row>
    <x:row r="85">
      <x:c r="G85" t="str">
        <x:v>DFW-SAV</x:v>
      </x:c>
      <x:c r="H85" t="str">
        <x:v>DFW</x:v>
      </x:c>
      <x:c r="I85" t="str">
        <x:v>SAV</x:v>
      </x:c>
      <x:c r="J85" s="23" t="n">
        <x:v>3013</x:v>
      </x:c>
      <x:c r="K85" s="24" t="n">
        <x:v>0.31364088947892466</x:v>
      </x:c>
      <x:c r="L85" s="24" t="n">
        <x:v>0.022900763358778626</x:v>
      </x:c>
      <x:c r="N85" t="str">
        <x:v>ISP</x:v>
      </x:c>
      <x:c r="O85" t="str">
        <x:v>Islip, NY</x:v>
      </x:c>
      <x:c r="P85" t="str">
        <x:v>NY</x:v>
      </x:c>
      <x:c r="Q85" s="23" t="n">
        <x:v>14758</x:v>
      </x:c>
      <x:c r="R85" s="24" t="n">
        <x:v>0.014974928852147988</x:v>
      </x:c>
      <x:c r="S85" s="24" t="n">
        <x:v>0.003116953516736685</x:v>
      </x:c>
    </x:row>
    <x:row r="86">
      <x:c r="G86" t="str">
        <x:v>DFW-PVU</x:v>
      </x:c>
      <x:c r="H86" t="str">
        <x:v>DFW</x:v>
      </x:c>
      <x:c r="I86" t="str">
        <x:v>PVU</x:v>
      </x:c>
      <x:c r="J86" s="23" t="n">
        <x:v>1167</x:v>
      </x:c>
      <x:c r="K86" s="24" t="n">
        <x:v>0.31362467866323906</x:v>
      </x:c>
      <x:c r="L86" s="24" t="n">
        <x:v>0.02056555269922879</x:v>
      </x:c>
      <x:c r="N86" t="str">
        <x:v>TYS</x:v>
      </x:c>
      <x:c r="O86" t="str">
        <x:v>Knoxville, TN</x:v>
      </x:c>
      <x:c r="P86" t="str">
        <x:v>TN</x:v>
      </x:c>
      <x:c r="Q86" s="23" t="n">
        <x:v>43501</x:v>
      </x:c>
      <x:c r="R86" s="24" t="n">
        <x:v>0.014965173214408864</x:v>
      </x:c>
      <x:c r="S86" s="24" t="n">
        <x:v>0.0032183168203029815</x:v>
      </x:c>
    </x:row>
    <x:row r="87">
      <x:c r="G87" t="str">
        <x:v>BOS-SJU</x:v>
      </x:c>
      <x:c r="H87" t="str">
        <x:v>BOS</x:v>
      </x:c>
      <x:c r="I87" t="str">
        <x:v>SJU</x:v>
      </x:c>
      <x:c r="J87" s="23" t="n">
        <x:v>5801</x:v>
      </x:c>
      <x:c r="K87" s="24" t="n">
        <x:v>0.3133942423720048</x:v>
      </x:c>
      <x:c r="L87" s="24" t="n">
        <x:v>0.012239269091535943</x:v>
      </x:c>
      <x:c r="N87" t="str">
        <x:v>LEX</x:v>
      </x:c>
      <x:c r="O87" t="str">
        <x:v>Lexington, KY</x:v>
      </x:c>
      <x:c r="P87" t="str">
        <x:v>KY</x:v>
      </x:c>
      <x:c r="Q87" s="23" t="n">
        <x:v>26436</x:v>
      </x:c>
      <x:c r="R87" s="24" t="n">
        <x:v>0.014941746103797851</x:v>
      </x:c>
      <x:c r="S87" s="24" t="n">
        <x:v>0.0023452867302163716</x:v>
      </x:c>
    </x:row>
    <x:row r="88">
      <x:c r="G88" t="str">
        <x:v>DFW-LAS</x:v>
      </x:c>
      <x:c r="H88" t="str">
        <x:v>DFW</x:v>
      </x:c>
      <x:c r="I88" t="str">
        <x:v>LAS</x:v>
      </x:c>
      <x:c r="J88" s="23" t="n">
        <x:v>17527</x:v>
      </x:c>
      <x:c r="K88" s="24" t="n">
        <x:v>0.31317396017572885</x:v>
      </x:c>
      <x:c r="L88" s="24" t="n">
        <x:v>0.018885148627831347</x:v>
      </x:c>
      <x:c r="N88" t="str">
        <x:v>SBN</x:v>
      </x:c>
      <x:c r="O88" t="str">
        <x:v>South Bend, IN</x:v>
      </x:c>
      <x:c r="P88" t="str">
        <x:v>IN</x:v>
      </x:c>
      <x:c r="Q88" s="23" t="n">
        <x:v>20352</x:v>
      </x:c>
      <x:c r="R88" s="24" t="n">
        <x:v>0.014937106918238994</x:v>
      </x:c>
      <x:c r="S88" s="24" t="n">
        <x:v>0.0028989779874213834</x:v>
      </x:c>
    </x:row>
    <x:row r="89">
      <x:c r="G89" t="str">
        <x:v>DCA-CAK</x:v>
      </x:c>
      <x:c r="H89" t="str">
        <x:v>DCA</x:v>
      </x:c>
      <x:c r="I89" t="str">
        <x:v>CAK</x:v>
      </x:c>
      <x:c r="J89" s="23" t="n">
        <x:v>1077</x:v>
      </x:c>
      <x:c r="K89" s="24" t="n">
        <x:v>0.3129062209842154</x:v>
      </x:c>
      <x:c r="L89" s="24" t="n">
        <x:v>0.03899721448467967</x:v>
      </x:c>
      <x:c r="N89" t="str">
        <x:v>GRB</x:v>
      </x:c>
      <x:c r="O89" t="str">
        <x:v>Green Bay, WI</x:v>
      </x:c>
      <x:c r="P89" t="str">
        <x:v>WI</x:v>
      </x:c>
      <x:c r="Q89" s="23" t="n">
        <x:v>12415</x:v>
      </x:c>
      <x:c r="R89" s="24" t="n">
        <x:v>0.014901329037454692</x:v>
      </x:c>
      <x:c r="S89" s="24" t="n">
        <x:v>0.0008054772452678212</x:v>
      </x:c>
    </x:row>
    <x:row r="90">
      <x:c r="G90" t="str">
        <x:v>TYS-FLL</x:v>
      </x:c>
      <x:c r="H90" t="str">
        <x:v>TYS</x:v>
      </x:c>
      <x:c r="I90" t="str">
        <x:v>FLL</x:v>
      </x:c>
      <x:c r="J90" s="23" t="n">
        <x:v>1184</x:v>
      </x:c>
      <x:c r="K90" s="24" t="n">
        <x:v>0.3125</x:v>
      </x:c>
      <x:c r="L90" s="24" t="n">
        <x:v>0.0059121621621621625</x:v>
      </x:c>
      <x:c r="N90" t="str">
        <x:v>DAY</x:v>
      </x:c>
      <x:c r="O90" t="str">
        <x:v>Dayton, OH</x:v>
      </x:c>
      <x:c r="P90" t="str">
        <x:v>OH</x:v>
      </x:c>
      <x:c r="Q90" s="23" t="n">
        <x:v>22629</x:v>
      </x:c>
      <x:c r="R90" s="24" t="n">
        <x:v>0.01484820363250696</x:v>
      </x:c>
      <x:c r="S90" s="24" t="n">
        <x:v>0.002695656016615847</x:v>
      </x:c>
    </x:row>
    <x:row r="91">
      <x:c r="G91" t="str">
        <x:v>DCA-AGS</x:v>
      </x:c>
      <x:c r="H91" t="str">
        <x:v>DCA</x:v>
      </x:c>
      <x:c r="I91" t="str">
        <x:v>AGS</x:v>
      </x:c>
      <x:c r="J91" s="23" t="n">
        <x:v>1069</x:v>
      </x:c>
      <x:c r="K91" s="24" t="n">
        <x:v>0.3124415341440599</x:v>
      </x:c>
      <x:c r="L91" s="24" t="n">
        <x:v>0.05519176800748363</x:v>
      </x:c>
      <x:c r="N91" t="str">
        <x:v>IAH</x:v>
      </x:c>
      <x:c r="O91" t="str">
        <x:v>Houston, TX</x:v>
      </x:c>
      <x:c r="P91" t="str">
        <x:v>TX</x:v>
      </x:c>
      <x:c r="Q91" s="23" t="n">
        <x:v>345091</x:v>
      </x:c>
      <x:c r="R91" s="24" t="n">
        <x:v>0.014683083592443733</x:v>
      </x:c>
      <x:c r="S91" s="24" t="n">
        <x:v>0.0028398306533638953</x:v>
      </x:c>
    </x:row>
    <x:row r="92">
      <x:c r="G92" t="str">
        <x:v>ASE-ORD</x:v>
      </x:c>
      <x:c r="H92" t="str">
        <x:v>ASE</x:v>
      </x:c>
      <x:c r="I92" t="str">
        <x:v>ORD</x:v>
      </x:c>
      <x:c r="J92" s="23" t="n">
        <x:v>2795</x:v>
      </x:c>
      <x:c r="K92" s="24" t="n">
        <x:v>0.31198568872987475</x:v>
      </x:c>
      <x:c r="L92" s="24" t="n">
        <x:v>0.0626118067978533</x:v>
      </x:c>
      <x:c r="N92" t="str">
        <x:v>GRR</x:v>
      </x:c>
      <x:c r="O92" t="str">
        <x:v>Grand Rapids, MI</x:v>
      </x:c>
      <x:c r="P92" t="str">
        <x:v>MI</x:v>
      </x:c>
      <x:c r="Q92" s="23" t="n">
        <x:v>53387</x:v>
      </x:c>
      <x:c r="R92" s="24" t="n">
        <x:v>0.014666491842583401</x:v>
      </x:c>
      <x:c r="S92" s="24" t="n">
        <x:v>0.0018169217225167174</x:v>
      </x:c>
    </x:row>
    <x:row r="93">
      <x:c r="G93" t="str">
        <x:v>MCO-BQN</x:v>
      </x:c>
      <x:c r="H93" t="str">
        <x:v>MCO</x:v>
      </x:c>
      <x:c r="I93" t="str">
        <x:v>BQN</x:v>
      </x:c>
      <x:c r="J93" s="23" t="n">
        <x:v>3122</x:v>
      </x:c>
      <x:c r="K93" s="24" t="n">
        <x:v>0.3116591928251121</x:v>
      </x:c>
      <x:c r="L93" s="24" t="n">
        <x:v>0.011531069827033953</x:v>
      </x:c>
      <x:c r="N93" t="str">
        <x:v>MOT</x:v>
      </x:c>
      <x:c r="O93" t="str">
        <x:v>Minot, ND</x:v>
      </x:c>
      <x:c r="P93" t="str">
        <x:v>ND</x:v>
      </x:c>
      <x:c r="Q93" s="23" t="n">
        <x:v>7244</x:v>
      </x:c>
      <x:c r="R93" s="24" t="n">
        <x:v>0.014632799558255107</x:v>
      </x:c>
      <x:c r="S93" s="24" t="n">
        <x:v>0.004417448923246825</x:v>
      </x:c>
    </x:row>
    <x:row r="94">
      <x:c r="G94" t="str">
        <x:v>IAH-HNL</x:v>
      </x:c>
      <x:c r="H94" t="str">
        <x:v>IAH</x:v>
      </x:c>
      <x:c r="I94" t="str">
        <x:v>HNL</x:v>
      </x:c>
      <x:c r="J94" s="23" t="n">
        <x:v>1182</x:v>
      </x:c>
      <x:c r="K94" s="24" t="n">
        <x:v>0.311336717428088</x:v>
      </x:c>
      <x:c r="L94" s="24" t="n">
        <x:v>0.005076142131979695</x:v>
      </x:c>
      <x:c r="N94" t="str">
        <x:v>MSN</x:v>
      </x:c>
      <x:c r="O94" t="str">
        <x:v>Madison, WI</x:v>
      </x:c>
      <x:c r="P94" t="str">
        <x:v>WI</x:v>
      </x:c>
      <x:c r="Q94" s="23" t="n">
        <x:v>35068</x:v>
      </x:c>
      <x:c r="R94" s="24" t="n">
        <x:v>0.014628721341393864</x:v>
      </x:c>
      <x:c r="S94" s="24" t="n">
        <x:v>0.0027090224706284934</x:v>
      </x:c>
    </x:row>
    <x:row r="95">
      <x:c r="G95" t="str">
        <x:v>FLL-LAS</x:v>
      </x:c>
      <x:c r="H95" t="str">
        <x:v>FLL</x:v>
      </x:c>
      <x:c r="I95" t="str">
        <x:v>LAS</x:v>
      </x:c>
      <x:c r="J95" s="23" t="n">
        <x:v>2833</x:v>
      </x:c>
      <x:c r="K95" s="24" t="n">
        <x:v>0.3109777620896576</x:v>
      </x:c>
      <x:c r="L95" s="24" t="n">
        <x:v>0.011295446523120367</x:v>
      </x:c>
      <x:c r="N95" t="str">
        <x:v>CVG</x:v>
      </x:c>
      <x:c r="O95" t="str">
        <x:v>Cincinnati, OH</x:v>
      </x:c>
      <x:c r="P95" t="str">
        <x:v>KY</x:v>
      </x:c>
      <x:c r="Q95" s="23" t="n">
        <x:v>114461</x:v>
      </x:c>
      <x:c r="R95" s="24" t="n">
        <x:v>0.014598859000008737</x:v>
      </x:c>
      <x:c r="S95" s="24" t="n">
        <x:v>0.00245498466726658</x:v>
      </x:c>
    </x:row>
    <x:row r="96">
      <x:c r="G96" t="str">
        <x:v>DFW-SAT</x:v>
      </x:c>
      <x:c r="H96" t="str">
        <x:v>DFW</x:v>
      </x:c>
      <x:c r="I96" t="str">
        <x:v>SAT</x:v>
      </x:c>
      <x:c r="J96" s="23" t="n">
        <x:v>12686</x:v>
      </x:c>
      <x:c r="K96" s="24" t="n">
        <x:v>0.3107362446791739</x:v>
      </x:c>
      <x:c r="L96" s="24" t="n">
        <x:v>0.024751694781649063</x:v>
      </x:c>
      <x:c r="N96" t="str">
        <x:v>CHA</x:v>
      </x:c>
      <x:c r="O96" t="str">
        <x:v>Chattanooga, TN</x:v>
      </x:c>
      <x:c r="P96" t="str">
        <x:v>TN</x:v>
      </x:c>
      <x:c r="Q96" s="23" t="n">
        <x:v>17818</x:v>
      </x:c>
      <x:c r="R96" s="24" t="n">
        <x:v>0.014591985632506453</x:v>
      </x:c>
      <x:c r="S96" s="24" t="n">
        <x:v>0.00185205971489505</x:v>
      </x:c>
    </x:row>
    <x:row r="97">
      <x:c r="G97" t="str">
        <x:v>MDW-DFW</x:v>
      </x:c>
      <x:c r="H97" t="str">
        <x:v>MDW</x:v>
      </x:c>
      <x:c r="I97" t="str">
        <x:v>DFW</x:v>
      </x:c>
      <x:c r="J97" s="23" t="n">
        <x:v>1346</x:v>
      </x:c>
      <x:c r="K97" s="24" t="n">
        <x:v>0.30906389301634474</x:v>
      </x:c>
      <x:c r="L97" s="24" t="n">
        <x:v>0.02674591381872214</x:v>
      </x:c>
      <x:c r="N97" t="str">
        <x:v>ORD</x:v>
      </x:c>
      <x:c r="O97" t="str">
        <x:v>Chicago, IL</x:v>
      </x:c>
      <x:c r="P97" t="str">
        <x:v>IL</x:v>
      </x:c>
      <x:c r="Q97" s="23" t="n">
        <x:v>865947</x:v>
      </x:c>
      <x:c r="R97" s="24" t="n">
        <x:v>0.014542460450812809</x:v>
      </x:c>
      <x:c r="S97" s="24" t="n">
        <x:v>0.002725340003487511</x:v>
      </x:c>
    </x:row>
    <x:row r="98">
      <x:c r="G98" t="str">
        <x:v>EYW-ORD</x:v>
      </x:c>
      <x:c r="H98" t="str">
        <x:v>EYW</x:v>
      </x:c>
      <x:c r="I98" t="str">
        <x:v>ORD</x:v>
      </x:c>
      <x:c r="J98" s="23" t="n">
        <x:v>1150</x:v>
      </x:c>
      <x:c r="K98" s="24" t="n">
        <x:v>0.30869565217391304</x:v>
      </x:c>
      <x:c r="L98" s="24" t="n">
        <x:v>0.014782608695652174</x:v>
      </x:c>
      <x:c r="N98" t="str">
        <x:v>MBS</x:v>
      </x:c>
      <x:c r="O98" t="str">
        <x:v>Saginaw/Bay City/Midland, MI</x:v>
      </x:c>
      <x:c r="P98" t="str">
        <x:v>MI</x:v>
      </x:c>
      <x:c r="Q98" s="23" t="n">
        <x:v>6121</x:v>
      </x:c>
      <x:c r="R98" s="24" t="n">
        <x:v>0.014540107825518706</x:v>
      </x:c>
      <x:c r="S98" s="24" t="n">
        <x:v>0.001143603986276752</x:v>
      </x:c>
    </x:row>
    <x:row r="99">
      <x:c r="G99" t="str">
        <x:v>DFW-PNS</x:v>
      </x:c>
      <x:c r="H99" t="str">
        <x:v>DFW</x:v>
      </x:c>
      <x:c r="I99" t="str">
        <x:v>PNS</x:v>
      </x:c>
      <x:c r="J99" s="23" t="n">
        <x:v>5074</x:v>
      </x:c>
      <x:c r="K99" s="24" t="n">
        <x:v>0.30863224280646434</x:v>
      </x:c>
      <x:c r="L99" s="24" t="n">
        <x:v>0.027197477335435555</x:v>
      </x:c>
      <x:c r="N99" t="str">
        <x:v>DLH</x:v>
      </x:c>
      <x:c r="O99" t="str">
        <x:v>Duluth, MN</x:v>
      </x:c>
      <x:c r="P99" t="str">
        <x:v>MN</x:v>
      </x:c>
      <x:c r="Q99" s="23" t="n">
        <x:v>6336</x:v>
      </x:c>
      <x:c r="R99" s="24" t="n">
        <x:v>0.01452020202020202</x:v>
      </x:c>
      <x:c r="S99" s="24" t="n">
        <x:v>0.0007891414141414141</x:v>
      </x:c>
    </x:row>
    <x:row r="100">
      <x:c r="G100" t="str">
        <x:v>EWR-SJU</x:v>
      </x:c>
      <x:c r="H100" t="str">
        <x:v>EWR</x:v>
      </x:c>
      <x:c r="I100" t="str">
        <x:v>SJU</x:v>
      </x:c>
      <x:c r="J100" s="23" t="n">
        <x:v>6671</x:v>
      </x:c>
      <x:c r="K100" s="24" t="n">
        <x:v>0.30849947534102834</x:v>
      </x:c>
      <x:c r="L100" s="24" t="n">
        <x:v>0.01648928196672163</x:v>
      </x:c>
      <x:c r="N100" t="str">
        <x:v>SDF</x:v>
      </x:c>
      <x:c r="O100" t="str">
        <x:v>Louisville, KY</x:v>
      </x:c>
      <x:c r="P100" t="str">
        <x:v>KY</x:v>
      </x:c>
      <x:c r="Q100" s="23" t="n">
        <x:v>70537</x:v>
      </x:c>
      <x:c r="R100" s="24" t="n">
        <x:v>0.014503026780271346</x:v>
      </x:c>
      <x:c r="S100" s="24" t="n">
        <x:v>0.002282490040687866</x:v>
      </x:c>
    </x:row>
    <x:row r="101">
      <x:c r="G101" t="str">
        <x:v>DFW-TPA</x:v>
      </x:c>
      <x:c r="H101" t="str">
        <x:v>DFW</x:v>
      </x:c>
      <x:c r="I101" t="str">
        <x:v>TPA</x:v>
      </x:c>
      <x:c r="J101" s="23" t="n">
        <x:v>8646</x:v>
      </x:c>
      <x:c r="K101" s="24" t="n">
        <x:v>0.30800370113347214</x:v>
      </x:c>
      <x:c r="L101" s="24" t="n">
        <x:v>0.026601896830904463</x:v>
      </x:c>
      <x:c r="N101" t="str">
        <x:v>JAN</x:v>
      </x:c>
      <x:c r="O101" t="str">
        <x:v>Jackson/Vicksburg, MS</x:v>
      </x:c>
      <x:c r="P101" t="str">
        <x:v>MS</x:v>
      </x:c>
      <x:c r="Q101" s="23" t="n">
        <x:v>20233</x:v>
      </x:c>
      <x:c r="R101" s="24" t="n">
        <x:v>0.01448129293728068</x:v>
      </x:c>
      <x:c r="S101" s="24" t="n">
        <x:v>0.0016309988632432165</x:v>
      </x:c>
    </x:row>
    <x:row r="102">
      <x:c r="G102" t="str">
        <x:v>MCO-PDX</x:v>
      </x:c>
      <x:c r="H102" t="str">
        <x:v>MCO</x:v>
      </x:c>
      <x:c r="I102" t="str">
        <x:v>PDX</x:v>
      </x:c>
      <x:c r="J102" s="23" t="n">
        <x:v>1414</x:v>
      </x:c>
      <x:c r="K102" s="24" t="n">
        <x:v>0.30763790664780766</x:v>
      </x:c>
      <x:c r="L102" s="24" t="n">
        <x:v>0.01485148514851485</x:v>
      </x:c>
      <x:c r="N102" t="str">
        <x:v>EVV</x:v>
      </x:c>
      <x:c r="O102" t="str">
        <x:v>Evansville, IN</x:v>
      </x:c>
      <x:c r="P102" t="str">
        <x:v>IN</x:v>
      </x:c>
      <x:c r="Q102" s="23" t="n">
        <x:v>5943</x:v>
      </x:c>
      <x:c r="R102" s="24" t="n">
        <x:v>0.014470805990240618</x:v>
      </x:c>
      <x:c r="S102" s="24" t="n">
        <x:v>0.0038700992764597003</x:v>
      </x:c>
    </x:row>
    <x:row r="103">
      <x:c r="G103" t="str">
        <x:v>STT-SJU</x:v>
      </x:c>
      <x:c r="H103" t="str">
        <x:v>STT</x:v>
      </x:c>
      <x:c r="I103" t="str">
        <x:v>SJU</x:v>
      </x:c>
      <x:c r="J103" s="23" t="n">
        <x:v>1821</x:v>
      </x:c>
      <x:c r="K103" s="24" t="n">
        <x:v>0.3075233388248215</x:v>
      </x:c>
      <x:c r="L103" s="24" t="n">
        <x:v>0.012081274025260845</x:v>
      </x:c>
      <x:c r="N103" t="str">
        <x:v>FSD</x:v>
      </x:c>
      <x:c r="O103" t="str">
        <x:v>Sioux Falls, SD</x:v>
      </x:c>
      <x:c r="P103" t="str">
        <x:v>SD</x:v>
      </x:c>
      <x:c r="Q103" s="23" t="n">
        <x:v>21256</x:v>
      </x:c>
      <x:c r="R103" s="24" t="n">
        <x:v>0.014442980805419647</x:v>
      </x:c>
      <x:c r="S103" s="24" t="n">
        <x:v>0.002211140383891607</x:v>
      </x:c>
    </x:row>
    <x:row r="104">
      <x:c r="G104" t="str">
        <x:v>DFW-PDX</x:v>
      </x:c>
      <x:c r="H104" t="str">
        <x:v>DFW</x:v>
      </x:c>
      <x:c r="I104" t="str">
        <x:v>PDX</x:v>
      </x:c>
      <x:c r="J104" s="23" t="n">
        <x:v>7099</x:v>
      </x:c>
      <x:c r="K104" s="24" t="n">
        <x:v>0.3073672348218059</x:v>
      </x:c>
      <x:c r="L104" s="24" t="n">
        <x:v>0.019016762924355543</x:v>
      </x:c>
      <x:c r="N104" t="str">
        <x:v>MSY</x:v>
      </x:c>
      <x:c r="O104" t="str">
        <x:v>New Orleans, LA</x:v>
      </x:c>
      <x:c r="P104" t="str">
        <x:v>LA</x:v>
      </x:c>
      <x:c r="Q104" s="23" t="n">
        <x:v>150913</x:v>
      </x:c>
      <x:c r="R104" s="24" t="n">
        <x:v>0.014365892931689118</x:v>
      </x:c>
      <x:c r="S104" s="24" t="n">
        <x:v>0.002451743719891593</x:v>
      </x:c>
    </x:row>
    <x:row r="105">
      <x:c r="G105" t="str">
        <x:v>BOS-FLL</x:v>
      </x:c>
      <x:c r="H105" t="str">
        <x:v>BOS</x:v>
      </x:c>
      <x:c r="I105" t="str">
        <x:v>FLL</x:v>
      </x:c>
      <x:c r="J105" s="23" t="n">
        <x:v>9564</x:v>
      </x:c>
      <x:c r="K105" s="24" t="n">
        <x:v>0.3071936428272689</x:v>
      </x:c>
      <x:c r="L105" s="24" t="n">
        <x:v>0.01986616478460895</x:v>
      </x:c>
      <x:c r="N105" t="str">
        <x:v>IND</x:v>
      </x:c>
      <x:c r="O105" t="str">
        <x:v>Indianapolis, IN</x:v>
      </x:c>
      <x:c r="P105" t="str">
        <x:v>IN</x:v>
      </x:c>
      <x:c r="Q105" s="23" t="n">
        <x:v>140066</x:v>
      </x:c>
      <x:c r="R105" s="24" t="n">
        <x:v>0.014343238187711507</x:v>
      </x:c>
      <x:c r="S105" s="24" t="n">
        <x:v>0.0022203818199991432</x:v>
      </x:c>
    </x:row>
    <x:row r="106">
      <x:c r="G106" t="str">
        <x:v>DFW-FSD</x:v>
      </x:c>
      <x:c r="H106" t="str">
        <x:v>DFW</x:v>
      </x:c>
      <x:c r="I106" t="str">
        <x:v>FSD</x:v>
      </x:c>
      <x:c r="J106" s="23" t="n">
        <x:v>2728</x:v>
      </x:c>
      <x:c r="K106" s="24" t="n">
        <x:v>0.30718475073313783</x:v>
      </x:c>
      <x:c r="L106" s="24" t="n">
        <x:v>0.0186950146627566</x:v>
      </x:c>
      <x:c r="N106" t="str">
        <x:v>DRO</x:v>
      </x:c>
      <x:c r="O106" t="str">
        <x:v>Durango, CO</x:v>
      </x:c>
      <x:c r="P106" t="str">
        <x:v>CO</x:v>
      </x:c>
      <x:c r="Q106" s="23" t="n">
        <x:v>11475</x:v>
      </x:c>
      <x:c r="R106" s="24" t="n">
        <x:v>0.01429193899782135</x:v>
      </x:c>
      <x:c r="S106" s="24" t="n">
        <x:v>0.0027886710239651414</x:v>
      </x:c>
    </x:row>
    <x:row r="107">
      <x:c r="G107" t="str">
        <x:v>DEN-SYR</x:v>
      </x:c>
      <x:c r="H107" t="str">
        <x:v>DEN</x:v>
      </x:c>
      <x:c r="I107" t="str">
        <x:v>SYR</x:v>
      </x:c>
      <x:c r="J107" s="23" t="n">
        <x:v>1309</x:v>
      </x:c>
      <x:c r="K107" s="24" t="n">
        <x:v>0.30710466004583653</x:v>
      </x:c>
      <x:c r="L107" s="24" t="n">
        <x:v>0.009931245225362872</x:v>
      </x:c>
      <x:c r="N107" t="str">
        <x:v>CPR</x:v>
      </x:c>
      <x:c r="O107" t="str">
        <x:v>Casper, WY</x:v>
      </x:c>
      <x:c r="P107" t="str">
        <x:v>WY</x:v>
      </x:c>
      <x:c r="Q107" s="23" t="n">
        <x:v>5537</x:v>
      </x:c>
      <x:c r="R107" s="24" t="n">
        <x:v>0.014267653964240564</x:v>
      </x:c>
      <x:c r="S107" s="24" t="n">
        <x:v>0.0028896514357955572</x:v>
      </x:c>
    </x:row>
    <x:row r="108">
      <x:c r="G108" t="str">
        <x:v>DFW-MDW</x:v>
      </x:c>
      <x:c r="H108" t="str">
        <x:v>DFW</x:v>
      </x:c>
      <x:c r="I108" t="str">
        <x:v>MDW</x:v>
      </x:c>
      <x:c r="J108" s="23" t="n">
        <x:v>1346</x:v>
      </x:c>
      <x:c r="K108" s="24" t="n">
        <x:v>0.30683506686478457</x:v>
      </x:c>
      <x:c r="L108" s="24" t="n">
        <x:v>0.029717682020802376</x:v>
      </x:c>
      <x:c r="N108" t="str">
        <x:v>BUR</x:v>
      </x:c>
      <x:c r="O108" t="str">
        <x:v>Burbank, CA</x:v>
      </x:c>
      <x:c r="P108" t="str">
        <x:v>CA</x:v>
      </x:c>
      <x:c r="Q108" s="23" t="n">
        <x:v>91078</x:v>
      </x:c>
      <x:c r="R108" s="24" t="n">
        <x:v>0.014174663475262961</x:v>
      </x:c>
      <x:c r="S108" s="24" t="n">
        <x:v>0.0024594303783570127</x:v>
      </x:c>
    </x:row>
    <x:row r="109">
      <x:c r="G109" t="str">
        <x:v>DEN-SFO</x:v>
      </x:c>
      <x:c r="H109" t="str">
        <x:v>DEN</x:v>
      </x:c>
      <x:c r="I109" t="str">
        <x:v>SFO</x:v>
      </x:c>
      <x:c r="J109" s="23" t="n">
        <x:v>16438</x:v>
      </x:c>
      <x:c r="K109" s="24" t="n">
        <x:v>0.3067891470981871</x:v>
      </x:c>
      <x:c r="L109" s="24" t="n">
        <x:v>0.008516851198442633</x:v>
      </x:c>
      <x:c r="N109" t="str">
        <x:v>BHM</x:v>
      </x:c>
      <x:c r="O109" t="str">
        <x:v>Birmingham, AL</x:v>
      </x:c>
      <x:c r="P109" t="str">
        <x:v>AL</x:v>
      </x:c>
      <x:c r="Q109" s="23" t="n">
        <x:v>50019</x:v>
      </x:c>
      <x:c r="R109" s="24" t="n">
        <x:v>0.014134628841040405</x:v>
      </x:c>
      <x:c r="S109" s="24" t="n">
        <x:v>0.0029188908214878347</x:v>
      </x:c>
    </x:row>
    <x:row r="110">
      <x:c r="G110" t="str">
        <x:v>MIA-LAS</x:v>
      </x:c>
      <x:c r="H110" t="str">
        <x:v>MIA</x:v>
      </x:c>
      <x:c r="I110" t="str">
        <x:v>LAS</x:v>
      </x:c>
      <x:c r="J110" s="23" t="n">
        <x:v>4913</x:v>
      </x:c>
      <x:c r="K110" s="24" t="n">
        <x:v>0.3063301445145532</x:v>
      </x:c>
      <x:c r="L110" s="24" t="n">
        <x:v>0.008141664970486465</x:v>
      </x:c>
      <x:c r="N110" t="str">
        <x:v>MLB</x:v>
      </x:c>
      <x:c r="O110" t="str">
        <x:v>Melbourne, FL</x:v>
      </x:c>
      <x:c r="P110" t="str">
        <x:v>FL</x:v>
      </x:c>
      <x:c r="Q110" s="23" t="n">
        <x:v>8452</x:v>
      </x:c>
      <x:c r="R110" s="24" t="n">
        <x:v>0.01407950780880265</x:v>
      </x:c>
      <x:c r="S110" s="24" t="n">
        <x:v>0.0020113582584003788</x:v>
      </x:c>
    </x:row>
    <x:row r="111">
      <x:c r="G111" t="str">
        <x:v>IAH-PNS</x:v>
      </x:c>
      <x:c r="H111" t="str">
        <x:v>IAH</x:v>
      </x:c>
      <x:c r="I111" t="str">
        <x:v>PNS</x:v>
      </x:c>
      <x:c r="J111" s="23" t="n">
        <x:v>1476</x:v>
      </x:c>
      <x:c r="K111" s="24" t="n">
        <x:v>0.3062330623306233</x:v>
      </x:c>
      <x:c r="L111" s="24" t="n">
        <x:v>0.018970189701897018</x:v>
      </x:c>
      <x:c r="N111" t="str">
        <x:v>PIT</x:v>
      </x:c>
      <x:c r="O111" t="str">
        <x:v>Pittsburgh, PA</x:v>
      </x:c>
      <x:c r="P111" t="str">
        <x:v>PA</x:v>
      </x:c>
      <x:c r="Q111" s="23" t="n">
        <x:v>129137</x:v>
      </x:c>
      <x:c r="R111" s="24" t="n">
        <x:v>0.01407807212495257</x:v>
      </x:c>
      <x:c r="S111" s="24" t="n">
        <x:v>0.0017113608028682717</x:v>
      </x:c>
    </x:row>
    <x:row r="112">
      <x:c r="G112" t="str">
        <x:v>RDU-SJU</x:v>
      </x:c>
      <x:c r="H112" t="str">
        <x:v>RDU</x:v>
      </x:c>
      <x:c r="I112" t="str">
        <x:v>SJU</x:v>
      </x:c>
      <x:c r="J112" s="23" t="n">
        <x:v>1535</x:v>
      </x:c>
      <x:c r="K112" s="24" t="n">
        <x:v>0.30618892508143325</x:v>
      </x:c>
      <x:c r="L112" s="24" t="n">
        <x:v>0.012377850162866449</x:v>
      </x:c>
      <x:c r="N112" t="str">
        <x:v>EGE</x:v>
      </x:c>
      <x:c r="O112" t="str">
        <x:v>Eagle, CO</x:v>
      </x:c>
      <x:c r="P112" t="str">
        <x:v>CO</x:v>
      </x:c>
      <x:c r="Q112" s="23" t="n">
        <x:v>10664</x:v>
      </x:c>
      <x:c r="R112" s="24" t="n">
        <x:v>0.014066016504126031</x:v>
      </x:c>
      <x:c r="S112" s="24" t="n">
        <x:v>0.006939234808702175</x:v>
      </x:c>
    </x:row>
    <x:row r="113">
      <x:c r="G113" t="str">
        <x:v>LAS-SAN</x:v>
      </x:c>
      <x:c r="H113" t="str">
        <x:v>LAS</x:v>
      </x:c>
      <x:c r="I113" t="str">
        <x:v>SAN</x:v>
      </x:c>
      <x:c r="J113" s="23" t="n">
        <x:v>20831</x:v>
      </x:c>
      <x:c r="K113" s="24" t="n">
        <x:v>0.30598627046229177</x:v>
      </x:c>
      <x:c r="L113" s="24" t="n">
        <x:v>0.01296145168258845</x:v>
      </x:c>
      <x:c r="N113" t="str">
        <x:v>JAC</x:v>
      </x:c>
      <x:c r="O113" t="str">
        <x:v>Jackson, WY</x:v>
      </x:c>
      <x:c r="P113" t="str">
        <x:v>WY</x:v>
      </x:c>
      <x:c r="Q113" s="23" t="n">
        <x:v>17223</x:v>
      </x:c>
      <x:c r="R113" s="24" t="n">
        <x:v>0.014050978342913545</x:v>
      </x:c>
      <x:c r="S113" s="24" t="n">
        <x:v>0.008186727051036406</x:v>
      </x:c>
    </x:row>
    <x:row r="114">
      <x:c r="G114" t="str">
        <x:v>FLL-BOS</x:v>
      </x:c>
      <x:c r="H114" t="str">
        <x:v>FLL</x:v>
      </x:c>
      <x:c r="I114" t="str">
        <x:v>BOS</x:v>
      </x:c>
      <x:c r="J114" s="23" t="n">
        <x:v>9543</x:v>
      </x:c>
      <x:c r="K114" s="24" t="n">
        <x:v>0.3053547102588285</x:v>
      </x:c>
      <x:c r="L114" s="24" t="n">
        <x:v>0.01907157078486849</x:v>
      </x:c>
      <x:c r="N114" t="str">
        <x:v>FWA</x:v>
      </x:c>
      <x:c r="O114" t="str">
        <x:v>Fort Wayne, IN</x:v>
      </x:c>
      <x:c r="P114" t="str">
        <x:v>IN</x:v>
      </x:c>
      <x:c r="Q114" s="23" t="n">
        <x:v>15597</x:v>
      </x:c>
      <x:c r="R114" s="24" t="n">
        <x:v>0.013912931974097582</x:v>
      </x:c>
      <x:c r="S114" s="24" t="n">
        <x:v>0.002308136180034622</x:v>
      </x:c>
    </x:row>
    <x:row r="115">
      <x:c r="G115" t="str">
        <x:v>BRW-ANC</x:v>
      </x:c>
      <x:c r="H115" t="str">
        <x:v>BRW</x:v>
      </x:c>
      <x:c r="I115" t="str">
        <x:v>ANC</x:v>
      </x:c>
      <x:c r="J115" s="23" t="n">
        <x:v>1088</x:v>
      </x:c>
      <x:c r="K115" s="24" t="n">
        <x:v>0.30514705882352944</x:v>
      </x:c>
      <x:c r="L115" s="24" t="n">
        <x:v>0.04044117647058824</x:v>
      </x:c>
      <x:c r="N115" t="str">
        <x:v>SBA</x:v>
      </x:c>
      <x:c r="O115" t="str">
        <x:v>Santa Barbara, CA</x:v>
      </x:c>
      <x:c r="P115" t="str">
        <x:v>CA</x:v>
      </x:c>
      <x:c r="Q115" s="23" t="n">
        <x:v>22930</x:v>
      </x:c>
      <x:c r="R115" s="24" t="n">
        <x:v>0.013911905800261666</x:v>
      </x:c>
      <x:c r="S115" s="24" t="n">
        <x:v>0.00170082860880942</x:v>
      </x:c>
    </x:row>
    <x:row r="116">
      <x:c r="G116" t="str">
        <x:v>SFB-AVL</x:v>
      </x:c>
      <x:c r="H116" t="str">
        <x:v>SFB</x:v>
      </x:c>
      <x:c r="I116" t="str">
        <x:v>AVL</x:v>
      </x:c>
      <x:c r="J116" s="23" t="n">
        <x:v>1508</x:v>
      </x:c>
      <x:c r="K116" s="24" t="n">
        <x:v>0.3050397877984085</x:v>
      </x:c>
      <x:c r="L116" s="24" t="n">
        <x:v>0.013262599469496022</x:v>
      </x:c>
      <x:c r="N116" t="str">
        <x:v>MCO</x:v>
      </x:c>
      <x:c r="O116" t="str">
        <x:v>Orlando, FL</x:v>
      </x:c>
      <x:c r="P116" t="str">
        <x:v>FL</x:v>
      </x:c>
      <x:c r="Q116" s="23" t="n">
        <x:v>483970</x:v>
      </x:c>
      <x:c r="R116" s="24" t="n">
        <x:v>0.013878959439634688</x:v>
      </x:c>
      <x:c r="S116" s="24" t="n">
        <x:v>0.0024774262867533112</x:v>
      </x:c>
    </x:row>
    <x:row r="117">
      <x:c r="G117" t="str">
        <x:v>DFW-TYS</x:v>
      </x:c>
      <x:c r="H117" t="str">
        <x:v>DFW</x:v>
      </x:c>
      <x:c r="I117" t="str">
        <x:v>TYS</x:v>
      </x:c>
      <x:c r="J117" s="23" t="n">
        <x:v>4212</x:v>
      </x:c>
      <x:c r="K117" s="24" t="n">
        <x:v>0.30484330484330485</x:v>
      </x:c>
      <x:c r="L117" s="24" t="n">
        <x:v>0.021367521367521368</x:v>
      </x:c>
      <x:c r="N117" t="str">
        <x:v>ATW</x:v>
      </x:c>
      <x:c r="O117" t="str">
        <x:v>Appleton, WI</x:v>
      </x:c>
      <x:c r="P117" t="str">
        <x:v>WI</x:v>
      </x:c>
      <x:c r="Q117" s="23" t="n">
        <x:v>18574</x:v>
      </x:c>
      <x:c r="R117" s="24" t="n">
        <x:v>0.013836545709055669</x:v>
      </x:c>
      <x:c r="S117" s="24" t="n">
        <x:v>0.0016151609777107785</x:v>
      </x:c>
    </x:row>
    <x:row r="118">
      <x:c r="G118" t="str">
        <x:v>SAN-SFO</x:v>
      </x:c>
      <x:c r="H118" t="str">
        <x:v>SAN</x:v>
      </x:c>
      <x:c r="I118" t="str">
        <x:v>SFO</x:v>
      </x:c>
      <x:c r="J118" s="23" t="n">
        <x:v>19255</x:v>
      </x:c>
      <x:c r="K118" s="24" t="n">
        <x:v>0.3043884705271358</x:v>
      </x:c>
      <x:c r="L118" s="24" t="n">
        <x:v>0.01158140742664243</x:v>
      </x:c>
      <x:c r="N118" t="str">
        <x:v>BDL</x:v>
      </x:c>
      <x:c r="O118" t="str">
        <x:v>Hartford, CT</x:v>
      </x:c>
      <x:c r="P118" t="str">
        <x:v>CT</x:v>
      </x:c>
      <x:c r="Q118" s="23" t="n">
        <x:v>67068</x:v>
      </x:c>
      <x:c r="R118" s="24" t="n">
        <x:v>0.013583228961650862</x:v>
      </x:c>
      <x:c r="S118" s="24" t="n">
        <x:v>0.003101329993439494</x:v>
      </x:c>
    </x:row>
    <x:row r="119">
      <x:c r="G119" t="str">
        <x:v>DFW-ONT</x:v>
      </x:c>
      <x:c r="H119" t="str">
        <x:v>DFW</x:v>
      </x:c>
      <x:c r="I119" t="str">
        <x:v>ONT</x:v>
      </x:c>
      <x:c r="J119" s="23" t="n">
        <x:v>7110</x:v>
      </x:c>
      <x:c r="K119" s="24" t="n">
        <x:v>0.3037974683544304</x:v>
      </x:c>
      <x:c r="L119" s="24" t="n">
        <x:v>0.019831223628691982</x:v>
      </x:c>
      <x:c r="N119" t="str">
        <x:v>DAL</x:v>
      </x:c>
      <x:c r="O119" t="str">
        <x:v>Dallas, TX</x:v>
      </x:c>
      <x:c r="P119" t="str">
        <x:v>TX</x:v>
      </x:c>
      <x:c r="Q119" s="23" t="n">
        <x:v>218797</x:v>
      </x:c>
      <x:c r="R119" s="24" t="n">
        <x:v>0.013533092318450436</x:v>
      </x:c>
      <x:c r="S119" s="24" t="n">
        <x:v>0.0022212370370708924</x:v>
      </x:c>
    </x:row>
    <x:row r="120">
      <x:c r="G120" t="str">
        <x:v>SFO-ASE</x:v>
      </x:c>
      <x:c r="H120" t="str">
        <x:v>SFO</x:v>
      </x:c>
      <x:c r="I120" t="str">
        <x:v>ASE</x:v>
      </x:c>
      <x:c r="J120" s="23" t="n">
        <x:v>1034</x:v>
      </x:c>
      <x:c r="K120" s="24" t="n">
        <x:v>0.3036750483558994</x:v>
      </x:c>
      <x:c r="L120" s="24" t="n">
        <x:v>0.045454545454545456</x:v>
      </x:c>
      <x:c r="N120" t="str">
        <x:v>BMI</x:v>
      </x:c>
      <x:c r="O120" t="str">
        <x:v>Bloomington/Normal, IL</x:v>
      </x:c>
      <x:c r="P120" t="str">
        <x:v>IL</x:v>
      </x:c>
      <x:c r="Q120" s="23" t="n">
        <x:v>5254</x:v>
      </x:c>
      <x:c r="R120" s="24" t="n">
        <x:v>0.013513513513513514</x:v>
      </x:c>
      <x:c r="S120" s="24" t="n">
        <x:v>0.002854967643700038</x:v>
      </x:c>
    </x:row>
    <x:row r="121">
      <x:c r="G121" t="str">
        <x:v>DFW-BOI</x:v>
      </x:c>
      <x:c r="H121" t="str">
        <x:v>DFW</x:v>
      </x:c>
      <x:c r="I121" t="str">
        <x:v>BOI</x:v>
      </x:c>
      <x:c r="J121" s="23" t="n">
        <x:v>2422</x:v>
      </x:c>
      <x:c r="K121" s="24" t="n">
        <x:v>0.30346820809248554</x:v>
      </x:c>
      <x:c r="L121" s="24" t="n">
        <x:v>0.016928158546655657</x:v>
      </x:c>
      <x:c r="N121" t="str">
        <x:v>LIT</x:v>
      </x:c>
      <x:c r="O121" t="str">
        <x:v>Little Rock, AR</x:v>
      </x:c>
      <x:c r="P121" t="str">
        <x:v>AR</x:v>
      </x:c>
      <x:c r="Q121" s="23" t="n">
        <x:v>37096</x:v>
      </x:c>
      <x:c r="R121" s="24" t="n">
        <x:v>0.013478542160879878</x:v>
      </x:c>
      <x:c r="S121" s="24" t="n">
        <x:v>0.002075695492775501</x:v>
      </x:c>
    </x:row>
    <x:row r="122">
      <x:c r="G122" t="str">
        <x:v>DFW-BNA</x:v>
      </x:c>
      <x:c r="H122" t="str">
        <x:v>DFW</x:v>
      </x:c>
      <x:c r="I122" t="str">
        <x:v>BNA</x:v>
      </x:c>
      <x:c r="J122" s="23" t="n">
        <x:v>9850</x:v>
      </x:c>
      <x:c r="K122" s="24" t="n">
        <x:v>0.3034517766497462</x:v>
      </x:c>
      <x:c r="L122" s="24" t="n">
        <x:v>0.026091370558375633</x:v>
      </x:c>
      <x:c r="N122" t="str">
        <x:v>CMH</x:v>
      </x:c>
      <x:c r="O122" t="str">
        <x:v>Columbus, OH</x:v>
      </x:c>
      <x:c r="P122" t="str">
        <x:v>OH</x:v>
      </x:c>
      <x:c r="Q122" s="23" t="n">
        <x:v>128057</x:v>
      </x:c>
      <x:c r="R122" s="24" t="n">
        <x:v>0.013447136821884005</x:v>
      </x:c>
      <x:c r="S122" s="24" t="n">
        <x:v>0.002131863154688928</x:v>
      </x:c>
    </x:row>
    <x:row r="123">
      <x:c r="G123" t="str">
        <x:v>SFB-TYS</x:v>
      </x:c>
      <x:c r="H123" t="str">
        <x:v>SFB</x:v>
      </x:c>
      <x:c r="I123" t="str">
        <x:v>TYS</x:v>
      </x:c>
      <x:c r="J123" s="23" t="n">
        <x:v>1816</x:v>
      </x:c>
      <x:c r="K123" s="24" t="n">
        <x:v>0.30341409691629956</x:v>
      </x:c>
      <x:c r="L123" s="24" t="n">
        <x:v>0.009361233480176211</x:v>
      </x:c>
      <x:c r="N123" t="str">
        <x:v>MIA</x:v>
      </x:c>
      <x:c r="O123" t="str">
        <x:v>Miami, FL</x:v>
      </x:c>
      <x:c r="P123" t="str">
        <x:v>FL</x:v>
      </x:c>
      <x:c r="Q123" s="23" t="n">
        <x:v>324386</x:v>
      </x:c>
      <x:c r="R123" s="24" t="n">
        <x:v>0.013443860092605724</x:v>
      </x:c>
      <x:c r="S123" s="24" t="n">
        <x:v>0.003085829844691201</x:v>
      </x:c>
    </x:row>
    <x:row r="124">
      <x:c r="G124" t="str">
        <x:v>MIA-CLE</x:v>
      </x:c>
      <x:c r="H124" t="str">
        <x:v>MIA</x:v>
      </x:c>
      <x:c r="I124" t="str">
        <x:v>CLE</x:v>
      </x:c>
      <x:c r="J124" s="23" t="n">
        <x:v>2236</x:v>
      </x:c>
      <x:c r="K124" s="24" t="n">
        <x:v>0.3032200357781753</x:v>
      </x:c>
      <x:c r="L124" s="24" t="n">
        <x:v>0.012075134168157423</x:v>
      </x:c>
      <x:c r="N124" t="str">
        <x:v>CLT</x:v>
      </x:c>
      <x:c r="O124" t="str">
        <x:v>Charlotte, NC</x:v>
      </x:c>
      <x:c r="P124" t="str">
        <x:v>NC</x:v>
      </x:c>
      <x:c r="Q124" s="23" t="n">
        <x:v>608080</x:v>
      </x:c>
      <x:c r="R124" s="24" t="n">
        <x:v>0.013317326667543745</x:v>
      </x:c>
      <x:c r="S124" s="24" t="n">
        <x:v>0.0023121957637153006</x:v>
      </x:c>
    </x:row>
    <x:row r="125">
      <x:c r="G125" t="str">
        <x:v>MDW-SEA</x:v>
      </x:c>
      <x:c r="H125" t="str">
        <x:v>MDW</x:v>
      </x:c>
      <x:c r="I125" t="str">
        <x:v>SEA</x:v>
      </x:c>
      <x:c r="J125" s="23" t="n">
        <x:v>1679</x:v>
      </x:c>
      <x:c r="K125" s="24" t="n">
        <x:v>0.30315664085765337</x:v>
      </x:c>
      <x:c r="L125" s="24" t="n">
        <x:v>0.00357355568790947</x:v>
      </x:c>
      <x:c r="N125" t="str">
        <x:v>MAF</x:v>
      </x:c>
      <x:c r="O125" t="str">
        <x:v>Midland/Odessa, TX</x:v>
      </x:c>
      <x:c r="P125" t="str">
        <x:v>TX</x:v>
      </x:c>
      <x:c r="Q125" s="23" t="n">
        <x:v>27259</x:v>
      </x:c>
      <x:c r="R125" s="24" t="n">
        <x:v>0.013169962214314539</x:v>
      </x:c>
      <x:c r="S125" s="24" t="n">
        <x:v>0.0030081807843281116</x:v>
      </x:c>
    </x:row>
    <x:row r="126">
      <x:c r="G126" t="str">
        <x:v>DFW-JAX</x:v>
      </x:c>
      <x:c r="H126" t="str">
        <x:v>DFW</x:v>
      </x:c>
      <x:c r="I126" t="str">
        <x:v>JAX</x:v>
      </x:c>
      <x:c r="J126" s="23" t="n">
        <x:v>5592</x:v>
      </x:c>
      <x:c r="K126" s="24" t="n">
        <x:v>0.30185979971387694</x:v>
      </x:c>
      <x:c r="L126" s="24" t="n">
        <x:v>0.022532188841201718</x:v>
      </x:c>
      <x:c r="N126" t="str">
        <x:v>CAK</x:v>
      </x:c>
      <x:c r="O126" t="str">
        <x:v>Akron, OH</x:v>
      </x:c>
      <x:c r="P126" t="str">
        <x:v>OH</x:v>
      </x:c>
      <x:c r="Q126" s="23" t="n">
        <x:v>11010</x:v>
      </x:c>
      <x:c r="R126" s="24" t="n">
        <x:v>0.012988192552225249</x:v>
      </x:c>
      <x:c r="S126" s="24" t="n">
        <x:v>0.002452316076294278</x:v>
      </x:c>
    </x:row>
    <x:row r="127">
      <x:c r="G127" t="str">
        <x:v>DTW-SBN</x:v>
      </x:c>
      <x:c r="H127" t="str">
        <x:v>DTW</x:v>
      </x:c>
      <x:c r="I127" t="str">
        <x:v>SBN</x:v>
      </x:c>
      <x:c r="J127" s="23" t="n">
        <x:v>1047</x:v>
      </x:c>
      <x:c r="K127" s="24" t="n">
        <x:v>0.3018147086914995</x:v>
      </x:c>
      <x:c r="L127" s="24" t="n">
        <x:v>0.007640878701050621</x:v>
      </x:c>
      <x:c r="N127" t="str">
        <x:v>COS</x:v>
      </x:c>
      <x:c r="O127" t="str">
        <x:v>Colorado Springs, CO</x:v>
      </x:c>
      <x:c r="P127" t="str">
        <x:v>CO</x:v>
      </x:c>
      <x:c r="Q127" s="23" t="n">
        <x:v>37596</x:v>
      </x:c>
      <x:c r="R127" s="24" t="n">
        <x:v>0.012953505692094905</x:v>
      </x:c>
      <x:c r="S127" s="24" t="n">
        <x:v>0.002447068837110331</x:v>
      </x:c>
    </x:row>
    <x:row r="128">
      <x:c r="G128" t="str">
        <x:v>CLT-CID</x:v>
      </x:c>
      <x:c r="H128" t="str">
        <x:v>CLT</x:v>
      </x:c>
      <x:c r="I128" t="str">
        <x:v>CID</x:v>
      </x:c>
      <x:c r="J128" s="23" t="n">
        <x:v>1478</x:v>
      </x:c>
      <x:c r="K128" s="24" t="n">
        <x:v>0.3017591339648173</x:v>
      </x:c>
      <x:c r="L128" s="24" t="n">
        <x:v>0.014884979702300407</x:v>
      </x:c>
      <x:c r="N128" t="str">
        <x:v>MCI</x:v>
      </x:c>
      <x:c r="O128" t="str">
        <x:v>Kansas City, MO</x:v>
      </x:c>
      <x:c r="P128" t="str">
        <x:v>MO</x:v>
      </x:c>
      <x:c r="Q128" s="23" t="n">
        <x:v>146549</x:v>
      </x:c>
      <x:c r="R128" s="24" t="n">
        <x:v>0.012930828596578618</x:v>
      </x:c>
      <x:c r="S128" s="24" t="n">
        <x:v>0.002374632375519451</x:v>
      </x:c>
    </x:row>
    <x:row r="129">
      <x:c r="G129" t="str">
        <x:v>DFW-SJU</x:v>
      </x:c>
      <x:c r="H129" t="str">
        <x:v>DFW</x:v>
      </x:c>
      <x:c r="I129" t="str">
        <x:v>SJU</x:v>
      </x:c>
      <x:c r="J129" s="23" t="n">
        <x:v>2678</x:v>
      </x:c>
      <x:c r="K129" s="24" t="n">
        <x:v>0.3017176997759522</x:v>
      </x:c>
      <x:c r="L129" s="24" t="n">
        <x:v>0.006348020911127707</x:v>
      </x:c>
      <x:c r="N129" t="str">
        <x:v>FAR</x:v>
      </x:c>
      <x:c r="O129" t="str">
        <x:v>Fargo, ND</x:v>
      </x:c>
      <x:c r="P129" t="str">
        <x:v>ND</x:v>
      </x:c>
      <x:c r="Q129" s="23" t="n">
        <x:v>19988</x:v>
      </x:c>
      <x:c r="R129" s="24" t="n">
        <x:v>0.01265759455673404</x:v>
      </x:c>
      <x:c r="S129" s="24" t="n">
        <x:v>0.002051230738443066</x:v>
      </x:c>
    </x:row>
    <x:row r="130">
      <x:c r="G130" t="str">
        <x:v>MIA-SFO</x:v>
      </x:c>
      <x:c r="H130" t="str">
        <x:v>MIA</x:v>
      </x:c>
      <x:c r="I130" t="str">
        <x:v>SFO</x:v>
      </x:c>
      <x:c r="J130" s="23" t="n">
        <x:v>4528</x:v>
      </x:c>
      <x:c r="K130" s="24" t="n">
        <x:v>0.30123674911660775</x:v>
      </x:c>
      <x:c r="L130" s="24" t="n">
        <x:v>0.007729681978798587</x:v>
      </x:c>
      <x:c r="N130" t="str">
        <x:v>TUL</x:v>
      </x:c>
      <x:c r="O130" t="str">
        <x:v>Tulsa, OK</x:v>
      </x:c>
      <x:c r="P130" t="str">
        <x:v>OK</x:v>
      </x:c>
      <x:c r="Q130" s="23" t="n">
        <x:v>51784</x:v>
      </x:c>
      <x:c r="R130" s="24" t="n">
        <x:v>0.01262938359338792</x:v>
      </x:c>
      <x:c r="S130" s="24" t="n">
        <x:v>0.0021435192337401513</x:v>
      </x:c>
    </x:row>
    <x:row r="131">
      <x:c r="G131" t="str">
        <x:v>CLT-SEA</x:v>
      </x:c>
      <x:c r="H131" t="str">
        <x:v>CLT</x:v>
      </x:c>
      <x:c r="I131" t="str">
        <x:v>SEA</x:v>
      </x:c>
      <x:c r="J131" s="23" t="n">
        <x:v>3783</x:v>
      </x:c>
      <x:c r="K131" s="24" t="n">
        <x:v>0.30055511498810467</x:v>
      </x:c>
      <x:c r="L131" s="24" t="n">
        <x:v>0.008723235527359239</x:v>
      </x:c>
      <x:c r="N131" t="str">
        <x:v>MDT</x:v>
      </x:c>
      <x:c r="O131" t="str">
        <x:v>Harrisburg, PA</x:v>
      </x:c>
      <x:c r="P131" t="str">
        <x:v>PA</x:v>
      </x:c>
      <x:c r="Q131" s="23" t="n">
        <x:v>16004</x:v>
      </x:c>
      <x:c r="R131" s="24" t="n">
        <x:v>0.01255936015996001</x:v>
      </x:c>
      <x:c r="S131" s="24" t="n">
        <x:v>0.002124468882779305</x:v>
      </x:c>
    </x:row>
    <x:row r="132">
      <x:c r="G132" t="str">
        <x:v>DCA-LIT</x:v>
      </x:c>
      <x:c r="H132" t="str">
        <x:v>DCA</x:v>
      </x:c>
      <x:c r="I132" t="str">
        <x:v>LIT</x:v>
      </x:c>
      <x:c r="J132" s="23" t="n">
        <x:v>1084</x:v>
      </x:c>
      <x:c r="K132" s="24" t="n">
        <x:v>0.29981549815498154</x:v>
      </x:c>
      <x:c r="L132" s="24" t="n">
        <x:v>0.017527675276752766</x:v>
      </x:c>
      <x:c r="N132" t="str">
        <x:v>ANC</x:v>
      </x:c>
      <x:c r="O132" t="str">
        <x:v>Anchorage, AK</x:v>
      </x:c>
      <x:c r="P132" t="str">
        <x:v>AK</x:v>
      </x:c>
      <x:c r="Q132" s="23" t="n">
        <x:v>55253</x:v>
      </x:c>
      <x:c r="R132" s="24" t="n">
        <x:v>0.012469911136046912</x:v>
      </x:c>
      <x:c r="S132" s="24" t="n">
        <x:v>0.002588094764085208</x:v>
      </x:c>
    </x:row>
    <x:row r="133">
      <x:c r="G133" t="str">
        <x:v>AZA-PVU</x:v>
      </x:c>
      <x:c r="H133" t="str">
        <x:v>AZA</x:v>
      </x:c>
      <x:c r="I133" t="str">
        <x:v>PVU</x:v>
      </x:c>
      <x:c r="J133" s="23" t="n">
        <x:v>1982</x:v>
      </x:c>
      <x:c r="K133" s="24" t="n">
        <x:v>0.29969727547931385</x:v>
      </x:c>
      <x:c r="L133" s="24" t="n">
        <x:v>0.008577194752774974</x:v>
      </x:c>
      <x:c r="N133" t="str">
        <x:v>VPS</x:v>
      </x:c>
      <x:c r="O133" t="str">
        <x:v>Valparaiso, FL</x:v>
      </x:c>
      <x:c r="P133" t="str">
        <x:v>FL</x:v>
      </x:c>
      <x:c r="Q133" s="23" t="n">
        <x:v>29661</x:v>
      </x:c>
      <x:c r="R133" s="24" t="n">
        <x:v>0.01244057853747345</x:v>
      </x:c>
      <x:c r="S133" s="24" t="n">
        <x:v>0.002764573008327433</x:v>
      </x:c>
    </x:row>
    <x:row r="134">
      <x:c r="G134" t="str">
        <x:v>DEN-OAK</x:v>
      </x:c>
      <x:c r="H134" t="str">
        <x:v>DEN</x:v>
      </x:c>
      <x:c r="I134" t="str">
        <x:v>OAK</x:v>
      </x:c>
      <x:c r="J134" s="23" t="n">
        <x:v>5536</x:v>
      </x:c>
      <x:c r="K134" s="24" t="n">
        <x:v>0.2991329479768786</x:v>
      </x:c>
      <x:c r="L134" s="24" t="n">
        <x:v>0.008309248554913294</x:v>
      </x:c>
      <x:c r="N134" t="str">
        <x:v>BNA</x:v>
      </x:c>
      <x:c r="O134" t="str">
        <x:v>Nashville, TN</x:v>
      </x:c>
      <x:c r="P134" t="str">
        <x:v>TN</x:v>
      </x:c>
      <x:c r="Q134" s="23" t="n">
        <x:v>301950</x:v>
      </x:c>
      <x:c r="R134" s="24" t="n">
        <x:v>0.012425898327537672</x:v>
      </x:c>
      <x:c r="S134" s="24" t="n">
        <x:v>0.002301705580394105</x:v>
      </x:c>
    </x:row>
    <x:row r="135">
      <x:c r="G135" t="str">
        <x:v>DEN-BDL</x:v>
      </x:c>
      <x:c r="H135" t="str">
        <x:v>DEN</x:v>
      </x:c>
      <x:c r="I135" t="str">
        <x:v>BDL</x:v>
      </x:c>
      <x:c r="J135" s="23" t="n">
        <x:v>2482</x:v>
      </x:c>
      <x:c r="K135" s="24" t="n">
        <x:v>0.29814665592264306</x:v>
      </x:c>
      <x:c r="L135" s="24" t="n">
        <x:v>0.008863819500402902</x:v>
      </x:c>
      <x:c r="N135" t="str">
        <x:v>MDW</x:v>
      </x:c>
      <x:c r="O135" t="str">
        <x:v>Chicago, IL</x:v>
      </x:c>
      <x:c r="P135" t="str">
        <x:v>IL</x:v>
      </x:c>
      <x:c r="Q135" s="23" t="n">
        <x:v>238746</x:v>
      </x:c>
      <x:c r="R135" s="24" t="n">
        <x:v>0.012280834024444388</x:v>
      </x:c>
      <x:c r="S135" s="24" t="n">
        <x:v>0.0025675822841010948</x:v>
      </x:c>
    </x:row>
    <x:row r="136">
      <x:c r="G136" t="str">
        <x:v>BWI-SEA</x:v>
      </x:c>
      <x:c r="H136" t="str">
        <x:v>BWI</x:v>
      </x:c>
      <x:c r="I136" t="str">
        <x:v>SEA</x:v>
      </x:c>
      <x:c r="J136" s="23" t="n">
        <x:v>1771</x:v>
      </x:c>
      <x:c r="K136" s="24" t="n">
        <x:v>0.2981366459627329</x:v>
      </x:c>
      <x:c r="L136" s="24" t="n">
        <x:v>0.012422360248447204</x:v>
      </x:c>
      <x:c r="N136" t="str">
        <x:v>XNA</x:v>
      </x:c>
      <x:c r="O136" t="str">
        <x:v>Fayetteville, AR</x:v>
      </x:c>
      <x:c r="P136" t="str">
        <x:v>AR</x:v>
      </x:c>
      <x:c r="Q136" s="23" t="n">
        <x:v>38288</x:v>
      </x:c>
      <x:c r="R136" s="24" t="n">
        <x:v>0.01227538654408692</x:v>
      </x:c>
      <x:c r="S136" s="24" t="n">
        <x:v>0.002350605933974091</x:v>
      </x:c>
    </x:row>
    <x:row r="137">
      <x:c r="G137" t="str">
        <x:v>DFW-PHX</x:v>
      </x:c>
      <x:c r="H137" t="str">
        <x:v>DFW</x:v>
      </x:c>
      <x:c r="I137" t="str">
        <x:v>PHX</x:v>
      </x:c>
      <x:c r="J137" s="23" t="n">
        <x:v>15121</x:v>
      </x:c>
      <x:c r="K137" s="24" t="n">
        <x:v>0.2977316315058528</x:v>
      </x:c>
      <x:c r="L137" s="24" t="n">
        <x:v>0.01494610144831691</x:v>
      </x:c>
      <x:c r="N137" t="str">
        <x:v>SGF</x:v>
      </x:c>
      <x:c r="O137" t="str">
        <x:v>Springfield, MO</x:v>
      </x:c>
      <x:c r="P137" t="str">
        <x:v>MO</x:v>
      </x:c>
      <x:c r="Q137" s="23" t="n">
        <x:v>25852</x:v>
      </x:c>
      <x:c r="R137" s="24" t="n">
        <x:v>0.012223425653721183</x:v>
      </x:c>
      <x:c r="S137" s="24" t="n">
        <x:v>0.002320903605136933</x:v>
      </x:c>
    </x:row>
    <x:row r="138">
      <x:c r="G138" t="str">
        <x:v>DFW-MCI</x:v>
      </x:c>
      <x:c r="H138" t="str">
        <x:v>DFW</x:v>
      </x:c>
      <x:c r="I138" t="str">
        <x:v>MCI</x:v>
      </x:c>
      <x:c r="J138" s="23" t="n">
        <x:v>7313</x:v>
      </x:c>
      <x:c r="K138" s="24" t="n">
        <x:v>0.2974155613291399</x:v>
      </x:c>
      <x:c r="L138" s="24" t="n">
        <x:v>0.023793244906331192</x:v>
      </x:c>
      <x:c r="N138" t="str">
        <x:v>SUN</x:v>
      </x:c>
      <x:c r="O138" t="str">
        <x:v>Sun Valley/Hailey/Ketchum, ID</x:v>
      </x:c>
      <x:c r="P138" t="str">
        <x:v>ID</x:v>
      </x:c>
      <x:c r="Q138" s="23" t="n">
        <x:v>6189</x:v>
      </x:c>
      <x:c r="R138" s="24" t="n">
        <x:v>0.01195669736629504</x:v>
      </x:c>
      <x:c r="S138" s="24" t="n">
        <x:v>0.003554693811601228</x:v>
      </x:c>
    </x:row>
    <x:row r="139">
      <x:c r="G139" t="str">
        <x:v>JFK-SJU</x:v>
      </x:c>
      <x:c r="H139" t="str">
        <x:v>JFK</x:v>
      </x:c>
      <x:c r="I139" t="str">
        <x:v>SJU</x:v>
      </x:c>
      <x:c r="J139" s="23" t="n">
        <x:v>10943</x:v>
      </x:c>
      <x:c r="K139" s="24" t="n">
        <x:v>0.2973590423101526</x:v>
      </x:c>
      <x:c r="L139" s="24" t="n">
        <x:v>0.011148679521155076</x:v>
      </x:c>
      <x:c r="N139" t="str">
        <x:v>IAD</x:v>
      </x:c>
      <x:c r="O139" t="str">
        <x:v>Washington, DC</x:v>
      </x:c>
      <x:c r="P139" t="str">
        <x:v>VA</x:v>
      </x:c>
      <x:c r="Q139" s="23" t="n">
        <x:v>160252</x:v>
      </x:c>
      <x:c r="R139" s="24" t="n">
        <x:v>0.011862566457828919</x:v>
      </x:c>
      <x:c r="S139" s="24" t="n">
        <x:v>0.002215260963981729</x:v>
      </x:c>
    </x:row>
    <x:row r="140">
      <x:c r="G140" t="str">
        <x:v>DFW-MIA</x:v>
      </x:c>
      <x:c r="H140" t="str">
        <x:v>DFW</x:v>
      </x:c>
      <x:c r="I140" t="str">
        <x:v>MIA</x:v>
      </x:c>
      <x:c r="J140" s="23" t="n">
        <x:v>13861</x:v>
      </x:c>
      <x:c r="K140" s="24" t="n">
        <x:v>0.2970204169973306</x:v>
      </x:c>
      <x:c r="L140" s="24" t="n">
        <x:v>0.016809753986003897</x:v>
      </x:c>
      <x:c r="N140" t="str">
        <x:v>BWI</x:v>
      </x:c>
      <x:c r="O140" t="str">
        <x:v>Baltimore, MD</x:v>
      </x:c>
      <x:c r="P140" t="str">
        <x:v>MD</x:v>
      </x:c>
      <x:c r="Q140" s="23" t="n">
        <x:v>290943</x:v>
      </x:c>
      <x:c r="R140" s="24" t="n">
        <x:v>0.011827058908445985</x:v>
      </x:c>
      <x:c r="S140" s="24" t="n">
        <x:v>0.002093193512131242</x:v>
      </x:c>
    </x:row>
    <x:row r="141">
      <x:c r="G141" t="str">
        <x:v>FLL-BDL</x:v>
      </x:c>
      <x:c r="H141" t="str">
        <x:v>FLL</x:v>
      </x:c>
      <x:c r="I141" t="str">
        <x:v>BDL</x:v>
      </x:c>
      <x:c r="J141" s="23" t="n">
        <x:v>2200</x:v>
      </x:c>
      <x:c r="K141" s="24" t="n">
        <x:v>0.2968181818181818</x:v>
      </x:c>
      <x:c r="L141" s="24" t="n">
        <x:v>0.012727272727272728</x:v>
      </x:c>
      <x:c r="N141" t="str">
        <x:v>OMA</x:v>
      </x:c>
      <x:c r="O141" t="str">
        <x:v>Omaha, NE</x:v>
      </x:c>
      <x:c r="P141" t="str">
        <x:v>NE</x:v>
      </x:c>
      <x:c r="Q141" s="23" t="n">
        <x:v>70992</x:v>
      </x:c>
      <x:c r="R141" s="24" t="n">
        <x:v>0.0116351138156412</x:v>
      </x:c>
      <x:c r="S141" s="24" t="n">
        <x:v>0.0021692585080009016</x:v>
      </x:c>
    </x:row>
    <x:row r="142">
      <x:c r="G142" t="str">
        <x:v>MIA-SDF</x:v>
      </x:c>
      <x:c r="H142" t="str">
        <x:v>MIA</x:v>
      </x:c>
      <x:c r="I142" t="str">
        <x:v>SDF</x:v>
      </x:c>
      <x:c r="J142" s="23" t="n">
        <x:v>1422</x:v>
      </x:c>
      <x:c r="K142" s="24" t="n">
        <x:v>0.2967651195499297</x:v>
      </x:c>
      <x:c r="L142" s="24" t="n">
        <x:v>0.007735583684950774</x:v>
      </x:c>
      <x:c r="N142" t="str">
        <x:v>LNK</x:v>
      </x:c>
      <x:c r="O142" t="str">
        <x:v>Lincoln, NE</x:v>
      </x:c>
      <x:c r="P142" t="str">
        <x:v>NE</x:v>
      </x:c>
      <x:c r="Q142" s="23" t="n">
        <x:v>5594</x:v>
      </x:c>
      <x:c r="R142" s="24" t="n">
        <x:v>0.011619592420450483</x:v>
      </x:c>
      <x:c r="S142" s="24" t="n">
        <x:v>0.00446907400786557</x:v>
      </x:c>
    </x:row>
    <x:row r="143">
      <x:c r="G143" t="str">
        <x:v>BOS-MCO</x:v>
      </x:c>
      <x:c r="H143" t="str">
        <x:v>BOS</x:v>
      </x:c>
      <x:c r="I143" t="str">
        <x:v>MCO</x:v>
      </x:c>
      <x:c r="J143" s="23" t="n">
        <x:v>14592</x:v>
      </x:c>
      <x:c r="K143" s="24" t="n">
        <x:v>0.2963267543859649</x:v>
      </x:c>
      <x:c r="L143" s="24" t="n">
        <x:v>0.01836622807017544</x:v>
      </x:c>
      <x:c r="N143" t="str">
        <x:v>ECP</x:v>
      </x:c>
      <x:c r="O143" t="str">
        <x:v>Panama City, FL</x:v>
      </x:c>
      <x:c r="P143" t="str">
        <x:v>FL</x:v>
      </x:c>
      <x:c r="Q143" s="23" t="n">
        <x:v>24145</x:v>
      </x:c>
      <x:c r="R143" s="24" t="n">
        <x:v>0.011555187409401533</x:v>
      </x:c>
      <x:c r="S143" s="24" t="n">
        <x:v>0.0025264029819838476</x:v>
      </x:c>
    </x:row>
    <x:row r="144">
      <x:c r="G144" t="str">
        <x:v>GRR-DFW</x:v>
      </x:c>
      <x:c r="H144" t="str">
        <x:v>GRR</x:v>
      </x:c>
      <x:c r="I144" t="str">
        <x:v>DFW</x:v>
      </x:c>
      <x:c r="J144" s="23" t="n">
        <x:v>3227</x:v>
      </x:c>
      <x:c r="K144" s="24" t="n">
        <x:v>0.296250387356678</x:v>
      </x:c>
      <x:c r="L144" s="24" t="n">
        <x:v>0.019832661915091417</x:v>
      </x:c>
      <x:c r="N144" t="str">
        <x:v>PIE</x:v>
      </x:c>
      <x:c r="O144" t="str">
        <x:v>St. Petersburg, FL</x:v>
      </x:c>
      <x:c r="P144" t="str">
        <x:v>FL</x:v>
      </x:c>
      <x:c r="Q144" s="23" t="n">
        <x:v>25423</x:v>
      </x:c>
      <x:c r="R144" s="24" t="n">
        <x:v>0.011485662588994219</x:v>
      </x:c>
      <x:c r="S144" s="24" t="n">
        <x:v>0.0029500845690909805</x:v>
      </x:c>
    </x:row>
    <x:row r="145">
      <x:c r="G145" t="str">
        <x:v>MCO-HPN</x:v>
      </x:c>
      <x:c r="H145" t="str">
        <x:v>MCO</x:v>
      </x:c>
      <x:c r="I145" t="str">
        <x:v>HPN</x:v>
      </x:c>
      <x:c r="J145" s="23" t="n">
        <x:v>3852</x:v>
      </x:c>
      <x:c r="K145" s="24" t="n">
        <x:v>0.29595015576323985</x:v>
      </x:c>
      <x:c r="L145" s="24" t="n">
        <x:v>0.01142263759086189</x:v>
      </x:c>
      <x:c r="N145" t="str">
        <x:v>ABE</x:v>
      </x:c>
      <x:c r="O145" t="str">
        <x:v>Allentown/Bethlehem/Easton, PA</x:v>
      </x:c>
      <x:c r="P145" t="str">
        <x:v>PA</x:v>
      </x:c>
      <x:c r="Q145" s="23" t="n">
        <x:v>11783</x:v>
      </x:c>
      <x:c r="R145" s="24" t="n">
        <x:v>0.011457184078757532</x:v>
      </x:c>
      <x:c r="S145" s="24" t="n">
        <x:v>0.004413137571076975</x:v>
      </x:c>
    </x:row>
    <x:row r="146">
      <x:c r="G146" t="str">
        <x:v>PBI-DFW</x:v>
      </x:c>
      <x:c r="H146" t="str">
        <x:v>PBI</x:v>
      </x:c>
      <x:c r="I146" t="str">
        <x:v>DFW</x:v>
      </x:c>
      <x:c r="J146" s="23" t="n">
        <x:v>3329</x:v>
      </x:c>
      <x:c r="K146" s="24" t="n">
        <x:v>0.29528386902973863</x:v>
      </x:c>
      <x:c r="L146" s="24" t="n">
        <x:v>0.023430459597476718</x:v>
      </x:c>
      <x:c r="N146" t="str">
        <x:v>MTJ</x:v>
      </x:c>
      <x:c r="O146" t="str">
        <x:v>Montrose/Delta, CO</x:v>
      </x:c>
      <x:c r="P146" t="str">
        <x:v>CO</x:v>
      </x:c>
      <x:c r="Q146" s="23" t="n">
        <x:v>7966</x:v>
      </x:c>
      <x:c r="R146" s="24" t="n">
        <x:v>0.011423550087873463</x:v>
      </x:c>
      <x:c r="S146" s="24" t="n">
        <x:v>0.0037660055234747677</x:v>
      </x:c>
    </x:row>
    <x:row r="147">
      <x:c r="G147" t="str">
        <x:v>DFW-BOS</x:v>
      </x:c>
      <x:c r="H147" t="str">
        <x:v>DFW</x:v>
      </x:c>
      <x:c r="I147" t="str">
        <x:v>BOS</x:v>
      </x:c>
      <x:c r="J147" s="23" t="n">
        <x:v>11511</x:v>
      </x:c>
      <x:c r="K147" s="24" t="n">
        <x:v>0.29510902614890105</x:v>
      </x:c>
      <x:c r="L147" s="24" t="n">
        <x:v>0.01667969768047954</x:v>
      </x:c>
      <x:c r="N147" t="str">
        <x:v>SAN</x:v>
      </x:c>
      <x:c r="O147" t="str">
        <x:v>San Diego, CA</x:v>
      </x:c>
      <x:c r="P147" t="str">
        <x:v>CA</x:v>
      </x:c>
      <x:c r="Q147" s="23" t="n">
        <x:v>282525</x:v>
      </x:c>
      <x:c r="R147" s="24" t="n">
        <x:v>0.011421998053269622</x:v>
      </x:c>
      <x:c r="S147" s="24" t="n">
        <x:v>0.0031572427218830193</x:v>
      </x:c>
    </x:row>
    <x:row r="148">
      <x:c r="G148" t="str">
        <x:v>FLL-IND</x:v>
      </x:c>
      <x:c r="H148" t="str">
        <x:v>FLL</x:v>
      </x:c>
      <x:c r="I148" t="str">
        <x:v>IND</x:v>
      </x:c>
      <x:c r="J148" s="23" t="n">
        <x:v>3090</x:v>
      </x:c>
      <x:c r="K148" s="24" t="n">
        <x:v>0.2948220064724919</x:v>
      </x:c>
      <x:c r="L148" s="24" t="n">
        <x:v>0.008090614886731391</x:v>
      </x:c>
      <x:c r="N148" t="str">
        <x:v>GJT</x:v>
      </x:c>
      <x:c r="O148" t="str">
        <x:v>Grand Junction, CO</x:v>
      </x:c>
      <x:c r="P148" t="str">
        <x:v>CO</x:v>
      </x:c>
      <x:c r="Q148" s="23" t="n">
        <x:v>11820</x:v>
      </x:c>
      <x:c r="R148" s="24" t="n">
        <x:v>0.011336717428087987</x:v>
      </x:c>
      <x:c r="S148" s="24" t="n">
        <x:v>0.002961082910321489</x:v>
      </x:c>
    </x:row>
    <x:row r="149">
      <x:c r="G149" t="str">
        <x:v>MCO-SAN</x:v>
      </x:c>
      <x:c r="H149" t="str">
        <x:v>MCO</x:v>
      </x:c>
      <x:c r="I149" t="str">
        <x:v>SAN</x:v>
      </x:c>
      <x:c r="J149" s="23" t="n">
        <x:v>2076</x:v>
      </x:c>
      <x:c r="K149" s="24" t="n">
        <x:v>0.2947976878612717</x:v>
      </x:c>
      <x:c r="L149" s="24" t="n">
        <x:v>0.022639691714836225</x:v>
      </x:c>
      <x:c r="N149" t="str">
        <x:v>FNT</x:v>
      </x:c>
      <x:c r="O149" t="str">
        <x:v>Flint, MI</x:v>
      </x:c>
      <x:c r="P149" t="str">
        <x:v>MI</x:v>
      </x:c>
      <x:c r="Q149" s="23" t="n">
        <x:v>7598</x:v>
      </x:c>
      <x:c r="R149" s="24" t="n">
        <x:v>0.011318768096867597</x:v>
      </x:c>
      <x:c r="S149" s="24" t="n">
        <x:v>0.002237430902869176</x:v>
      </x:c>
    </x:row>
    <x:row r="150">
      <x:c r="G150" t="str">
        <x:v>PIE-CVG</x:v>
      </x:c>
      <x:c r="H150" t="str">
        <x:v>PIE</x:v>
      </x:c>
      <x:c r="I150" t="str">
        <x:v>CVG</x:v>
      </x:c>
      <x:c r="J150" s="23" t="n">
        <x:v>1086</x:v>
      </x:c>
      <x:c r="K150" s="24" t="n">
        <x:v>0.2946593001841621</x:v>
      </x:c>
      <x:c r="L150" s="24" t="n">
        <x:v>0.010128913443830571</x:v>
      </x:c>
      <x:c r="N150" t="str">
        <x:v>STL</x:v>
      </x:c>
      <x:c r="O150" t="str">
        <x:v>St. Louis, MO</x:v>
      </x:c>
      <x:c r="P150" t="str">
        <x:v>MO</x:v>
      </x:c>
      <x:c r="Q150" s="23" t="n">
        <x:v>191684</x:v>
      </x:c>
      <x:c r="R150" s="24" t="n">
        <x:v>0.01129984766595021</x:v>
      </x:c>
      <x:c r="S150" s="24" t="n">
        <x:v>0.002133720080966591</x:v>
      </x:c>
    </x:row>
    <x:row r="151">
      <x:c r="G151" t="str">
        <x:v>DFW-OMA</x:v>
      </x:c>
      <x:c r="H151" t="str">
        <x:v>DFW</x:v>
      </x:c>
      <x:c r="I151" t="str">
        <x:v>OMA</x:v>
      </x:c>
      <x:c r="J151" s="23" t="n">
        <x:v>4414</x:v>
      </x:c>
      <x:c r="K151" s="24" t="n">
        <x:v>0.2945174444947893</x:v>
      </x:c>
      <x:c r="L151" s="24" t="n">
        <x:v>0.020163117353874035</x:v>
      </x:c>
      <x:c r="N151" t="str">
        <x:v>OKC</x:v>
      </x:c>
      <x:c r="O151" t="str">
        <x:v>Oklahoma City, OK</x:v>
      </x:c>
      <x:c r="P151" t="str">
        <x:v>OK</x:v>
      </x:c>
      <x:c r="Q151" s="23" t="n">
        <x:v>68296</x:v>
      </x:c>
      <x:c r="R151" s="24" t="n">
        <x:v>0.011113388778259342</x:v>
      </x:c>
      <x:c r="S151" s="24" t="n">
        <x:v>0.002708797001288509</x:v>
      </x:c>
    </x:row>
    <x:row r="152">
      <x:c r="G152" t="str">
        <x:v>TPA-HPN</x:v>
      </x:c>
      <x:c r="H152" t="str">
        <x:v>TPA</x:v>
      </x:c>
      <x:c r="I152" t="str">
        <x:v>HPN</x:v>
      </x:c>
      <x:c r="J152" s="23" t="n">
        <x:v>1098</x:v>
      </x:c>
      <x:c r="K152" s="24" t="n">
        <x:v>0.2941712204007286</x:v>
      </x:c>
      <x:c r="L152" s="24" t="n">
        <x:v>0.020036429872495445</x:v>
      </x:c>
      <x:c r="N152" t="str">
        <x:v>SBP</x:v>
      </x:c>
      <x:c r="O152" t="str">
        <x:v>San Luis Obispo, CA</x:v>
      </x:c>
      <x:c r="P152" t="str">
        <x:v>CA</x:v>
      </x:c>
      <x:c r="Q152" s="23" t="n">
        <x:v>15488</x:v>
      </x:c>
      <x:c r="R152" s="24" t="n">
        <x:v>0.011040805785123967</x:v>
      </x:c>
      <x:c r="S152" s="24" t="n">
        <x:v>0.002518078512396694</x:v>
      </x:c>
    </x:row>
    <x:row r="153">
      <x:c r="G153" t="str">
        <x:v>DFW-RDU</x:v>
      </x:c>
      <x:c r="H153" t="str">
        <x:v>DFW</x:v>
      </x:c>
      <x:c r="I153" t="str">
        <x:v>RDU</x:v>
      </x:c>
      <x:c r="J153" s="23" t="n">
        <x:v>6419</x:v>
      </x:c>
      <x:c r="K153" s="24" t="n">
        <x:v>0.2941268110297554</x:v>
      </x:c>
      <x:c r="L153" s="24" t="n">
        <x:v>0.01791556317183362</x:v>
      </x:c>
      <x:c r="N153" t="str">
        <x:v>SAT</x:v>
      </x:c>
      <x:c r="O153" t="str">
        <x:v>San Antonio, TX</x:v>
      </x:c>
      <x:c r="P153" t="str">
        <x:v>TX</x:v>
      </x:c>
      <x:c r="Q153" s="23" t="n">
        <x:v>122957</x:v>
      </x:c>
      <x:c r="R153" s="24" t="n">
        <x:v>0.011020112722333823</x:v>
      </x:c>
      <x:c r="S153" s="24" t="n">
        <x:v>0.0021714908463934548</x:v>
      </x:c>
    </x:row>
    <x:row r="154">
      <x:c r="G154" t="str">
        <x:v>PNS-DEN</x:v>
      </x:c>
      <x:c r="H154" t="str">
        <x:v>PNS</x:v>
      </x:c>
      <x:c r="I154" t="str">
        <x:v>DEN</x:v>
      </x:c>
      <x:c r="J154" s="23" t="n">
        <x:v>1239</x:v>
      </x:c>
      <x:c r="K154" s="24" t="n">
        <x:v>0.2937853107344633</x:v>
      </x:c>
      <x:c r="L154" s="24" t="n">
        <x:v>0.013720742534301856</x:v>
      </x:c>
      <x:c r="N154" t="str">
        <x:v>DTW</x:v>
      </x:c>
      <x:c r="O154" t="str">
        <x:v>Detroit, MI</x:v>
      </x:c>
      <x:c r="P154" t="str">
        <x:v>MI</x:v>
      </x:c>
      <x:c r="Q154" s="23" t="n">
        <x:v>379972</x:v>
      </x:c>
      <x:c r="R154" s="24" t="n">
        <x:v>0.011019232996115503</x:v>
      </x:c>
      <x:c r="S154" s="24" t="n">
        <x:v>0.0021922667986062133</x:v>
      </x:c>
    </x:row>
    <x:row r="155">
      <x:c r="G155" t="str">
        <x:v>SFB-CVG</x:v>
      </x:c>
      <x:c r="H155" t="str">
        <x:v>SFB</x:v>
      </x:c>
      <x:c r="I155" t="str">
        <x:v>CVG</x:v>
      </x:c>
      <x:c r="J155" s="23" t="n">
        <x:v>1035</x:v>
      </x:c>
      <x:c r="K155" s="24" t="n">
        <x:v>0.293719806763285</x:v>
      </x:c>
      <x:c r="L155" s="24" t="n">
        <x:v>0.005797101449275362</x:v>
      </x:c>
      <x:c r="N155" t="str">
        <x:v>SJU</x:v>
      </x:c>
      <x:c r="O155" t="str">
        <x:v>San Juan, PR</x:v>
      </x:c>
      <x:c r="P155" t="str">
        <x:v>PR</x:v>
      </x:c>
      <x:c r="Q155" s="23" t="n">
        <x:v>103721</x:v>
      </x:c>
      <x:c r="R155" s="24" t="n">
        <x:v>0.010952459000588116</x:v>
      </x:c>
      <x:c r="S155" s="24" t="n">
        <x:v>0.004598875830352581</x:v>
      </x:c>
    </x:row>
    <x:row r="156">
      <x:c r="G156" t="str">
        <x:v>HSV-ORD</x:v>
      </x:c>
      <x:c r="H156" t="str">
        <x:v>HSV</x:v>
      </x:c>
      <x:c r="I156" t="str">
        <x:v>ORD</x:v>
      </x:c>
      <x:c r="J156" s="23" t="n">
        <x:v>2571</x:v>
      </x:c>
      <x:c r="K156" s="24" t="n">
        <x:v>0.29366005445352006</x:v>
      </x:c>
      <x:c r="L156" s="24" t="n">
        <x:v>0.014002333722287048</x:v>
      </x:c>
      <x:c r="N156" t="str">
        <x:v>DEN</x:v>
      </x:c>
      <x:c r="O156" t="str">
        <x:v>Denver, CO</x:v>
      </x:c>
      <x:c r="P156" t="str">
        <x:v>CO</x:v>
      </x:c>
      <x:c r="Q156" s="23" t="n">
        <x:v>915316</x:v>
      </x:c>
      <x:c r="R156" s="24" t="n">
        <x:v>0.010876025328957432</x:v>
      </x:c>
      <x:c r="S156" s="24" t="n">
        <x:v>0.002793570744966766</x:v>
      </x:c>
    </x:row>
    <x:row r="157">
      <x:c r="G157" t="str">
        <x:v>DFW-DEN</x:v>
      </x:c>
      <x:c r="H157" t="str">
        <x:v>DFW</x:v>
      </x:c>
      <x:c r="I157" t="str">
        <x:v>DEN</x:v>
      </x:c>
      <x:c r="J157" s="23" t="n">
        <x:v>18084</x:v>
      </x:c>
      <x:c r="K157" s="24" t="n">
        <x:v>0.29362972793629727</x:v>
      </x:c>
      <x:c r="L157" s="24" t="n">
        <x:v>0.020072992700729927</x:v>
      </x:c>
      <x:c r="N157" t="str">
        <x:v>AUS</x:v>
      </x:c>
      <x:c r="O157" t="str">
        <x:v>Austin, TX</x:v>
      </x:c>
      <x:c r="P157" t="str">
        <x:v>TX</x:v>
      </x:c>
      <x:c r="Q157" s="23" t="n">
        <x:v>264888</x:v>
      </x:c>
      <x:c r="R157" s="24" t="n">
        <x:v>0.01081966718009121</x:v>
      </x:c>
      <x:c r="S157" s="24" t="n">
        <x:v>0.0021631783999275164</x:v>
      </x:c>
    </x:row>
    <x:row r="158">
      <x:c r="G158" t="str">
        <x:v>JFK-PBI</x:v>
      </x:c>
      <x:c r="H158" t="str">
        <x:v>JFK</x:v>
      </x:c>
      <x:c r="I158" t="str">
        <x:v>PBI</x:v>
      </x:c>
      <x:c r="J158" s="23" t="n">
        <x:v>6546</x:v>
      </x:c>
      <x:c r="K158" s="24" t="n">
        <x:v>0.29361442102047053</x:v>
      </x:c>
      <x:c r="L158" s="24" t="n">
        <x:v>0.022761992056217536</x:v>
      </x:c>
      <x:c r="N158" t="str">
        <x:v>ATL</x:v>
      </x:c>
      <x:c r="O158" t="str">
        <x:v>Atlanta, GA</x:v>
      </x:c>
      <x:c r="P158" t="str">
        <x:v>GA</x:v>
      </x:c>
      <x:c r="Q158" s="23" t="n">
        <x:v>992806</x:v>
      </x:c>
      <x:c r="R158" s="24" t="n">
        <x:v>0.010791635022350792</x:v>
      </x:c>
      <x:c r="S158" s="24" t="n">
        <x:v>0.0024486153387469453</x:v>
      </x:c>
    </x:row>
    <x:row r="159">
      <x:c r="G159" t="str">
        <x:v>HNL-ONT</x:v>
      </x:c>
      <x:c r="H159" t="str">
        <x:v>HNL</x:v>
      </x:c>
      <x:c r="I159" t="str">
        <x:v>ONT</x:v>
      </x:c>
      <x:c r="J159" s="23" t="n">
        <x:v>1097</x:v>
      </x:c>
      <x:c r="K159" s="24" t="n">
        <x:v>0.2935278030993619</x:v>
      </x:c>
      <x:c r="L159" s="24" t="n">
        <x:v>0.0054694621695533276</x:v>
      </x:c>
      <x:c r="N159" t="str">
        <x:v>RDM</x:v>
      </x:c>
      <x:c r="O159" t="str">
        <x:v>Bend/Redmond, OR</x:v>
      </x:c>
      <x:c r="P159" t="str">
        <x:v>OR</x:v>
      </x:c>
      <x:c r="Q159" s="23" t="n">
        <x:v>18024</x:v>
      </x:c>
      <x:c r="R159" s="24" t="n">
        <x:v>0.010707944962272526</x:v>
      </x:c>
      <x:c r="S159" s="24" t="n">
        <x:v>0.002108300044385264</x:v>
      </x:c>
    </x:row>
    <x:row r="160">
      <x:c r="G160" t="str">
        <x:v>JFK-MCO</x:v>
      </x:c>
      <x:c r="H160" t="str">
        <x:v>JFK</x:v>
      </x:c>
      <x:c r="I160" t="str">
        <x:v>MCO</x:v>
      </x:c>
      <x:c r="J160" s="23" t="n">
        <x:v>14515</x:v>
      </x:c>
      <x:c r="K160" s="24" t="n">
        <x:v>0.2934205993799518</x:v>
      </x:c>
      <x:c r="L160" s="24" t="n">
        <x:v>0.019979331725800895</x:v>
      </x:c>
      <x:c r="N160" t="str">
        <x:v>SNA</x:v>
      </x:c>
      <x:c r="O160" t="str">
        <x:v>Santa Ana, CA</x:v>
      </x:c>
      <x:c r="P160" t="str">
        <x:v>CA</x:v>
      </x:c>
      <x:c r="Q160" s="23" t="n">
        <x:v>133414</x:v>
      </x:c>
      <x:c r="R160" s="24" t="n">
        <x:v>0.010696028902513978</x:v>
      </x:c>
      <x:c r="S160" s="24" t="n">
        <x:v>0.0029756997016804833</x:v>
      </x:c>
    </x:row>
    <x:row r="161">
      <x:c r="G161" t="str">
        <x:v>CLT-EWR</x:v>
      </x:c>
      <x:c r="H161" t="str">
        <x:v>CLT</x:v>
      </x:c>
      <x:c r="I161" t="str">
        <x:v>EWR</x:v>
      </x:c>
      <x:c r="J161" s="23" t="n">
        <x:v>11597</x:v>
      </x:c>
      <x:c r="K161" s="24" t="n">
        <x:v>0.2932654996981978</x:v>
      </x:c>
      <x:c r="L161" s="24" t="n">
        <x:v>0.02733465551435716</x:v>
      </x:c>
      <x:c r="N161" t="str">
        <x:v>HOU</x:v>
      </x:c>
      <x:c r="O161" t="str">
        <x:v>Houston, TX</x:v>
      </x:c>
      <x:c r="P161" t="str">
        <x:v>TX</x:v>
      </x:c>
      <x:c r="Q161" s="23" t="n">
        <x:v>167513</x:v>
      </x:c>
      <x:c r="R161" s="24" t="n">
        <x:v>0.010542465360897363</x:v>
      </x:c>
      <x:c r="S161" s="24" t="n">
        <x:v>0.0018446329538602975</x:v>
      </x:c>
    </x:row>
    <x:row r="162">
      <x:c r="G162" t="str">
        <x:v>IAH-OMA</x:v>
      </x:c>
      <x:c r="H162" t="str">
        <x:v>IAH</x:v>
      </x:c>
      <x:c r="I162" t="str">
        <x:v>OMA</x:v>
      </x:c>
      <x:c r="J162" s="23" t="n">
        <x:v>1771</x:v>
      </x:c>
      <x:c r="K162" s="24" t="n">
        <x:v>0.2930547713156409</x:v>
      </x:c>
      <x:c r="L162" s="24" t="n">
        <x:v>0.014116318464144552</x:v>
      </x:c>
      <x:c r="N162" t="str">
        <x:v>SFO</x:v>
      </x:c>
      <x:c r="O162" t="str">
        <x:v>San Francisco, CA</x:v>
      </x:c>
      <x:c r="P162" t="str">
        <x:v>CA</x:v>
      </x:c>
      <x:c r="Q162" s="23" t="n">
        <x:v>415178</x:v>
      </x:c>
      <x:c r="R162" s="24" t="n">
        <x:v>0.010434078877011787</x:v>
      </x:c>
      <x:c r="S162" s="24" t="n">
        <x:v>0.0026542832230994897</x:v>
      </x:c>
    </x:row>
    <x:row r="163">
      <x:c r="G163" t="str">
        <x:v>JAX-FLL</x:v>
      </x:c>
      <x:c r="H163" t="str">
        <x:v>JAX</x:v>
      </x:c>
      <x:c r="I163" t="str">
        <x:v>FLL</x:v>
      </x:c>
      <x:c r="J163" s="23" t="n">
        <x:v>1246</x:v>
      </x:c>
      <x:c r="K163" s="24" t="n">
        <x:v>0.2929373996789727</x:v>
      </x:c>
      <x:c r="L163" s="24" t="n">
        <x:v>0.027287319422150885</x:v>
      </x:c>
      <x:c r="N163" t="str">
        <x:v>RNO</x:v>
      </x:c>
      <x:c r="O163" t="str">
        <x:v>Reno, NV</x:v>
      </x:c>
      <x:c r="P163" t="str">
        <x:v>NV</x:v>
      </x:c>
      <x:c r="Q163" s="23" t="n">
        <x:v>61536</x:v>
      </x:c>
      <x:c r="R163" s="24" t="n">
        <x:v>0.010432917316692669</x:v>
      </x:c>
      <x:c r="S163" s="24" t="n">
        <x:v>0.0021288351534061362</x:v>
      </x:c>
    </x:row>
    <x:row r="164">
      <x:c r="G164" t="str">
        <x:v>DFW-ELP</x:v>
      </x:c>
      <x:c r="H164" t="str">
        <x:v>DFW</x:v>
      </x:c>
      <x:c r="I164" t="str">
        <x:v>ELP</x:v>
      </x:c>
      <x:c r="J164" s="23" t="n">
        <x:v>8303</x:v>
      </x:c>
      <x:c r="K164" s="24" t="n">
        <x:v>0.2927857400939419</x:v>
      </x:c>
      <x:c r="L164" s="24" t="n">
        <x:v>0.020233650487775503</x:v>
      </x:c>
      <x:c r="N164" t="str">
        <x:v>BIS</x:v>
      </x:c>
      <x:c r="O164" t="str">
        <x:v>Bismarck/Mandan, ND</x:v>
      </x:c>
      <x:c r="P164" t="str">
        <x:v>ND</x:v>
      </x:c>
      <x:c r="Q164" s="23" t="n">
        <x:v>11741</x:v>
      </x:c>
      <x:c r="R164" s="24" t="n">
        <x:v>0.010390937739545183</x:v>
      </x:c>
      <x:c r="S164" s="24" t="n">
        <x:v>0.003832722936717486</x:v>
      </x:c>
    </x:row>
    <x:row r="165">
      <x:c r="G165" t="str">
        <x:v>DFW-MRY</x:v>
      </x:c>
      <x:c r="H165" t="str">
        <x:v>DFW</x:v>
      </x:c>
      <x:c r="I165" t="str">
        <x:v>MRY</x:v>
      </x:c>
      <x:c r="J165" s="23" t="n">
        <x:v>1463</x:v>
      </x:c>
      <x:c r="K165" s="24" t="n">
        <x:v>0.29254955570745045</x:v>
      </x:c>
      <x:c r="L165" s="24" t="n">
        <x:v>0.01572112098427888</x:v>
      </x:c>
      <x:c r="N165" t="str">
        <x:v>OGG</x:v>
      </x:c>
      <x:c r="O165" t="str">
        <x:v>Kahului, HI</x:v>
      </x:c>
      <x:c r="P165" t="str">
        <x:v>HI</x:v>
      </x:c>
      <x:c r="Q165" s="23" t="n">
        <x:v>82093</x:v>
      </x:c>
      <x:c r="R165" s="24" t="n">
        <x:v>0.010147028370262995</x:v>
      </x:c>
      <x:c r="S165" s="24" t="n">
        <x:v>0.0015713885471355658</x:v>
      </x:c>
    </x:row>
    <x:row r="166">
      <x:c r="G166" t="str">
        <x:v>DEN-BHM</x:v>
      </x:c>
      <x:c r="H166" t="str">
        <x:v>DEN</x:v>
      </x:c>
      <x:c r="I166" t="str">
        <x:v>BHM</x:v>
      </x:c>
      <x:c r="J166" s="23" t="n">
        <x:v>3251</x:v>
      </x:c>
      <x:c r="K166" s="24" t="n">
        <x:v>0.29252537680713625</x:v>
      </x:c>
      <x:c r="L166" s="24" t="n">
        <x:v>0.00584435558289757</x:v>
      </x:c>
      <x:c r="N166" t="str">
        <x:v>STS</x:v>
      </x:c>
      <x:c r="O166" t="str">
        <x:v>Santa Rosa, CA</x:v>
      </x:c>
      <x:c r="P166" t="str">
        <x:v>CA</x:v>
      </x:c>
      <x:c r="Q166" s="23" t="n">
        <x:v>11738</x:v>
      </x:c>
      <x:c r="R166" s="24" t="n">
        <x:v>0.010052819901175668</x:v>
      </x:c>
      <x:c r="S166" s="24" t="n">
        <x:v>0.0021298347248253535</x:v>
      </x:c>
    </x:row>
    <x:row r="167">
      <x:c r="G167" t="str">
        <x:v>DEN-BOS</x:v>
      </x:c>
      <x:c r="H167" t="str">
        <x:v>DEN</x:v>
      </x:c>
      <x:c r="I167" t="str">
        <x:v>BOS</x:v>
      </x:c>
      <x:c r="J167" s="23" t="n">
        <x:v>11066</x:v>
      </x:c>
      <x:c r="K167" s="24" t="n">
        <x:v>0.2924272546538948</x:v>
      </x:c>
      <x:c r="L167" s="24" t="n">
        <x:v>0.00858485450930779</x:v>
      </x:c>
      <x:c r="N167" t="str">
        <x:v>PDX</x:v>
      </x:c>
      <x:c r="O167" t="str">
        <x:v>Portland, OR</x:v>
      </x:c>
      <x:c r="P167" t="str">
        <x:v>OR</x:v>
      </x:c>
      <x:c r="Q167" s="23" t="n">
        <x:v>179425</x:v>
      </x:c>
      <x:c r="R167" s="24" t="n">
        <x:v>0.009797965723840044</x:v>
      </x:c>
      <x:c r="S167" s="24" t="n">
        <x:v>0.0021959035808833773</x:v>
      </x:c>
    </x:row>
    <x:row r="168">
      <x:c r="G168" t="str">
        <x:v>DEN-JAX</x:v>
      </x:c>
      <x:c r="H168" t="str">
        <x:v>DEN</x:v>
      </x:c>
      <x:c r="I168" t="str">
        <x:v>JAX</x:v>
      </x:c>
      <x:c r="J168" s="23" t="n">
        <x:v>2590</x:v>
      </x:c>
      <x:c r="K168" s="24" t="n">
        <x:v>0.2922779922779923</x:v>
      </x:c>
      <x:c r="L168" s="24" t="n">
        <x:v>0.005019305019305019</x:v>
      </x:c>
      <x:c r="N168" t="str">
        <x:v>ONT</x:v>
      </x:c>
      <x:c r="O168" t="str">
        <x:v>Ontario, CA</x:v>
      </x:c>
      <x:c r="P168" t="str">
        <x:v>CA</x:v>
      </x:c>
      <x:c r="Q168" s="23" t="n">
        <x:v>76661</x:v>
      </x:c>
      <x:c r="R168" s="24" t="n">
        <x:v>0.009718109599405174</x:v>
      </x:c>
      <x:c r="S168" s="24" t="n">
        <x:v>0.00187839970780449</x:v>
      </x:c>
    </x:row>
    <x:row r="169">
      <x:c r="G169" t="str">
        <x:v>MIA-STL</x:v>
      </x:c>
      <x:c r="H169" t="str">
        <x:v>MIA</x:v>
      </x:c>
      <x:c r="I169" t="str">
        <x:v>STL</x:v>
      </x:c>
      <x:c r="J169" s="23" t="n">
        <x:v>2807</x:v>
      </x:c>
      <x:c r="K169" s="24" t="n">
        <x:v>0.2921268257926612</x:v>
      </x:c>
      <x:c r="L169" s="24" t="n">
        <x:v>0.00641254007837549</x:v>
      </x:c>
      <x:c r="N169" t="str">
        <x:v>MSP</x:v>
      </x:c>
      <x:c r="O169" t="str">
        <x:v>Minneapolis, MN</x:v>
      </x:c>
      <x:c r="P169" t="str">
        <x:v>MN</x:v>
      </x:c>
      <x:c r="Q169" s="23" t="n">
        <x:v>361729</x:v>
      </x:c>
      <x:c r="R169" s="24" t="n">
        <x:v>0.009711690243248399</x:v>
      </x:c>
      <x:c r="S169" s="24" t="n">
        <x:v>0.002410644432710676</x:v>
      </x:c>
    </x:row>
    <x:row r="170">
      <x:c r="G170" t="str">
        <x:v>LAS-SDF</x:v>
      </x:c>
      <x:c r="H170" t="str">
        <x:v>LAS</x:v>
      </x:c>
      <x:c r="I170" t="str">
        <x:v>SDF</x:v>
      </x:c>
      <x:c r="J170" s="23" t="n">
        <x:v>1450</x:v>
      </x:c>
      <x:c r="K170" s="24" t="n">
        <x:v>0.29172413793103447</x:v>
      </x:c>
      <x:c r="L170" s="24" t="n">
        <x:v>0.004827586206896552</x:v>
      </x:c>
      <x:c r="N170" t="str">
        <x:v>MRY</x:v>
      </x:c>
      <x:c r="O170" t="str">
        <x:v>Monterey, CA</x:v>
      </x:c>
      <x:c r="P170" t="str">
        <x:v>CA</x:v>
      </x:c>
      <x:c r="Q170" s="23" t="n">
        <x:v>13516</x:v>
      </x:c>
      <x:c r="R170" s="24" t="n">
        <x:v>0.009692216632139686</x:v>
      </x:c>
      <x:c r="S170" s="24" t="n">
        <x:v>0.0022935779816513763</x:v>
      </x:c>
    </x:row>
    <x:row r="171">
      <x:c r="G171" t="str">
        <x:v>MSY-BOS</x:v>
      </x:c>
      <x:c r="H171" t="str">
        <x:v>MSY</x:v>
      </x:c>
      <x:c r="I171" t="str">
        <x:v>BOS</x:v>
      </x:c>
      <x:c r="J171" s="23" t="n">
        <x:v>2736</x:v>
      </x:c>
      <x:c r="K171" s="24" t="n">
        <x:v>0.2913011695906433</x:v>
      </x:c>
      <x:c r="L171" s="24" t="n">
        <x:v>0.013888888888888888</x:v>
      </x:c>
      <x:c r="N171" t="str">
        <x:v>KOA</x:v>
      </x:c>
      <x:c r="O171" t="str">
        <x:v>Kona, HI</x:v>
      </x:c>
      <x:c r="P171" t="str">
        <x:v>HI</x:v>
      </x:c>
      <x:c r="Q171" s="23" t="n">
        <x:v>49428</x:v>
      </x:c>
      <x:c r="R171" s="24" t="n">
        <x:v>0.009650400582665695</x:v>
      </x:c>
      <x:c r="S171" s="24" t="n">
        <x:v>0.0012138868657441126</x:v>
      </x:c>
    </x:row>
    <x:row r="172">
      <x:c r="G172" t="str">
        <x:v>FLL-ORF</x:v>
      </x:c>
      <x:c r="H172" t="str">
        <x:v>FLL</x:v>
      </x:c>
      <x:c r="I172" t="str">
        <x:v>ORF</x:v>
      </x:c>
      <x:c r="J172" s="23" t="n">
        <x:v>1131</x:v>
      </x:c>
      <x:c r="K172" s="24" t="n">
        <x:v>0.29089301503094606</x:v>
      </x:c>
      <x:c r="L172" s="24" t="n">
        <x:v>0.03536693191865606</x:v>
      </x:c>
      <x:c r="N172" t="str">
        <x:v>LIH</x:v>
      </x:c>
      <x:c r="O172" t="str">
        <x:v>Lihue, HI</x:v>
      </x:c>
      <x:c r="P172" t="str">
        <x:v>HI</x:v>
      </x:c>
      <x:c r="Q172" s="23" t="n">
        <x:v>47770</x:v>
      </x:c>
      <x:c r="R172" s="24" t="n">
        <x:v>0.009566673644546787</x:v>
      </x:c>
      <x:c r="S172" s="24" t="n">
        <x:v>0.0012560184216035169</x:v>
      </x:c>
    </x:row>
    <x:row r="173">
      <x:c r="G173" t="str">
        <x:v>DFW-SBP</x:v>
      </x:c>
      <x:c r="H173" t="str">
        <x:v>DFW</x:v>
      </x:c>
      <x:c r="I173" t="str">
        <x:v>SBP</x:v>
      </x:c>
      <x:c r="J173" s="23" t="n">
        <x:v>1455</x:v>
      </x:c>
      <x:c r="K173" s="24" t="n">
        <x:v>0.2907216494845361</x:v>
      </x:c>
      <x:c r="L173" s="24" t="n">
        <x:v>0.013745704467353952</x:v>
      </x:c>
      <x:c r="N173" t="str">
        <x:v>TRI</x:v>
      </x:c>
      <x:c r="O173" t="str">
        <x:v>Bristol/Johnson City/Kingsport, TN</x:v>
      </x:c>
      <x:c r="P173" t="str">
        <x:v>TN</x:v>
      </x:c>
      <x:c r="Q173" s="23" t="n">
        <x:v>6321</x:v>
      </x:c>
      <x:c r="R173" s="24" t="n">
        <x:v>0.009492168960607499</x:v>
      </x:c>
      <x:c r="S173" s="24" t="n">
        <x:v>0.0012656225280809998</x:v>
      </x:c>
    </x:row>
    <x:row r="174">
      <x:c r="G174" t="str">
        <x:v>MIA-BOS</x:v>
      </x:c>
      <x:c r="H174" t="str">
        <x:v>MIA</x:v>
      </x:c>
      <x:c r="I174" t="str">
        <x:v>BOS</x:v>
      </x:c>
      <x:c r="J174" s="23" t="n">
        <x:v>11267</x:v>
      </x:c>
      <x:c r="K174" s="24" t="n">
        <x:v>0.29049436407206886</x:v>
      </x:c>
      <x:c r="L174" s="24" t="n">
        <x:v>0.014910801455578238</x:v>
      </x:c>
      <x:c r="N174" t="str">
        <x:v>EUG</x:v>
      </x:c>
      <x:c r="O174" t="str">
        <x:v>Eugene, OR</x:v>
      </x:c>
      <x:c r="P174" t="str">
        <x:v>OR</x:v>
      </x:c>
      <x:c r="Q174" s="23" t="n">
        <x:v>22933</x:v>
      </x:c>
      <x:c r="R174" s="24" t="n">
        <x:v>0.009462346836436576</x:v>
      </x:c>
      <x:c r="S174" s="24" t="n">
        <x:v>0.00235468538786901</x:v>
      </x:c>
    </x:row>
    <x:row r="175">
      <x:c r="G175" t="str">
        <x:v>DEN-MIA</x:v>
      </x:c>
      <x:c r="H175" t="str">
        <x:v>DEN</x:v>
      </x:c>
      <x:c r="I175" t="str">
        <x:v>MIA</x:v>
      </x:c>
      <x:c r="J175" s="23" t="n">
        <x:v>7367</x:v>
      </x:c>
      <x:c r="K175" s="24" t="n">
        <x:v>0.29048459345730965</x:v>
      </x:c>
      <x:c r="L175" s="24" t="n">
        <x:v>0.008551649246640423</x:v>
      </x:c>
      <x:c r="N175" t="str">
        <x:v>BIL</x:v>
      </x:c>
      <x:c r="O175" t="str">
        <x:v>Billings, MT</x:v>
      </x:c>
      <x:c r="P175" t="str">
        <x:v>MT</x:v>
      </x:c>
      <x:c r="Q175" s="23" t="n">
        <x:v>12471</x:v>
      </x:c>
      <x:c r="R175" s="24" t="n">
        <x:v>0.009461951728008981</x:v>
      </x:c>
      <x:c r="S175" s="24" t="n">
        <x:v>0.0031272552321385616</x:v>
      </x:c>
    </x:row>
    <x:row r="176">
      <x:c r="G176" t="str">
        <x:v>DFW-BWI</x:v>
      </x:c>
      <x:c r="H176" t="str">
        <x:v>DFW</x:v>
      </x:c>
      <x:c r="I176" t="str">
        <x:v>BWI</x:v>
      </x:c>
      <x:c r="J176" s="23" t="n">
        <x:v>4603</x:v>
      </x:c>
      <x:c r="K176" s="24" t="n">
        <x:v>0.29024549207038886</x:v>
      </x:c>
      <x:c r="L176" s="24" t="n">
        <x:v>0.02237671084075603</x:v>
      </x:c>
      <x:c r="N176" t="str">
        <x:v>LAS</x:v>
      </x:c>
      <x:c r="O176" t="str">
        <x:v>Las Vegas, NV</x:v>
      </x:c>
      <x:c r="P176" t="str">
        <x:v>NV</x:v>
      </x:c>
      <x:c r="Q176" s="23" t="n">
        <x:v>563932</x:v>
      </x:c>
      <x:c r="R176" s="24" t="n">
        <x:v>0.0094053893022563</x:v>
      </x:c>
      <x:c r="S176" s="24" t="n">
        <x:v>0.0029578034231077504</x:v>
      </x:c>
    </x:row>
    <x:row r="177">
      <x:c r="G177" t="str">
        <x:v>AUS-ONT</x:v>
      </x:c>
      <x:c r="H177" t="str">
        <x:v>AUS</x:v>
      </x:c>
      <x:c r="I177" t="str">
        <x:v>ONT</x:v>
      </x:c>
      <x:c r="J177" s="23" t="n">
        <x:v>1079</x:v>
      </x:c>
      <x:c r="K177" s="24" t="n">
        <x:v>0.29008341056533826</x:v>
      </x:c>
      <x:c r="L177" s="24" t="n">
        <x:v>0.004633920296570899</x:v>
      </x:c>
      <x:c r="N177" t="str">
        <x:v>ELP</x:v>
      </x:c>
      <x:c r="O177" t="str">
        <x:v>El Paso, TX</x:v>
      </x:c>
      <x:c r="P177" t="str">
        <x:v>TX</x:v>
      </x:c>
      <x:c r="Q177" s="23" t="n">
        <x:v>51528</x:v>
      </x:c>
      <x:c r="R177" s="24" t="n">
        <x:v>0.009373544480670704</x:v>
      </x:c>
      <x:c r="S177" s="24" t="n">
        <x:v>0.002872224809812141</x:v>
      </x:c>
    </x:row>
    <x:row r="178">
      <x:c r="G178" t="str">
        <x:v>PNS-DFW</x:v>
      </x:c>
      <x:c r="H178" t="str">
        <x:v>PNS</x:v>
      </x:c>
      <x:c r="I178" t="str">
        <x:v>DFW</x:v>
      </x:c>
      <x:c r="J178" s="23" t="n">
        <x:v>5078</x:v>
      </x:c>
      <x:c r="K178" s="24" t="n">
        <x:v>0.29007483261126427</x:v>
      </x:c>
      <x:c r="L178" s="24" t="n">
        <x:v>0.02737298148877511</x:v>
      </x:c>
      <x:c r="N178" t="str">
        <x:v>HNL</x:v>
      </x:c>
      <x:c r="O178" t="str">
        <x:v>Honolulu, HI</x:v>
      </x:c>
      <x:c r="P178" t="str">
        <x:v>HI</x:v>
      </x:c>
      <x:c r="Q178" s="23" t="n">
        <x:v>182189</x:v>
      </x:c>
      <x:c r="R178" s="24" t="n">
        <x:v>0.009149838903556197</x:v>
      </x:c>
      <x:c r="S178" s="24" t="n">
        <x:v>0.0011526491720136782</x:v>
      </x:c>
    </x:row>
    <x:row r="179">
      <x:c r="G179" t="str">
        <x:v>HNL-PDX</x:v>
      </x:c>
      <x:c r="H179" t="str">
        <x:v>HNL</x:v>
      </x:c>
      <x:c r="I179" t="str">
        <x:v>PDX</x:v>
      </x:c>
      <x:c r="J179" s="23" t="n">
        <x:v>2348</x:v>
      </x:c>
      <x:c r="K179" s="24" t="n">
        <x:v>0.2900340715502555</x:v>
      </x:c>
      <x:c r="L179" s="24" t="n">
        <x:v>0.011073253833049404</x:v>
      </x:c>
      <x:c r="N179" t="str">
        <x:v>PVU</x:v>
      </x:c>
      <x:c r="O179" t="str">
        <x:v>Provo, UT</x:v>
      </x:c>
      <x:c r="P179" t="str">
        <x:v>UT</x:v>
      </x:c>
      <x:c r="Q179" s="23" t="n">
        <x:v>7193</x:v>
      </x:c>
      <x:c r="R179" s="24" t="n">
        <x:v>0.009036563325455304</x:v>
      </x:c>
      <x:c r="S179" s="24" t="n">
        <x:v>0.004031697483664674</x:v>
      </x:c>
    </x:row>
    <x:row r="180">
      <x:c r="G180" t="str">
        <x:v>PIE-TYS</x:v>
      </x:c>
      <x:c r="H180" t="str">
        <x:v>PIE</x:v>
      </x:c>
      <x:c r="I180" t="str">
        <x:v>TYS</x:v>
      </x:c>
      <x:c r="J180" s="23" t="n">
        <x:v>1352</x:v>
      </x:c>
      <x:c r="K180" s="24" t="n">
        <x:v>0.28994082840236685</x:v>
      </x:c>
      <x:c r="L180" s="24" t="n">
        <x:v>0.014053254437869823</x:v>
      </x:c>
      <x:c r="N180" t="str">
        <x:v>STT</x:v>
      </x:c>
      <x:c r="O180" t="str">
        <x:v>Charlotte Amalie, VI</x:v>
      </x:c>
      <x:c r="P180" t="str">
        <x:v>VI</x:v>
      </x:c>
      <x:c r="Q180" s="23" t="n">
        <x:v>15270</x:v>
      </x:c>
      <x:c r="R180" s="24" t="n">
        <x:v>0.008906352324819908</x:v>
      </x:c>
      <x:c r="S180" s="24" t="n">
        <x:v>0.01624099541584807</x:v>
      </x:c>
    </x:row>
    <x:row r="181">
      <x:c r="G181" t="str">
        <x:v>DFW-EGE</x:v>
      </x:c>
      <x:c r="H181" t="str">
        <x:v>DFW</x:v>
      </x:c>
      <x:c r="I181" t="str">
        <x:v>EGE</x:v>
      </x:c>
      <x:c r="J181" s="23" t="n">
        <x:v>2584</x:v>
      </x:c>
      <x:c r="K181" s="24" t="n">
        <x:v>0.2898606811145511</x:v>
      </x:c>
      <x:c r="L181" s="24" t="n">
        <x:v>0.013157894736842105</x:v>
      </x:c>
      <x:c r="N181" t="str">
        <x:v>FAI</x:v>
      </x:c>
      <x:c r="O181" t="str">
        <x:v>Fairbanks, AK</x:v>
      </x:c>
      <x:c r="P181" t="str">
        <x:v>AK</x:v>
      </x:c>
      <x:c r="Q181" s="23" t="n">
        <x:v>10260</x:v>
      </x:c>
      <x:c r="R181" s="24" t="n">
        <x:v>0.008869395711500975</x:v>
      </x:c>
      <x:c r="S181" s="24" t="n">
        <x:v>0.00029239766081871346</x:v>
      </x:c>
    </x:row>
    <x:row r="182">
      <x:c r="G182" t="str">
        <x:v>BGR-ORD</x:v>
      </x:c>
      <x:c r="H182" t="str">
        <x:v>BGR</x:v>
      </x:c>
      <x:c r="I182" t="str">
        <x:v>ORD</x:v>
      </x:c>
      <x:c r="J182" s="23" t="n">
        <x:v>1201</x:v>
      </x:c>
      <x:c r="K182" s="24" t="n">
        <x:v>0.28975853455453787</x:v>
      </x:c>
      <x:c r="L182" s="24" t="n">
        <x:v>0.009159034138218152</x:v>
      </x:c>
      <x:c r="N182" t="str">
        <x:v>PGD</x:v>
      </x:c>
      <x:c r="O182" t="str">
        <x:v>Punta Gorda, FL</x:v>
      </x:c>
      <x:c r="P182" t="str">
        <x:v>FL</x:v>
      </x:c>
      <x:c r="Q182" s="23" t="n">
        <x:v>20000</x:v>
      </x:c>
      <x:c r="R182" s="24" t="n">
        <x:v>0.00885</x:v>
      </x:c>
      <x:c r="S182" s="24" t="n">
        <x:v>0.00265</x:v>
      </x:c>
    </x:row>
    <x:row r="183">
      <x:c r="G183" t="str">
        <x:v>MIA-DFW</x:v>
      </x:c>
      <x:c r="H183" t="str">
        <x:v>MIA</x:v>
      </x:c>
      <x:c r="I183" t="str">
        <x:v>DFW</x:v>
      </x:c>
      <x:c r="J183" s="23" t="n">
        <x:v>13854</x:v>
      </x:c>
      <x:c r="K183" s="24" t="n">
        <x:v>0.28966363505124876</x:v>
      </x:c>
      <x:c r="L183" s="24" t="n">
        <x:v>0.017106972715461237</x:v>
      </x:c>
      <x:c r="N183" t="str">
        <x:v>ABQ</x:v>
      </x:c>
      <x:c r="O183" t="str">
        <x:v>Albuquerque, NM</x:v>
      </x:c>
      <x:c r="P183" t="str">
        <x:v>NM</x:v>
      </x:c>
      <x:c r="Q183" s="23" t="n">
        <x:v>72820</x:v>
      </x:c>
      <x:c r="R183" s="24" t="n">
        <x:v>0.008678934358692667</x:v>
      </x:c>
      <x:c r="S183" s="24" t="n">
        <x:v>0.0023894534468552595</x:v>
      </x:c>
    </x:row>
    <x:row r="184">
      <x:c r="G184" t="str">
        <x:v>ORD-COS</x:v>
      </x:c>
      <x:c r="H184" t="str">
        <x:v>ORD</x:v>
      </x:c>
      <x:c r="I184" t="str">
        <x:v>COS</x:v>
      </x:c>
      <x:c r="J184" s="23" t="n">
        <x:v>2128</x:v>
      </x:c>
      <x:c r="K184" s="24" t="n">
        <x:v>0.2894736842105263</x:v>
      </x:c>
      <x:c r="L184" s="24" t="n">
        <x:v>0.007518796992481203</x:v>
      </x:c>
      <x:c r="N184" t="str">
        <x:v>ITO</x:v>
      </x:c>
      <x:c r="O184" t="str">
        <x:v>Hilo, HI</x:v>
      </x:c>
      <x:c r="P184" t="str">
        <x:v>HI</x:v>
      </x:c>
      <x:c r="Q184" s="23" t="n">
        <x:v>20631</x:v>
      </x:c>
      <x:c r="R184" s="24" t="n">
        <x:v>0.008482380883137026</x:v>
      </x:c>
      <x:c r="S184" s="24" t="n">
        <x:v>0.0001938829916145606</x:v>
      </x:c>
    </x:row>
    <x:row r="185">
      <x:c r="G185" t="str">
        <x:v>DFW-ABQ</x:v>
      </x:c>
      <x:c r="H185" t="str">
        <x:v>DFW</x:v>
      </x:c>
      <x:c r="I185" t="str">
        <x:v>ABQ</x:v>
      </x:c>
      <x:c r="J185" s="23" t="n">
        <x:v>7147</x:v>
      </x:c>
      <x:c r="K185" s="24" t="n">
        <x:v>0.2892122568910032</x:v>
      </x:c>
      <x:c r="L185" s="24" t="n">
        <x:v>0.023506366307541625</x:v>
      </x:c>
      <x:c r="N185" t="str">
        <x:v>MFR</x:v>
      </x:c>
      <x:c r="O185" t="str">
        <x:v>Medford, OR</x:v>
      </x:c>
      <x:c r="P185" t="str">
        <x:v>OR</x:v>
      </x:c>
      <x:c r="Q185" s="23" t="n">
        <x:v>13690</x:v>
      </x:c>
      <x:c r="R185" s="24" t="n">
        <x:v>0.008473338203067933</x:v>
      </x:c>
      <x:c r="S185" s="24" t="n">
        <x:v>0.002118334550766983</x:v>
      </x:c>
    </x:row>
    <x:row r="186">
      <x:c r="G186" t="str">
        <x:v>FLL-CMH</x:v>
      </x:c>
      <x:c r="H186" t="str">
        <x:v>FLL</x:v>
      </x:c>
      <x:c r="I186" t="str">
        <x:v>CMH</x:v>
      </x:c>
      <x:c r="J186" s="23" t="n">
        <x:v>3096</x:v>
      </x:c>
      <x:c r="K186" s="24" t="n">
        <x:v>0.2890826873385013</x:v>
      </x:c>
      <x:c r="L186" s="24" t="n">
        <x:v>0.007751937984496124</x:v>
      </x:c>
      <x:c r="N186" t="str">
        <x:v>SEA</x:v>
      </x:c>
      <x:c r="O186" t="str">
        <x:v>Seattle, WA</x:v>
      </x:c>
      <x:c r="P186" t="str">
        <x:v>WA</x:v>
      </x:c>
      <x:c r="Q186" s="23" t="n">
        <x:v>492371</x:v>
      </x:c>
      <x:c r="R186" s="24" t="n">
        <x:v>0.008422510667768817</x:v>
      </x:c>
      <x:c r="S186" s="24" t="n">
        <x:v>0.0026260685539968845</x:v>
      </x:c>
    </x:row>
    <x:row r="187">
      <x:c r="G187" t="str">
        <x:v>MCO-DFW</x:v>
      </x:c>
      <x:c r="H187" t="str">
        <x:v>MCO</x:v>
      </x:c>
      <x:c r="I187" t="str">
        <x:v>DFW</x:v>
      </x:c>
      <x:c r="J187" s="23" t="n">
        <x:v>14779</x:v>
      </x:c>
      <x:c r="K187" s="24" t="n">
        <x:v>0.2890587996481494</x:v>
      </x:c>
      <x:c r="L187" s="24" t="n">
        <x:v>0.02151701738953921</x:v>
      </x:c>
      <x:c r="N187" t="str">
        <x:v>SFB</x:v>
      </x:c>
      <x:c r="O187" t="str">
        <x:v>Sanford, FL</x:v>
      </x:c>
      <x:c r="P187" t="str">
        <x:v>FL</x:v>
      </x:c>
      <x:c r="Q187" s="23" t="n">
        <x:v>29096</x:v>
      </x:c>
      <x:c r="R187" s="24" t="n">
        <x:v>0.008317294473467143</x:v>
      </x:c>
      <x:c r="S187" s="24" t="n">
        <x:v>0.0027495188342040143</x:v>
      </x:c>
    </x:row>
    <x:row r="188">
      <x:c r="G188" t="str">
        <x:v>AUS-FLL</x:v>
      </x:c>
      <x:c r="H188" t="str">
        <x:v>AUS</x:v>
      </x:c>
      <x:c r="I188" t="str">
        <x:v>FLL</x:v>
      </x:c>
      <x:c r="J188" s="23" t="n">
        <x:v>3038</x:v>
      </x:c>
      <x:c r="K188" s="24" t="n">
        <x:v>0.28900592495062544</x:v>
      </x:c>
      <x:c r="L188" s="24" t="n">
        <x:v>0.013495720868992759</x:v>
      </x:c>
      <x:c r="N188" t="str">
        <x:v>PSP</x:v>
      </x:c>
      <x:c r="O188" t="str">
        <x:v>Palm Springs, CA</x:v>
      </x:c>
      <x:c r="P188" t="str">
        <x:v>CA</x:v>
      </x:c>
      <x:c r="Q188" s="23" t="n">
        <x:v>42640</x:v>
      </x:c>
      <x:c r="R188" s="24" t="n">
        <x:v>0.008278611632270168</x:v>
      </x:c>
      <x:c r="S188" s="24" t="n">
        <x:v>0.0028611632270168857</x:v>
      </x:c>
    </x:row>
    <x:row r="189">
      <x:c r="G189" t="str">
        <x:v>SAV-BOS</x:v>
      </x:c>
      <x:c r="H189" t="str">
        <x:v>SAV</x:v>
      </x:c>
      <x:c r="I189" t="str">
        <x:v>BOS</x:v>
      </x:c>
      <x:c r="J189" s="23" t="n">
        <x:v>2295</x:v>
      </x:c>
      <x:c r="K189" s="24" t="n">
        <x:v>0.28888888888888886</x:v>
      </x:c>
      <x:c r="L189" s="24" t="n">
        <x:v>0.014814814814814815</x:v>
      </x:c>
      <x:c r="N189" t="str">
        <x:v>MSO</x:v>
      </x:c>
      <x:c r="O189" t="str">
        <x:v>Missoula, MT</x:v>
      </x:c>
      <x:c r="P189" t="str">
        <x:v>MT</x:v>
      </x:c>
      <x:c r="Q189" s="23" t="n">
        <x:v>12490</x:v>
      </x:c>
      <x:c r="R189" s="24" t="n">
        <x:v>0.008246597277822258</x:v>
      </x:c>
      <x:c r="S189" s="24" t="n">
        <x:v>0.003522818254603683</x:v>
      </x:c>
    </x:row>
    <x:row r="190">
      <x:c r="G190" t="str">
        <x:v>CLT-DCA</x:v>
      </x:c>
      <x:c r="H190" t="str">
        <x:v>CLT</x:v>
      </x:c>
      <x:c r="I190" t="str">
        <x:v>DCA</x:v>
      </x:c>
      <x:c r="J190" s="23" t="n">
        <x:v>9440</x:v>
      </x:c>
      <x:c r="K190" s="24" t="n">
        <x:v>0.2884533898305085</x:v>
      </x:c>
      <x:c r="L190" s="24" t="n">
        <x:v>0.013771186440677966</x:v>
      </x:c>
      <x:c r="N190" t="str">
        <x:v>BZN</x:v>
      </x:c>
      <x:c r="O190" t="str">
        <x:v>Bozeman, MT</x:v>
      </x:c>
      <x:c r="P190" t="str">
        <x:v>MT</x:v>
      </x:c>
      <x:c r="Q190" s="23" t="n">
        <x:v>30796</x:v>
      </x:c>
      <x:c r="R190" s="24" t="n">
        <x:v>0.008150409144044682</x:v>
      </x:c>
      <x:c r="S190" s="24" t="n">
        <x:v>0.0036368359527211326</x:v>
      </x:c>
    </x:row>
    <x:row r="191">
      <x:c r="G191" t="str">
        <x:v>DFW-CVG</x:v>
      </x:c>
      <x:c r="H191" t="str">
        <x:v>DFW</x:v>
      </x:c>
      <x:c r="I191" t="str">
        <x:v>CVG</x:v>
      </x:c>
      <x:c r="J191" s="23" t="n">
        <x:v>5444</x:v>
      </x:c>
      <x:c r="K191" s="24" t="n">
        <x:v>0.28802351212343863</x:v>
      </x:c>
      <x:c r="L191" s="24" t="n">
        <x:v>0.02185892725936811</x:v>
      </x:c>
      <x:c r="N191" t="str">
        <x:v>YUM</x:v>
      </x:c>
      <x:c r="O191" t="str">
        <x:v>Yuma, AZ</x:v>
      </x:c>
      <x:c r="P191" t="str">
        <x:v>AZ</x:v>
      </x:c>
      <x:c r="Q191" s="23" t="n">
        <x:v>5028</x:v>
      </x:c>
      <x:c r="R191" s="24" t="n">
        <x:v>0.007955449482895784</x:v>
      </x:c>
      <x:c r="S191" s="24" t="n">
        <x:v>0.004176610978520286</x:v>
      </x:c>
    </x:row>
    <x:row r="192">
      <x:c r="G192" t="str">
        <x:v>FLL-SJU</x:v>
      </x:c>
      <x:c r="H192" t="str">
        <x:v>FLL</x:v>
      </x:c>
      <x:c r="I192" t="str">
        <x:v>SJU</x:v>
      </x:c>
      <x:c r="J192" s="23" t="n">
        <x:v>7058</x:v>
      </x:c>
      <x:c r="K192" s="24" t="n">
        <x:v>0.28790025502975347</x:v>
      </x:c>
      <x:c r="L192" s="24" t="n">
        <x:v>0.00850099178237461</x:v>
      </x:c>
      <x:c r="N192" t="str">
        <x:v>IDA</x:v>
      </x:c>
      <x:c r="O192" t="str">
        <x:v>Idaho Falls, ID</x:v>
      </x:c>
      <x:c r="P192" t="str">
        <x:v>ID</x:v>
      </x:c>
      <x:c r="Q192" s="23" t="n">
        <x:v>11069</x:v>
      </x:c>
      <x:c r="R192" s="24" t="n">
        <x:v>0.007950130996476646</x:v>
      </x:c>
      <x:c r="S192" s="24" t="n">
        <x:v>0.004155750293612793</x:v>
      </x:c>
    </x:row>
    <x:row r="193">
      <x:c r="G193" t="str">
        <x:v>DFW-GSP</x:v>
      </x:c>
      <x:c r="H193" t="str">
        <x:v>DFW</x:v>
      </x:c>
      <x:c r="I193" t="str">
        <x:v>GSP</x:v>
      </x:c>
      <x:c r="J193" s="23" t="n">
        <x:v>3253</x:v>
      </x:c>
      <x:c r="K193" s="24" t="n">
        <x:v>0.28773439901629266</x:v>
      </x:c>
      <x:c r="L193" s="24" t="n">
        <x:v>0.014448201660006148</x:v>
      </x:c>
      <x:c r="N193" t="str">
        <x:v>LAX</x:v>
      </x:c>
      <x:c r="O193" t="str">
        <x:v>Los Angeles, CA</x:v>
      </x:c>
      <x:c r="P193" t="str">
        <x:v>CA</x:v>
      </x:c>
      <x:c r="Q193" s="23" t="n">
        <x:v>578878</x:v>
      </x:c>
      <x:c r="R193" s="24" t="n">
        <x:v>0.007720106827345313</x:v>
      </x:c>
      <x:c r="S193" s="24" t="n">
        <x:v>0.00288143615753233</x:v>
      </x:c>
    </x:row>
    <x:row r="194">
      <x:c r="G194" t="str">
        <x:v>ASE-DFW</x:v>
      </x:c>
      <x:c r="H194" t="str">
        <x:v>ASE</x:v>
      </x:c>
      <x:c r="I194" t="str">
        <x:v>DFW</x:v>
      </x:c>
      <x:c r="J194" s="23" t="n">
        <x:v>3361</x:v>
      </x:c>
      <x:c r="K194" s="24" t="n">
        <x:v>0.2877119904790241</x:v>
      </x:c>
      <x:c r="L194" s="24" t="n">
        <x:v>0.06962213626896757</x:v>
      </x:c>
      <x:c r="N194" t="str">
        <x:v>BLI</x:v>
      </x:c>
      <x:c r="O194" t="str">
        <x:v>Bellingham, WA</x:v>
      </x:c>
      <x:c r="P194" t="str">
        <x:v>WA</x:v>
      </x:c>
      <x:c r="Q194" s="23" t="n">
        <x:v>7578</x:v>
      </x:c>
      <x:c r="R194" s="24" t="n">
        <x:v>0.007521773555027712</x:v>
      </x:c>
      <x:c r="S194" s="24" t="n">
        <x:v>0.001715492214304566</x:v>
      </x:c>
    </x:row>
    <x:row r="195">
      <x:c r="G195" t="str">
        <x:v>CLT-MCO</x:v>
      </x:c>
      <x:c r="H195" t="str">
        <x:v>CLT</x:v>
      </x:c>
      <x:c r="I195" t="str">
        <x:v>MCO</x:v>
      </x:c>
      <x:c r="J195" s="23" t="n">
        <x:v>15918</x:v>
      </x:c>
      <x:c r="K195" s="24" t="n">
        <x:v>0.2872220128156804</x:v>
      </x:c>
      <x:c r="L195" s="24" t="n">
        <x:v>0.014637517276039704</x:v>
      </x:c>
      <x:c r="N195" t="str">
        <x:v>TUS</x:v>
      </x:c>
      <x:c r="O195" t="str">
        <x:v>Tucson, AZ</x:v>
      </x:c>
      <x:c r="P195" t="str">
        <x:v>AZ</x:v>
      </x:c>
      <x:c r="Q195" s="23" t="n">
        <x:v>56009</x:v>
      </x:c>
      <x:c r="R195" s="24" t="n">
        <x:v>0.00751664910996447</x:v>
      </x:c>
      <x:c r="S195" s="24" t="n">
        <x:v>0.0017854273420343158</x:v>
      </x:c>
    </x:row>
    <x:row r="196">
      <x:c r="G196" t="str">
        <x:v>DFW-CHS</x:v>
      </x:c>
      <x:c r="H196" t="str">
        <x:v>DFW</x:v>
      </x:c>
      <x:c r="I196" t="str">
        <x:v>CHS</x:v>
      </x:c>
      <x:c r="J196" s="23" t="n">
        <x:v>3597</x:v>
      </x:c>
      <x:c r="K196" s="24" t="n">
        <x:v>0.28690575479566305</x:v>
      </x:c>
      <x:c r="L196" s="24" t="n">
        <x:v>0.020294690019460663</x:v>
      </x:c>
      <x:c r="N196" t="str">
        <x:v>OAK</x:v>
      </x:c>
      <x:c r="O196" t="str">
        <x:v>Oakland, CA</x:v>
      </x:c>
      <x:c r="P196" t="str">
        <x:v>CA</x:v>
      </x:c>
      <x:c r="Q196" s="23" t="n">
        <x:v>121915</x:v>
      </x:c>
      <x:c r="R196" s="24" t="n">
        <x:v>0.007431407127916991</x:v>
      </x:c>
      <x:c r="S196" s="24" t="n">
        <x:v>0.0014436287577410491</x:v>
      </x:c>
    </x:row>
    <x:row r="197">
      <x:c r="G197" t="str">
        <x:v>ORD-ICT</x:v>
      </x:c>
      <x:c r="H197" t="str">
        <x:v>ORD</x:v>
      </x:c>
      <x:c r="I197" t="str">
        <x:v>ICT</x:v>
      </x:c>
      <x:c r="J197" s="23" t="n">
        <x:v>4990</x:v>
      </x:c>
      <x:c r="K197" s="24" t="n">
        <x:v>0.2867735470941884</x:v>
      </x:c>
      <x:c r="L197" s="24" t="n">
        <x:v>0.014428857715430862</x:v>
      </x:c>
      <x:c r="N197" t="str">
        <x:v>BFL</x:v>
      </x:c>
      <x:c r="O197" t="str">
        <x:v>Bakersfield, CA</x:v>
      </x:c>
      <x:c r="P197" t="str">
        <x:v>CA</x:v>
      </x:c>
      <x:c r="Q197" s="23" t="n">
        <x:v>8352</x:v>
      </x:c>
      <x:c r="R197" s="24" t="n">
        <x:v>0.007183908045977011</x:v>
      </x:c>
      <x:c r="S197" s="24" t="n">
        <x:v>0.0031130268199233715</x:v>
      </x:c>
    </x:row>
    <x:row r="198">
      <x:c r="G198" t="str">
        <x:v>DEN-LBB</x:v>
      </x:c>
      <x:c r="H198" t="str">
        <x:v>DEN</x:v>
      </x:c>
      <x:c r="I198" t="str">
        <x:v>LBB</x:v>
      </x:c>
      <x:c r="J198" s="23" t="n">
        <x:v>2222</x:v>
      </x:c>
      <x:c r="K198" s="24" t="n">
        <x:v>0.2866786678667867</x:v>
      </x:c>
      <x:c r="L198" s="24" t="n">
        <x:v>0.013501350135013501</x:v>
      </x:c>
      <x:c r="N198" t="str">
        <x:v>SMF</x:v>
      </x:c>
      <x:c r="O198" t="str">
        <x:v>Sacramento, CA</x:v>
      </x:c>
      <x:c r="P198" t="str">
        <x:v>CA</x:v>
      </x:c>
      <x:c r="Q198" s="23" t="n">
        <x:v>165920</x:v>
      </x:c>
      <x:c r="R198" s="24" t="n">
        <x:v>0.007160077145612343</x:v>
      </x:c>
      <x:c r="S198" s="24" t="n">
        <x:v>0.0020250723240115716</x:v>
      </x:c>
    </x:row>
    <x:row r="199">
      <x:c r="G199" t="str">
        <x:v>DFW-IND</x:v>
      </x:c>
      <x:c r="H199" t="str">
        <x:v>DFW</x:v>
      </x:c>
      <x:c r="I199" t="str">
        <x:v>IND</x:v>
      </x:c>
      <x:c r="J199" s="23" t="n">
        <x:v>5723</x:v>
      </x:c>
      <x:c r="K199" s="24" t="n">
        <x:v>0.28656299143805697</x:v>
      </x:c>
      <x:c r="L199" s="24" t="n">
        <x:v>0.01712388607373755</x:v>
      </x:c>
      <x:c r="N199" t="str">
        <x:v>SJC</x:v>
      </x:c>
      <x:c r="O199" t="str">
        <x:v>San Jose, CA</x:v>
      </x:c>
      <x:c r="P199" t="str">
        <x:v>CA</x:v>
      </x:c>
      <x:c r="Q199" s="23" t="n">
        <x:v>148322</x:v>
      </x:c>
      <x:c r="R199" s="24" t="n">
        <x:v>0.0070117716859265655</x:v>
      </x:c>
      <x:c r="S199" s="24" t="n">
        <x:v>0.0017192324806839174</x:v>
      </x:c>
    </x:row>
    <x:row r="200">
      <x:c r="G200" t="str">
        <x:v>ORD-JST</x:v>
      </x:c>
      <x:c r="H200" t="str">
        <x:v>ORD</x:v>
      </x:c>
      <x:c r="I200" t="str">
        <x:v>JST</x:v>
      </x:c>
      <x:c r="J200" s="23" t="n">
        <x:v>1089</x:v>
      </x:c>
      <x:c r="K200" s="24" t="n">
        <x:v>0.2865013774104683</x:v>
      </x:c>
      <x:c r="L200" s="24" t="n">
        <x:v>0.028466483011937556</x:v>
      </x:c>
      <x:c r="N200" t="str">
        <x:v>FAT</x:v>
      </x:c>
      <x:c r="O200" t="str">
        <x:v>Fresno, CA</x:v>
      </x:c>
      <x:c r="P200" t="str">
        <x:v>CA</x:v>
      </x:c>
      <x:c r="Q200" s="23" t="n">
        <x:v>36300</x:v>
      </x:c>
      <x:c r="R200" s="24" t="n">
        <x:v>0.0069696969696969695</x:v>
      </x:c>
      <x:c r="S200" s="24" t="n">
        <x:v>0.0023691460055096417</x:v>
      </x:c>
    </x:row>
    <x:row r="201">
      <x:c r="G201" t="str">
        <x:v>PHL-PBI</x:v>
      </x:c>
      <x:c r="H201" t="str">
        <x:v>PHL</x:v>
      </x:c>
      <x:c r="I201" t="str">
        <x:v>PBI</x:v>
      </x:c>
      <x:c r="J201" s="23" t="n">
        <x:v>4653</x:v>
      </x:c>
      <x:c r="K201" s="24" t="n">
        <x:v>0.286481839673329</x:v>
      </x:c>
      <x:c r="L201" s="24" t="n">
        <x:v>0.015688802922845475</x:v>
      </x:c>
      <x:c r="N201" t="str">
        <x:v>FCA</x:v>
      </x:c>
      <x:c r="O201" t="str">
        <x:v>Kalispell, MT</x:v>
      </x:c>
      <x:c r="P201" t="str">
        <x:v>MT</x:v>
      </x:c>
      <x:c r="Q201" s="23" t="n">
        <x:v>11689</x:v>
      </x:c>
      <x:c r="R201" s="24" t="n">
        <x:v>0.006758490888869878</x:v>
      </x:c>
      <x:c r="S201" s="24" t="n">
        <x:v>0.0024809650098383093</x:v>
      </x:c>
    </x:row>
    <x:row r="202">
      <x:c r="G202" t="str">
        <x:v>DFW-CID</x:v>
      </x:c>
      <x:c r="H202" t="str">
        <x:v>DFW</x:v>
      </x:c>
      <x:c r="I202" t="str">
        <x:v>CID</x:v>
      </x:c>
      <x:c r="J202" s="23" t="n">
        <x:v>3219</x:v>
      </x:c>
      <x:c r="K202" s="24" t="n">
        <x:v>0.28611369990680335</x:v>
      </x:c>
      <x:c r="L202" s="24" t="n">
        <x:v>0.02764833799316558</x:v>
      </x:c>
      <x:c r="N202" t="str">
        <x:v>PHX</x:v>
      </x:c>
      <x:c r="O202" t="str">
        <x:v>Phoenix, AZ</x:v>
      </x:c>
      <x:c r="P202" t="str">
        <x:v>AZ</x:v>
      </x:c>
      <x:c r="Q202" s="23" t="n">
        <x:v>566998</x:v>
      </x:c>
      <x:c r="R202" s="24" t="n">
        <x:v>0.006574979100455381</x:v>
      </x:c>
      <x:c r="S202" s="24" t="n">
        <x:v>0.002500890655698962</x:v>
      </x:c>
    </x:row>
    <x:row r="203">
      <x:c r="G203" t="str">
        <x:v>MIA-MSY</x:v>
      </x:c>
      <x:c r="H203" t="str">
        <x:v>MIA</x:v>
      </x:c>
      <x:c r="I203" t="str">
        <x:v>MSY</x:v>
      </x:c>
      <x:c r="J203" s="23" t="n">
        <x:v>5184</x:v>
      </x:c>
      <x:c r="K203" s="24" t="n">
        <x:v>0.28607253086419754</x:v>
      </x:c>
      <x:c r="L203" s="24" t="n">
        <x:v>0.01427469135802469</x:v>
      </x:c>
      <x:c r="N203" t="str">
        <x:v>SLC</x:v>
      </x:c>
      <x:c r="O203" t="str">
        <x:v>Salt Lake City, UT</x:v>
      </x:c>
      <x:c r="P203" t="str">
        <x:v>UT</x:v>
      </x:c>
      <x:c r="Q203" s="23" t="n">
        <x:v>338822</x:v>
      </x:c>
      <x:c r="R203" s="24" t="n">
        <x:v>0.006254021285512747</x:v>
      </x:c>
      <x:c r="S203" s="24" t="n">
        <x:v>0.002700533023239341</x:v>
      </x:c>
    </x:row>
    <x:row r="204">
      <x:c r="G204" t="str">
        <x:v>ORD-RST</x:v>
      </x:c>
      <x:c r="H204" t="str">
        <x:v>ORD</x:v>
      </x:c>
      <x:c r="I204" t="str">
        <x:v>RST</x:v>
      </x:c>
      <x:c r="J204" s="23" t="n">
        <x:v>1685</x:v>
      </x:c>
      <x:c r="K204" s="24" t="n">
        <x:v>0.286053412462908</x:v>
      </x:c>
      <x:c r="L204" s="24" t="n">
        <x:v>0.021364985163204748</x:v>
      </x:c>
      <x:c r="N204" t="str">
        <x:v>LGB</x:v>
      </x:c>
      <x:c r="O204" t="str">
        <x:v>Long Beach, CA</x:v>
      </x:c>
      <x:c r="P204" t="str">
        <x:v>CA</x:v>
      </x:c>
      <x:c r="Q204" s="23" t="n">
        <x:v>50876</x:v>
      </x:c>
      <x:c r="R204" s="24" t="n">
        <x:v>0.006034279424483057</x:v>
      </x:c>
      <x:c r="S204" s="24" t="n">
        <x:v>0.0015724506643604056</x:v>
      </x:c>
    </x:row>
    <x:row r="205">
      <x:c r="G205" t="str">
        <x:v>MIA-ATL</x:v>
      </x:c>
      <x:c r="H205" t="str">
        <x:v>MIA</x:v>
      </x:c>
      <x:c r="I205" t="str">
        <x:v>ATL</x:v>
      </x:c>
      <x:c r="J205" s="23" t="n">
        <x:v>19735</x:v>
      </x:c>
      <x:c r="K205" s="24" t="n">
        <x:v>0.2856853306308589</x:v>
      </x:c>
      <x:c r="L205" s="24" t="n">
        <x:v>0.011502406891309856</x:v>
      </x:c>
      <x:c r="N205" t="str">
        <x:v>GEG</x:v>
      </x:c>
      <x:c r="O205" t="str">
        <x:v>Spokane, WA</x:v>
      </x:c>
      <x:c r="P205" t="str">
        <x:v>WA</x:v>
      </x:c>
      <x:c r="Q205" s="23" t="n">
        <x:v>52285</x:v>
      </x:c>
      <x:c r="R205" s="24" t="n">
        <x:v>0.006005546523859616</x:v>
      </x:c>
      <x:c r="S205" s="24" t="n">
        <x:v>0.0017404609352586783</x:v>
      </x:c>
    </x:row>
    <x:row r="206">
      <x:c r="G206" t="str">
        <x:v>BWI-SYR</x:v>
      </x:c>
      <x:c r="H206" t="str">
        <x:v>BWI</x:v>
      </x:c>
      <x:c r="I206" t="str">
        <x:v>SYR</x:v>
      </x:c>
      <x:c r="J206" s="23" t="n">
        <x:v>1684</x:v>
      </x:c>
      <x:c r="K206" s="24" t="n">
        <x:v>0.2856294536817102</x:v>
      </x:c>
      <x:c r="L206" s="24" t="n">
        <x:v>0.006532066508313539</x:v>
      </x:c>
      <x:c r="N206" t="str">
        <x:v>BOI</x:v>
      </x:c>
      <x:c r="O206" t="str">
        <x:v>Boise, ID</x:v>
      </x:c>
      <x:c r="P206" t="str">
        <x:v>ID</x:v>
      </x:c>
      <x:c r="Q206" s="23" t="n">
        <x:v>67517</x:v>
      </x:c>
      <x:c r="R206" s="24" t="n">
        <x:v>0.005435668053971592</x:v>
      </x:c>
      <x:c r="S206" s="24" t="n">
        <x:v>0.0018958188308129803</x:v>
      </x:c>
    </x:row>
    <x:row r="207">
      <x:c r="G207" t="str">
        <x:v>MCO-SDF</x:v>
      </x:c>
      <x:c r="H207" t="str">
        <x:v>MCO</x:v>
      </x:c>
      <x:c r="I207" t="str">
        <x:v>SDF</x:v>
      </x:c>
      <x:c r="J207" s="23" t="n">
        <x:v>2752</x:v>
      </x:c>
      <x:c r="K207" s="24" t="n">
        <x:v>0.2856104651162791</x:v>
      </x:c>
      <x:c r="L207" s="24" t="n">
        <x:v>0.010174418604651164</x:v>
      </x:c>
      <x:c r="N207" t="str">
        <x:v>GTF</x:v>
      </x:c>
      <x:c r="O207" t="str">
        <x:v>Great Falls, MT</x:v>
      </x:c>
      <x:c r="P207" t="str">
        <x:v>MT</x:v>
      </x:c>
      <x:c r="Q207" s="23" t="n">
        <x:v>7462</x:v>
      </x:c>
      <x:c r="R207" s="24" t="n">
        <x:v>0.005360493165371214</x:v>
      </x:c>
      <x:c r="S207" s="24" t="n">
        <x:v>0.0025462342535513267</x:v>
      </x:c>
    </x:row>
    <x:row r="208">
      <x:c r="G208" t="str">
        <x:v>JAC-SFO</x:v>
      </x:c>
      <x:c r="H208" t="str">
        <x:v>JAC</x:v>
      </x:c>
      <x:c r="I208" t="str">
        <x:v>SFO</x:v>
      </x:c>
      <x:c r="J208" s="23" t="n">
        <x:v>1016</x:v>
      </x:c>
      <x:c r="K208" s="24" t="n">
        <x:v>0.2854330708661417</x:v>
      </x:c>
      <x:c r="L208" s="24" t="n">
        <x:v>0.021653543307086614</x:v>
      </x:c>
      <x:c r="N208" t="str">
        <x:v>AZA</x:v>
      </x:c>
      <x:c r="O208" t="str">
        <x:v>Phoenix, AZ</x:v>
      </x:c>
      <x:c r="P208" t="str">
        <x:v>AZ</x:v>
      </x:c>
      <x:c r="Q208" s="23" t="n">
        <x:v>17856</x:v>
      </x:c>
      <x:c r="R208" s="24" t="n">
        <x:v>0.004760304659498208</x:v>
      </x:c>
      <x:c r="S208" s="24" t="n">
        <x:v>0.002968189964157706</x:v>
      </x:c>
    </x:row>
    <x:row r="209">
      <x:c r="G209" t="str">
        <x:v>MCO-MEM</x:v>
      </x:c>
      <x:c r="H209" t="str">
        <x:v>MCO</x:v>
      </x:c>
      <x:c r="I209" t="str">
        <x:v>MEM</x:v>
      </x:c>
      <x:c r="J209" s="23" t="n">
        <x:v>2425</x:v>
      </x:c>
      <x:c r="K209" s="24" t="n">
        <x:v>0.28536082474226804</x:v>
      </x:c>
      <x:c r="L209" s="24" t="n">
        <x:v>0.015670103092783504</x:v>
      </x:c>
      <x:c r="N209" t="str">
        <x:v>PSC</x:v>
      </x:c>
      <x:c r="O209" t="str">
        <x:v>Pasco/Kennewick/Richland, WA</x:v>
      </x:c>
      <x:c r="P209" t="str">
        <x:v>WA</x:v>
      </x:c>
      <x:c r="Q209" s="23" t="n">
        <x:v>17043</x:v>
      </x:c>
      <x:c r="R209" s="24" t="n">
        <x:v>0.003931232764184709</x:v>
      </x:c>
      <x:c r="S209" s="24" t="n">
        <x:v>0.002229654403567447</x:v>
      </x:c>
    </x:row>
    <x:row r="210">
      <x:c r="G210" t="str">
        <x:v>ATL-MIA</x:v>
      </x:c>
      <x:c r="H210" t="str">
        <x:v>ATL</x:v>
      </x:c>
      <x:c r="I210" t="str">
        <x:v>MIA</x:v>
      </x:c>
      <x:c r="J210" s="23" t="n">
        <x:v>19743</x:v>
      </x:c>
      <x:c r="K210" s="24" t="n">
        <x:v>0.285164362052373</x:v>
      </x:c>
      <x:c r="L210" s="24" t="n">
        <x:v>0.011041888264194905</x:v>
      </x:c>
      <x:c r="N210" t="str">
        <x:v>SGU</x:v>
      </x:c>
      <x:c r="O210" t="str">
        <x:v>St. George, UT</x:v>
      </x:c>
      <x:c r="P210" t="str">
        <x:v>UT</x:v>
      </x:c>
      <x:c r="Q210" s="23" t="n">
        <x:v>10178</x:v>
      </x:c>
      <x:c r="R210" s="24" t="n">
        <x:v>0.0021615248575358615</x:v>
      </x:c>
      <x:c r="S210" s="24" t="n">
        <x:v>0.003144036156415799</x:v>
      </x:c>
    </x:row>
    <x:row r="211">
      <x:c r="G211" t="str">
        <x:v>ORD-CAK</x:v>
      </x:c>
      <x:c r="H211" t="str">
        <x:v>ORD</x:v>
      </x:c>
      <x:c r="I211" t="str">
        <x:v>CAK</x:v>
      </x:c>
      <x:c r="J211" s="23" t="n">
        <x:v>3409</x:v>
      </x:c>
      <x:c r="K211" s="24" t="n">
        <x:v>0.2851276034027574</x:v>
      </x:c>
      <x:c r="L211" s="24" t="n">
        <x:v>0.02053388090349076</x:v>
      </x:c>
    </x:row>
    <x:row r="212">
      <x:c r="G212" t="str">
        <x:v>DFW-FLL</x:v>
      </x:c>
      <x:c r="H212" t="str">
        <x:v>DFW</x:v>
      </x:c>
      <x:c r="I212" t="str">
        <x:v>FLL</x:v>
      </x:c>
      <x:c r="J212" s="23" t="n">
        <x:v>8597</x:v>
      </x:c>
      <x:c r="K212" s="24" t="n">
        <x:v>0.28509945329766195</x:v>
      </x:c>
      <x:c r="L212" s="24" t="n">
        <x:v>0.022798650692101897</x:v>
      </x:c>
      <x:c r="N212" s="65" t="str">
        <x:v>How to use this page: first identify a high-volume exception, then compare it with route-month peer performance, seasons, departure periods, and cancellation/diversion patterns. Do not infer that a carrier, airport, or route caused a delay from descriptive rankings.</x:v>
      </x:c>
      <x:c r="O212" s="66"/>
      <x:c r="P212" s="66"/>
      <x:c r="Q212" s="66"/>
      <x:c r="R212" s="66"/>
      <x:c r="S212" s="67"/>
    </x:row>
    <x:row r="213">
      <x:c r="G213" t="str">
        <x:v>JFK-IAH</x:v>
      </x:c>
      <x:c r="H213" t="str">
        <x:v>JFK</x:v>
      </x:c>
      <x:c r="I213" t="str">
        <x:v>IAH</x:v>
      </x:c>
      <x:c r="J213" s="23" t="n">
        <x:v>1039</x:v>
      </x:c>
      <x:c r="K213" s="24" t="n">
        <x:v>0.2848893166506256</x:v>
      </x:c>
      <x:c r="L213" s="24" t="n">
        <x:v>0.014436958614051972</x:v>
      </x:c>
      <x:c r="N213" s="318"/>
      <x:c r="O213" s="319"/>
      <x:c r="P213" s="319"/>
      <x:c r="Q213" s="319"/>
      <x:c r="R213" s="319"/>
      <x:c r="S213" s="320"/>
    </x:row>
    <x:row r="214">
      <x:c r="G214" t="str">
        <x:v>DEN-SDF</x:v>
      </x:c>
      <x:c r="H214" t="str">
        <x:v>DEN</x:v>
      </x:c>
      <x:c r="I214" t="str">
        <x:v>SDF</x:v>
      </x:c>
      <x:c r="J214" s="23" t="n">
        <x:v>3289</x:v>
      </x:c>
      <x:c r="K214" s="24" t="n">
        <x:v>0.2848890240194588</x:v>
      </x:c>
      <x:c r="L214" s="24" t="n">
        <x:v>0.006080875646093037</x:v>
      </x:c>
      <x:c r="N214" s="318"/>
      <x:c r="O214" s="319"/>
      <x:c r="P214" s="319"/>
      <x:c r="Q214" s="319"/>
      <x:c r="R214" s="319"/>
      <x:c r="S214" s="320"/>
    </x:row>
    <x:row r="215">
      <x:c r="G215" t="str">
        <x:v>MDW-PDX</x:v>
      </x:c>
      <x:c r="H215" t="str">
        <x:v>MDW</x:v>
      </x:c>
      <x:c r="I215" t="str">
        <x:v>PDX</x:v>
      </x:c>
      <x:c r="J215" s="23" t="n">
        <x:v>1693</x:v>
      </x:c>
      <x:c r="K215" s="24" t="n">
        <x:v>0.28470171293561725</x:v>
      </x:c>
      <x:c r="L215" s="24" t="n">
        <x:v>0.004725339633786178</x:v>
      </x:c>
      <x:c r="N215" s="318"/>
      <x:c r="O215" s="319"/>
      <x:c r="P215" s="319"/>
      <x:c r="Q215" s="319"/>
      <x:c r="R215" s="319"/>
      <x:c r="S215" s="320"/>
    </x:row>
    <x:row r="216">
      <x:c r="G216" t="str">
        <x:v>ORD-CHO</x:v>
      </x:c>
      <x:c r="H216" t="str">
        <x:v>ORD</x:v>
      </x:c>
      <x:c r="I216" t="str">
        <x:v>CHO</x:v>
      </x:c>
      <x:c r="J216" s="23" t="n">
        <x:v>1760</x:v>
      </x:c>
      <x:c r="K216" s="24" t="n">
        <x:v>0.2846590909090909</x:v>
      </x:c>
      <x:c r="L216" s="24" t="n">
        <x:v>0.01818181818181818</x:v>
      </x:c>
      <x:c r="N216" s="68"/>
      <x:c r="O216" s="69"/>
      <x:c r="P216" s="69"/>
      <x:c r="Q216" s="69"/>
      <x:c r="R216" s="69"/>
      <x:c r="S216" s="70"/>
    </x:row>
    <x:row r="217">
      <x:c r="G217" t="str">
        <x:v>MCO-PHL</x:v>
      </x:c>
      <x:c r="H217" t="str">
        <x:v>MCO</x:v>
      </x:c>
      <x:c r="I217" t="str">
        <x:v>PHL</x:v>
      </x:c>
      <x:c r="J217" s="23" t="n">
        <x:v>17168</x:v>
      </x:c>
      <x:c r="K217" s="24" t="n">
        <x:v>0.28448275862068967</x:v>
      </x:c>
      <x:c r="L217" s="24" t="n">
        <x:v>0.016367660764212488</x:v>
      </x:c>
    </x:row>
    <x:row r="218">
      <x:c r="G218" t="str">
        <x:v>DFW-VPS</x:v>
      </x:c>
      <x:c r="H218" t="str">
        <x:v>DFW</x:v>
      </x:c>
      <x:c r="I218" t="str">
        <x:v>VPS</x:v>
      </x:c>
      <x:c r="J218" s="23" t="n">
        <x:v>4099</x:v>
      </x:c>
      <x:c r="K218" s="24" t="n">
        <x:v>0.28445962429860944</x:v>
      </x:c>
      <x:c r="L218" s="24" t="n">
        <x:v>0.02366430836789461</x:v>
      </x:c>
    </x:row>
    <x:row r="219">
      <x:c r="G219" t="str">
        <x:v>DEN-ATW</x:v>
      </x:c>
      <x:c r="H219" t="str">
        <x:v>DEN</x:v>
      </x:c>
      <x:c r="I219" t="str">
        <x:v>ATW</x:v>
      </x:c>
      <x:c r="J219" s="23" t="n">
        <x:v>1322</x:v>
      </x:c>
      <x:c r="K219" s="24" t="n">
        <x:v>0.2844175491679274</x:v>
      </x:c>
      <x:c r="L219" s="24" t="n">
        <x:v>0.015128593040847202</x:v>
      </x:c>
    </x:row>
    <x:row r="220">
      <x:c r="G220" t="str">
        <x:v>LAS-FLL</x:v>
      </x:c>
      <x:c r="H220" t="str">
        <x:v>LAS</x:v>
      </x:c>
      <x:c r="I220" t="str">
        <x:v>FLL</x:v>
      </x:c>
      <x:c r="J220" s="23" t="n">
        <x:v>2835</x:v>
      </x:c>
      <x:c r="K220" s="24" t="n">
        <x:v>0.28430335097001763</x:v>
      </x:c>
      <x:c r="L220" s="24" t="n">
        <x:v>0.009876543209876543</x:v>
      </x:c>
    </x:row>
    <x:row r="221">
      <x:c r="G221" t="str">
        <x:v>SBP-DFW</x:v>
      </x:c>
      <x:c r="H221" t="str">
        <x:v>SBP</x:v>
      </x:c>
      <x:c r="I221" t="str">
        <x:v>DFW</x:v>
      </x:c>
      <x:c r="J221" s="23" t="n">
        <x:v>1457</x:v>
      </x:c>
      <x:c r="K221" s="24" t="n">
        <x:v>0.28414550446122167</x:v>
      </x:c>
      <x:c r="L221" s="24" t="n">
        <x:v>0.015099519560741249</x:v>
      </x:c>
    </x:row>
    <x:row r="222">
      <x:c r="G222" t="str">
        <x:v>FLL-CLE</x:v>
      </x:c>
      <x:c r="H222" t="str">
        <x:v>FLL</x:v>
      </x:c>
      <x:c r="I222" t="str">
        <x:v>CLE</x:v>
      </x:c>
      <x:c r="J222" s="23" t="n">
        <x:v>3361</x:v>
      </x:c>
      <x:c r="K222" s="24" t="n">
        <x:v>0.2841416245165129</x:v>
      </x:c>
      <x:c r="L222" s="24" t="n">
        <x:v>0.01368640285629277</x:v>
      </x:c>
    </x:row>
    <x:row r="223">
      <x:c r="G223" t="str">
        <x:v>DFW-IAH</x:v>
      </x:c>
      <x:c r="H223" t="str">
        <x:v>DFW</x:v>
      </x:c>
      <x:c r="I223" t="str">
        <x:v>IAH</x:v>
      </x:c>
      <x:c r="J223" s="23" t="n">
        <x:v>15718</x:v>
      </x:c>
      <x:c r="K223" s="24" t="n">
        <x:v>0.28413284132841327</x:v>
      </x:c>
      <x:c r="L223" s="24" t="n">
        <x:v>0.02824786868558341</x:v>
      </x:c>
    </x:row>
    <x:row r="224">
      <x:c r="G224" t="str">
        <x:v>STL-SFO</x:v>
      </x:c>
      <x:c r="H224" t="str">
        <x:v>STL</x:v>
      </x:c>
      <x:c r="I224" t="str">
        <x:v>SFO</x:v>
      </x:c>
      <x:c r="J224" s="23" t="n">
        <x:v>1283</x:v>
      </x:c>
      <x:c r="K224" s="24" t="n">
        <x:v>0.2837100545596259</x:v>
      </x:c>
      <x:c r="L224" s="24" t="n">
        <x:v>0.003117692907248636</x:v>
      </x:c>
    </x:row>
    <x:row r="225">
      <x:c r="G225" t="str">
        <x:v>DFW-SRQ</x:v>
      </x:c>
      <x:c r="H225" t="str">
        <x:v>DFW</x:v>
      </x:c>
      <x:c r="I225" t="str">
        <x:v>SRQ</x:v>
      </x:c>
      <x:c r="J225" s="23" t="n">
        <x:v>1181</x:v>
      </x:c>
      <x:c r="K225" s="24" t="n">
        <x:v>0.283657917019475</x:v>
      </x:c>
      <x:c r="L225" s="24" t="n">
        <x:v>0.028789161727349702</x:v>
      </x:c>
    </x:row>
    <x:row r="226">
      <x:c r="G226" t="str">
        <x:v>FLL-MSY</x:v>
      </x:c>
      <x:c r="H226" t="str">
        <x:v>FLL</x:v>
      </x:c>
      <x:c r="I226" t="str">
        <x:v>MSY</x:v>
      </x:c>
      <x:c r="J226" s="23" t="n">
        <x:v>4391</x:v>
      </x:c>
      <x:c r="K226" s="24" t="n">
        <x:v>0.28330676383511727</x:v>
      </x:c>
      <x:c r="L226" s="24" t="n">
        <x:v>0.014347529036665908</x:v>
      </x:c>
    </x:row>
    <x:row r="227">
      <x:c r="G227" t="str">
        <x:v>ORD-FNT</x:v>
      </x:c>
      <x:c r="H227" t="str">
        <x:v>ORD</x:v>
      </x:c>
      <x:c r="I227" t="str">
        <x:v>FNT</x:v>
      </x:c>
      <x:c r="J227" s="23" t="n">
        <x:v>3128</x:v>
      </x:c>
      <x:c r="K227" s="24" t="n">
        <x:v>0.28324808184143224</x:v>
      </x:c>
      <x:c r="L227" s="24" t="n">
        <x:v>0.020460358056265986</x:v>
      </x:c>
    </x:row>
    <x:row r="228">
      <x:c r="G228" t="str">
        <x:v>DFW-BUR</x:v>
      </x:c>
      <x:c r="H228" t="str">
        <x:v>DFW</x:v>
      </x:c>
      <x:c r="I228" t="str">
        <x:v>BUR</x:v>
      </x:c>
      <x:c r="J228" s="23" t="n">
        <x:v>2183</x:v>
      </x:c>
      <x:c r="K228" s="24" t="n">
        <x:v>0.282638570774164</x:v>
      </x:c>
      <x:c r="L228" s="24" t="n">
        <x:v>0.016491067338524967</x:v>
      </x:c>
    </x:row>
    <x:row r="229">
      <x:c r="G229" t="str">
        <x:v>ORD-TVC</x:v>
      </x:c>
      <x:c r="H229" t="str">
        <x:v>ORD</x:v>
      </x:c>
      <x:c r="I229" t="str">
        <x:v>TVC</x:v>
      </x:c>
      <x:c r="J229" s="23" t="n">
        <x:v>5270</x:v>
      </x:c>
      <x:c r="K229" s="24" t="n">
        <x:v>0.2825426944971537</x:v>
      </x:c>
      <x:c r="L229" s="24" t="n">
        <x:v>0.021821631878557873</x:v>
      </x:c>
    </x:row>
    <x:row r="230">
      <x:c r="G230" t="str">
        <x:v>AUS-OAK</x:v>
      </x:c>
      <x:c r="H230" t="str">
        <x:v>AUS</x:v>
      </x:c>
      <x:c r="I230" t="str">
        <x:v>OAK</x:v>
      </x:c>
      <x:c r="J230" s="23" t="n">
        <x:v>1070</x:v>
      </x:c>
      <x:c r="K230" s="24" t="n">
        <x:v>0.2822429906542056</x:v>
      </x:c>
      <x:c r="L230" s="24" t="n">
        <x:v>0.0009345794392523365</x:v>
      </x:c>
    </x:row>
    <x:row r="231">
      <x:c r="G231" t="str">
        <x:v>PSP-SFO</x:v>
      </x:c>
      <x:c r="H231" t="str">
        <x:v>PSP</x:v>
      </x:c>
      <x:c r="I231" t="str">
        <x:v>SFO</x:v>
      </x:c>
      <x:c r="J231" s="23" t="n">
        <x:v>7400</x:v>
      </x:c>
      <x:c r="K231" s="24" t="n">
        <x:v>0.28216216216216217</x:v>
      </x:c>
      <x:c r="L231" s="24" t="n">
        <x:v>0.008783783783783784</x:v>
      </x:c>
    </x:row>
    <x:row r="232">
      <x:c r="G232" t="str">
        <x:v>ATL-MCO</x:v>
      </x:c>
      <x:c r="H232" t="str">
        <x:v>ATL</x:v>
      </x:c>
      <x:c r="I232" t="str">
        <x:v>MCO</x:v>
      </x:c>
      <x:c r="J232" s="23" t="n">
        <x:v>26117</x:v>
      </x:c>
      <x:c r="K232" s="24" t="n">
        <x:v>0.2820768082092124</x:v>
      </x:c>
      <x:c r="L232" s="24" t="n">
        <x:v>0.011180457173488532</x:v>
      </x:c>
    </x:row>
    <x:row r="233">
      <x:c r="G233" t="str">
        <x:v>MCI-OAK</x:v>
      </x:c>
      <x:c r="H233" t="str">
        <x:v>MCI</x:v>
      </x:c>
      <x:c r="I233" t="str">
        <x:v>OAK</x:v>
      </x:c>
      <x:c r="J233" s="23" t="n">
        <x:v>1064</x:v>
      </x:c>
      <x:c r="K233" s="24" t="n">
        <x:v>0.2819548872180451</x:v>
      </x:c>
      <x:c r="L233" s="24" t="n">
        <x:v>0.0037593984962406013</x:v>
      </x:c>
    </x:row>
    <x:row r="234">
      <x:c r="G234" t="str">
        <x:v>FLL-JFK</x:v>
      </x:c>
      <x:c r="H234" t="str">
        <x:v>FLL</x:v>
      </x:c>
      <x:c r="I234" t="str">
        <x:v>JFK</x:v>
      </x:c>
      <x:c r="J234" s="23" t="n">
        <x:v>11722</x:v>
      </x:c>
      <x:c r="K234" s="24" t="n">
        <x:v>0.2819484729568333</x:v>
      </x:c>
      <x:c r="L234" s="24" t="n">
        <x:v>0.025934140931581643</x:v>
      </x:c>
    </x:row>
    <x:row r="235">
      <x:c r="G235" t="str">
        <x:v>MIA-BDL</x:v>
      </x:c>
      <x:c r="H235" t="str">
        <x:v>MIA</x:v>
      </x:c>
      <x:c r="I235" t="str">
        <x:v>BDL</x:v>
      </x:c>
      <x:c r="J235" s="23" t="n">
        <x:v>1462</x:v>
      </x:c>
      <x:c r="K235" s="24" t="n">
        <x:v>0.2818057455540356</x:v>
      </x:c>
      <x:c r="L235" s="24" t="n">
        <x:v>0.011627906976744186</x:v>
      </x:c>
    </x:row>
    <x:row r="236">
      <x:c r="G236" t="str">
        <x:v>FLL-ATL</x:v>
      </x:c>
      <x:c r="H236" t="str">
        <x:v>FLL</x:v>
      </x:c>
      <x:c r="I236" t="str">
        <x:v>ATL</x:v>
      </x:c>
      <x:c r="J236" s="23" t="n">
        <x:v>22287</x:v>
      </x:c>
      <x:c r="K236" s="24" t="n">
        <x:v>0.2817786153362947</x:v>
      </x:c>
      <x:c r="L236" s="24" t="n">
        <x:v>0.013415892672858616</x:v>
      </x:c>
    </x:row>
    <x:row r="237">
      <x:c r="G237" t="str">
        <x:v>EGE-DFW</x:v>
      </x:c>
      <x:c r="H237" t="str">
        <x:v>EGE</x:v>
      </x:c>
      <x:c r="I237" t="str">
        <x:v>DFW</x:v>
      </x:c>
      <x:c r="J237" s="23" t="n">
        <x:v>2583</x:v>
      </x:c>
      <x:c r="K237" s="24" t="n">
        <x:v>0.28145567169957414</x:v>
      </x:c>
      <x:c r="L237" s="24" t="n">
        <x:v>0.015098722415795587</x:v>
      </x:c>
    </x:row>
    <x:row r="238">
      <x:c r="G238" t="str">
        <x:v>DFW-CLE</x:v>
      </x:c>
      <x:c r="H238" t="str">
        <x:v>DFW</x:v>
      </x:c>
      <x:c r="I238" t="str">
        <x:v>CLE</x:v>
      </x:c>
      <x:c r="J238" s="23" t="n">
        <x:v>5217</x:v>
      </x:c>
      <x:c r="K238" s="24" t="n">
        <x:v>0.28138777074947285</x:v>
      </x:c>
      <x:c r="L238" s="24" t="n">
        <x:v>0.019743147402721872</x:v>
      </x:c>
    </x:row>
    <x:row r="239">
      <x:c r="G239" t="str">
        <x:v>ACK-JFK</x:v>
      </x:c>
      <x:c r="H239" t="str">
        <x:v>ACK</x:v>
      </x:c>
      <x:c r="I239" t="str">
        <x:v>JFK</x:v>
      </x:c>
      <x:c r="J239" s="23" t="n">
        <x:v>1109</x:v>
      </x:c>
      <x:c r="K239" s="24" t="n">
        <x:v>0.2813345356176736</x:v>
      </x:c>
      <x:c r="L239" s="24" t="n">
        <x:v>0.062218214607754736</x:v>
      </x:c>
    </x:row>
    <x:row r="240">
      <x:c r="G240" t="str">
        <x:v>MIA-TPA</x:v>
      </x:c>
      <x:c r="H240" t="str">
        <x:v>MIA</x:v>
      </x:c>
      <x:c r="I240" t="str">
        <x:v>TPA</x:v>
      </x:c>
      <x:c r="J240" s="23" t="n">
        <x:v>7827</x:v>
      </x:c>
      <x:c r="K240" s="24" t="n">
        <x:v>0.2813338443848218</x:v>
      </x:c>
      <x:c r="L240" s="24" t="n">
        <x:v>0.01763127635109237</x:v>
      </x:c>
    </x:row>
    <x:row r="241">
      <x:c r="G241" t="str">
        <x:v>DFW-AUS</x:v>
      </x:c>
      <x:c r="H241" t="str">
        <x:v>DFW</x:v>
      </x:c>
      <x:c r="I241" t="str">
        <x:v>AUS</x:v>
      </x:c>
      <x:c r="J241" s="23" t="n">
        <x:v>14588</x:v>
      </x:c>
      <x:c r="K241" s="24" t="n">
        <x:v>0.2813271181793255</x:v>
      </x:c>
      <x:c r="L241" s="24" t="n">
        <x:v>0.023512476007677544</x:v>
      </x:c>
    </x:row>
    <x:row r="242">
      <x:c r="G242" t="str">
        <x:v>FLL-DFW</x:v>
      </x:c>
      <x:c r="H242" t="str">
        <x:v>FLL</x:v>
      </x:c>
      <x:c r="I242" t="str">
        <x:v>DFW</x:v>
      </x:c>
      <x:c r="J242" s="23" t="n">
        <x:v>8592</x:v>
      </x:c>
      <x:c r="K242" s="24" t="n">
        <x:v>0.2809590316573557</x:v>
      </x:c>
      <x:c r="L242" s="24" t="n">
        <x:v>0.021997206703910616</x:v>
      </x:c>
    </x:row>
    <x:row r="243">
      <x:c r="G243" t="str">
        <x:v>AVL-DFW</x:v>
      </x:c>
      <x:c r="H243" t="str">
        <x:v>AVL</x:v>
      </x:c>
      <x:c r="I243" t="str">
        <x:v>DFW</x:v>
      </x:c>
      <x:c r="J243" s="23" t="n">
        <x:v>1883</x:v>
      </x:c>
      <x:c r="K243" s="24" t="n">
        <x:v>0.2809346787041954</x:v>
      </x:c>
      <x:c r="L243" s="24" t="n">
        <x:v>0.021242697822623474</x:v>
      </x:c>
    </x:row>
    <x:row r="244">
      <x:c r="G244" t="str">
        <x:v>PVD-PBI</x:v>
      </x:c>
      <x:c r="H244" t="str">
        <x:v>PVD</x:v>
      </x:c>
      <x:c r="I244" t="str">
        <x:v>PBI</x:v>
      </x:c>
      <x:c r="J244" s="23" t="n">
        <x:v>1218</x:v>
      </x:c>
      <x:c r="K244" s="24" t="n">
        <x:v>0.28078817733990147</x:v>
      </x:c>
      <x:c r="L244" s="24" t="n">
        <x:v>0.011494252873563218</x:v>
      </x:c>
    </x:row>
    <x:row r="245">
      <x:c r="G245" t="str">
        <x:v>MIA-RDU</x:v>
      </x:c>
      <x:c r="H245" t="str">
        <x:v>MIA</x:v>
      </x:c>
      <x:c r="I245" t="str">
        <x:v>RDU</x:v>
      </x:c>
      <x:c r="J245" s="23" t="n">
        <x:v>7098</x:v>
      </x:c>
      <x:c r="K245" s="24" t="n">
        <x:v>0.2807833192448577</x:v>
      </x:c>
      <x:c r="L245" s="24" t="n">
        <x:v>0.011693434770357848</x:v>
      </x:c>
    </x:row>
    <x:row r="246">
      <x:c r="G246" t="str">
        <x:v>MIA-CHS</x:v>
      </x:c>
      <x:c r="H246" t="str">
        <x:v>MIA</x:v>
      </x:c>
      <x:c r="I246" t="str">
        <x:v>CHS</x:v>
      </x:c>
      <x:c r="J246" s="23" t="n">
        <x:v>2504</x:v>
      </x:c>
      <x:c r="K246" s="24" t="n">
        <x:v>0.2807507987220447</x:v>
      </x:c>
      <x:c r="L246" s="24" t="n">
        <x:v>0.013977635782747603</x:v>
      </x:c>
    </x:row>
    <x:row r="247">
      <x:c r="G247" t="str">
        <x:v>MDW-SJC</x:v>
      </x:c>
      <x:c r="H247" t="str">
        <x:v>MDW</x:v>
      </x:c>
      <x:c r="I247" t="str">
        <x:v>SJC</x:v>
      </x:c>
      <x:c r="J247" s="23" t="n">
        <x:v>1628</x:v>
      </x:c>
      <x:c r="K247" s="24" t="n">
        <x:v>0.2807125307125307</x:v>
      </x:c>
      <x:c r="L247" s="24" t="n">
        <x:v>0.005528255528255528</x:v>
      </x:c>
    </x:row>
    <x:row r="248">
      <x:c r="G248" t="str">
        <x:v>ORD-MKE</x:v>
      </x:c>
      <x:c r="H248" t="str">
        <x:v>ORD</x:v>
      </x:c>
      <x:c r="I248" t="str">
        <x:v>MKE</x:v>
      </x:c>
      <x:c r="J248" s="23" t="n">
        <x:v>8701</x:v>
      </x:c>
      <x:c r="K248" s="24" t="n">
        <x:v>0.28054246638317437</x:v>
      </x:c>
      <x:c r="L248" s="24" t="n">
        <x:v>0.0216067118721986</x:v>
      </x:c>
    </x:row>
    <x:row r="249">
      <x:c r="G249" t="str">
        <x:v>DFW-ORF</x:v>
      </x:c>
      <x:c r="H249" t="str">
        <x:v>DFW</x:v>
      </x:c>
      <x:c r="I249" t="str">
        <x:v>ORF</x:v>
      </x:c>
      <x:c r="J249" s="23" t="n">
        <x:v>3013</x:v>
      </x:c>
      <x:c r="K249" s="24" t="n">
        <x:v>0.28045137736475273</x:v>
      </x:c>
      <x:c r="L249" s="24" t="n">
        <x:v>0.023896448722203784</x:v>
      </x:c>
    </x:row>
    <x:row r="250">
      <x:c r="G250" t="str">
        <x:v>DFW-MEM</x:v>
      </x:c>
      <x:c r="H250" t="str">
        <x:v>DFW</x:v>
      </x:c>
      <x:c r="I250" t="str">
        <x:v>MEM</x:v>
      </x:c>
      <x:c r="J250" s="23" t="n">
        <x:v>7353</x:v>
      </x:c>
      <x:c r="K250" s="24" t="n">
        <x:v>0.2804297565619475</x:v>
      </x:c>
      <x:c r="L250" s="24" t="n">
        <x:v>0.02393580851353189</x:v>
      </x:c>
    </x:row>
    <x:row r="251">
      <x:c r="G251" t="str">
        <x:v>MIA-JFK</x:v>
      </x:c>
      <x:c r="H251" t="str">
        <x:v>MIA</x:v>
      </x:c>
      <x:c r="I251" t="str">
        <x:v>JFK</x:v>
      </x:c>
      <x:c r="J251" s="23" t="n">
        <x:v>16432</x:v>
      </x:c>
      <x:c r="K251" s="24" t="n">
        <x:v>0.2803675754625122</x:v>
      </x:c>
      <x:c r="L251" s="24" t="n">
        <x:v>0.017952775073028237</x:v>
      </x:c>
    </x:row>
    <x:row r="252">
      <x:c r="G252" t="str">
        <x:v>DFW-TUS</x:v>
      </x:c>
      <x:c r="H252" t="str">
        <x:v>DFW</x:v>
      </x:c>
      <x:c r="I252" t="str">
        <x:v>TUS</x:v>
      </x:c>
      <x:c r="J252" s="23" t="n">
        <x:v>6693</x:v>
      </x:c>
      <x:c r="K252" s="24" t="n">
        <x:v>0.2802928432690871</x:v>
      </x:c>
      <x:c r="L252" s="24" t="n">
        <x:v>0.022112655012699836</x:v>
      </x:c>
    </x:row>
    <x:row r="253">
      <x:c r="G253" t="str">
        <x:v>ORF-FLL</x:v>
      </x:c>
      <x:c r="H253" t="str">
        <x:v>ORF</x:v>
      </x:c>
      <x:c r="I253" t="str">
        <x:v>FLL</x:v>
      </x:c>
      <x:c r="J253" s="23" t="n">
        <x:v>1131</x:v>
      </x:c>
      <x:c r="K253" s="24" t="n">
        <x:v>0.28028293545534927</x:v>
      </x:c>
      <x:c r="L253" s="24" t="n">
        <x:v>0.040671971706454466</x:v>
      </x:c>
    </x:row>
    <x:row r="254">
      <x:c r="G254" t="str">
        <x:v>BUF-FLL</x:v>
      </x:c>
      <x:c r="H254" t="str">
        <x:v>BUF</x:v>
      </x:c>
      <x:c r="I254" t="str">
        <x:v>FLL</x:v>
      </x:c>
      <x:c r="J254" s="23" t="n">
        <x:v>1588</x:v>
      </x:c>
      <x:c r="K254" s="24" t="n">
        <x:v>0.28022670025188917</x:v>
      </x:c>
      <x:c r="L254" s="24" t="n">
        <x:v>0.018261964735516372</x:v>
      </x:c>
    </x:row>
    <x:row r="255">
      <x:c r="G255" t="str">
        <x:v>SJU-EWR</x:v>
      </x:c>
      <x:c r="H255" t="str">
        <x:v>SJU</x:v>
      </x:c>
      <x:c r="I255" t="str">
        <x:v>EWR</x:v>
      </x:c>
      <x:c r="J255" s="23" t="n">
        <x:v>6663</x:v>
      </x:c>
      <x:c r="K255" s="24" t="n">
        <x:v>0.28005402971634397</x:v>
      </x:c>
      <x:c r="L255" s="24" t="n">
        <x:v>0.017709740357196458</x:v>
      </x:c>
    </x:row>
    <x:row r="256">
      <x:c r="G256" t="str">
        <x:v>PHX-FLL</x:v>
      </x:c>
      <x:c r="H256" t="str">
        <x:v>PHX</x:v>
      </x:c>
      <x:c r="I256" t="str">
        <x:v>FLL</x:v>
      </x:c>
      <x:c r="J256" s="23" t="n">
        <x:v>1082</x:v>
      </x:c>
      <x:c r="K256" s="24" t="n">
        <x:v>0.2800369685767098</x:v>
      </x:c>
      <x:c r="L256" s="24" t="n">
        <x:v>0.018484288354898338</x:v>
      </x:c>
    </x:row>
    <x:row r="257">
      <x:c r="G257" t="str">
        <x:v>DFW-MYR</x:v>
      </x:c>
      <x:c r="H257" t="str">
        <x:v>DFW</x:v>
      </x:c>
      <x:c r="I257" t="str">
        <x:v>MYR</x:v>
      </x:c>
      <x:c r="J257" s="23" t="n">
        <x:v>1333</x:v>
      </x:c>
      <x:c r="K257" s="24" t="n">
        <x:v>0.2798199549887472</x:v>
      </x:c>
      <x:c r="L257" s="24" t="n">
        <x:v>0.020255063765941484</x:v>
      </x:c>
    </x:row>
    <x:row r="258">
      <x:c r="G258" t="str">
        <x:v>SFO-STL</x:v>
      </x:c>
      <x:c r="H258" t="str">
        <x:v>SFO</x:v>
      </x:c>
      <x:c r="I258" t="str">
        <x:v>STL</x:v>
      </x:c>
      <x:c r="J258" s="23" t="n">
        <x:v>1276</x:v>
      </x:c>
      <x:c r="K258" s="24" t="n">
        <x:v>0.2797805642633229</x:v>
      </x:c>
      <x:c r="L258" s="24" t="n">
        <x:v>0.003918495297805642</x:v>
      </x:c>
    </x:row>
    <x:row r="259">
      <x:c r="G259" t="str">
        <x:v>PBI-BOS</x:v>
      </x:c>
      <x:c r="H259" t="str">
        <x:v>PBI</x:v>
      </x:c>
      <x:c r="I259" t="str">
        <x:v>BOS</x:v>
      </x:c>
      <x:c r="J259" s="23" t="n">
        <x:v>5998</x:v>
      </x:c>
      <x:c r="K259" s="24" t="n">
        <x:v>0.27975991997332444</x:v>
      </x:c>
      <x:c r="L259" s="24" t="n">
        <x:v>0.013837945981993997</x:v>
      </x:c>
    </x:row>
    <x:row r="260">
      <x:c r="G260" t="str">
        <x:v>ORD-EWR</x:v>
      </x:c>
      <x:c r="H260" t="str">
        <x:v>ORD</x:v>
      </x:c>
      <x:c r="I260" t="str">
        <x:v>EWR</x:v>
      </x:c>
      <x:c r="J260" s="23" t="n">
        <x:v>17634</x:v>
      </x:c>
      <x:c r="K260" s="24" t="n">
        <x:v>0.27968696835658385</x:v>
      </x:c>
      <x:c r="L260" s="24" t="n">
        <x:v>0.023363955994102303</x:v>
      </x:c>
    </x:row>
    <x:row r="261">
      <x:c r="G261" t="str">
        <x:v>PNS-FLL</x:v>
      </x:c>
      <x:c r="H261" t="str">
        <x:v>PNS</x:v>
      </x:c>
      <x:c r="I261" t="str">
        <x:v>FLL</x:v>
      </x:c>
      <x:c r="J261" s="23" t="n">
        <x:v>1155</x:v>
      </x:c>
      <x:c r="K261" s="24" t="n">
        <x:v>0.27965367965367965</x:v>
      </x:c>
      <x:c r="L261" s="24" t="n">
        <x:v>0.024242424242424242</x:v>
      </x:c>
    </x:row>
    <x:row r="262">
      <x:c r="G262" t="str">
        <x:v>MCO-PSE</x:v>
      </x:c>
      <x:c r="H262" t="str">
        <x:v>MCO</x:v>
      </x:c>
      <x:c r="I262" t="str">
        <x:v>PSE</x:v>
      </x:c>
      <x:c r="J262" s="23" t="n">
        <x:v>2032</x:v>
      </x:c>
      <x:c r="K262" s="24" t="n">
        <x:v>0.2795275590551181</x:v>
      </x:c>
      <x:c r="L262" s="24" t="n">
        <x:v>0.01033464566929134</x:v>
      </x:c>
    </x:row>
    <x:row r="263">
      <x:c r="G263" t="str">
        <x:v>IAH-STL</x:v>
      </x:c>
      <x:c r="H263" t="str">
        <x:v>IAH</x:v>
      </x:c>
      <x:c r="I263" t="str">
        <x:v>STL</x:v>
      </x:c>
      <x:c r="J263" s="23" t="n">
        <x:v>1870</x:v>
      </x:c>
      <x:c r="K263" s="24" t="n">
        <x:v>0.279144385026738</x:v>
      </x:c>
      <x:c r="L263" s="24" t="n">
        <x:v>0.011764705882352941</x:v>
      </x:c>
    </x:row>
    <x:row r="264">
      <x:c r="G264" t="str">
        <x:v>MCO-MCI</x:v>
      </x:c>
      <x:c r="H264" t="str">
        <x:v>MCO</x:v>
      </x:c>
      <x:c r="I264" t="str">
        <x:v>MCI</x:v>
      </x:c>
      <x:c r="J264" s="23" t="n">
        <x:v>4859</x:v>
      </x:c>
      <x:c r="K264" s="24" t="n">
        <x:v>0.27906976744186046</x:v>
      </x:c>
      <x:c r="L264" s="24" t="n">
        <x:v>0.012142416135007203</x:v>
      </x:c>
    </x:row>
    <x:row r="265">
      <x:c r="G265" t="str">
        <x:v>JAC-DFW</x:v>
      </x:c>
      <x:c r="H265" t="str">
        <x:v>JAC</x:v>
      </x:c>
      <x:c r="I265" t="str">
        <x:v>DFW</x:v>
      </x:c>
      <x:c r="J265" s="23" t="n">
        <x:v>1976</x:v>
      </x:c>
      <x:c r="K265" s="24" t="n">
        <x:v>0.27884615384615385</x:v>
      </x:c>
      <x:c r="L265" s="24" t="n">
        <x:v>0.016700404858299597</x:v>
      </x:c>
    </x:row>
    <x:row r="266">
      <x:c r="G266" t="str">
        <x:v>DFW-SEA</x:v>
      </x:c>
      <x:c r="H266" t="str">
        <x:v>DFW</x:v>
      </x:c>
      <x:c r="I266" t="str">
        <x:v>SEA</x:v>
      </x:c>
      <x:c r="J266" s="23" t="n">
        <x:v>14433</x:v>
      </x:c>
      <x:c r="K266" s="24" t="n">
        <x:v>0.27880551513891777</x:v>
      </x:c>
      <x:c r="L266" s="24" t="n">
        <x:v>0.01642070255664103</x:v>
      </x:c>
    </x:row>
    <x:row r="267">
      <x:c r="G267" t="str">
        <x:v>PHX-MEM</x:v>
      </x:c>
      <x:c r="H267" t="str">
        <x:v>PHX</x:v>
      </x:c>
      <x:c r="I267" t="str">
        <x:v>MEM</x:v>
      </x:c>
      <x:c r="J267" s="23" t="n">
        <x:v>1403</x:v>
      </x:c>
      <x:c r="K267" s="24" t="n">
        <x:v>0.2786885245901639</x:v>
      </x:c>
      <x:c r="L267" s="24" t="n">
        <x:v>0.005702066999287242</x:v>
      </x:c>
    </x:row>
    <x:row r="268">
      <x:c r="G268" t="str">
        <x:v>PHL-SEA</x:v>
      </x:c>
      <x:c r="H268" t="str">
        <x:v>PHL</x:v>
      </x:c>
      <x:c r="I268" t="str">
        <x:v>SEA</x:v>
      </x:c>
      <x:c r="J268" s="23" t="n">
        <x:v>3264</x:v>
      </x:c>
      <x:c r="K268" s="24" t="n">
        <x:v>0.27818627450980393</x:v>
      </x:c>
      <x:c r="L268" s="24" t="n">
        <x:v>0.014093137254901961</x:v>
      </x:c>
    </x:row>
    <x:row r="269">
      <x:c r="G269" t="str">
        <x:v>SAN-HNL</x:v>
      </x:c>
      <x:c r="H269" t="str">
        <x:v>SAN</x:v>
      </x:c>
      <x:c r="I269" t="str">
        <x:v>HNL</x:v>
      </x:c>
      <x:c r="J269" s="23" t="n">
        <x:v>4736</x:v>
      </x:c>
      <x:c r="K269" s="24" t="n">
        <x:v>0.2780827702702703</x:v>
      </x:c>
      <x:c r="L269" s="24" t="n">
        <x:v>0.0071790540540540545</x:v>
      </x:c>
    </x:row>
    <x:row r="270">
      <x:c r="G270" t="str">
        <x:v>BWI-MCI</x:v>
      </x:c>
      <x:c r="H270" t="str">
        <x:v>BWI</x:v>
      </x:c>
      <x:c r="I270" t="str">
        <x:v>MCI</x:v>
      </x:c>
      <x:c r="J270" s="23" t="n">
        <x:v>2478</x:v>
      </x:c>
      <x:c r="K270" s="24" t="n">
        <x:v>0.27804681194511705</x:v>
      </x:c>
      <x:c r="L270" s="24" t="n">
        <x:v>0.008071025020177562</x:v>
      </x:c>
    </x:row>
    <x:row r="271">
      <x:c r="G271" t="str">
        <x:v>BOS-RSW</x:v>
      </x:c>
      <x:c r="H271" t="str">
        <x:v>BOS</x:v>
      </x:c>
      <x:c r="I271" t="str">
        <x:v>RSW</x:v>
      </x:c>
      <x:c r="J271" s="23" t="n">
        <x:v>6319</x:v>
      </x:c>
      <x:c r="K271" s="24" t="n">
        <x:v>0.27789207153030543</x:v>
      </x:c>
      <x:c r="L271" s="24" t="n">
        <x:v>0.016933059028327268</x:v>
      </x:c>
    </x:row>
    <x:row r="272">
      <x:c r="G272" t="str">
        <x:v>SYR-MCO</x:v>
      </x:c>
      <x:c r="H272" t="str">
        <x:v>SYR</x:v>
      </x:c>
      <x:c r="I272" t="str">
        <x:v>MCO</x:v>
      </x:c>
      <x:c r="J272" s="23" t="n">
        <x:v>2434</x:v>
      </x:c>
      <x:c r="K272" s="24" t="n">
        <x:v>0.2777321281840592</x:v>
      </x:c>
      <x:c r="L272" s="24" t="n">
        <x:v>0.015201314708299097</x:v>
      </x:c>
    </x:row>
    <x:row r="273">
      <x:c r="G273" t="str">
        <x:v>SAT-JFK</x:v>
      </x:c>
      <x:c r="H273" t="str">
        <x:v>SAT</x:v>
      </x:c>
      <x:c r="I273" t="str">
        <x:v>JFK</x:v>
      </x:c>
      <x:c r="J273" s="23" t="n">
        <x:v>1624</x:v>
      </x:c>
      <x:c r="K273" s="24" t="n">
        <x:v>0.2777093596059113</x:v>
      </x:c>
      <x:c r="L273" s="24" t="n">
        <x:v>0.0166256157635468</x:v>
      </x:c>
    </x:row>
    <x:row r="274">
      <x:c r="G274" t="str">
        <x:v>CLT-BUF</x:v>
      </x:c>
      <x:c r="H274" t="str">
        <x:v>CLT</x:v>
      </x:c>
      <x:c r="I274" t="str">
        <x:v>BUF</x:v>
      </x:c>
      <x:c r="J274" s="23" t="n">
        <x:v>3518</x:v>
      </x:c>
      <x:c r="K274" s="24" t="n">
        <x:v>0.27743035815804434</x:v>
      </x:c>
      <x:c r="L274" s="24" t="n">
        <x:v>0.01335986355884025</x:v>
      </x:c>
    </x:row>
    <x:row r="275">
      <x:c r="G275" t="str">
        <x:v>FLL-DCA</x:v>
      </x:c>
      <x:c r="H275" t="str">
        <x:v>FLL</x:v>
      </x:c>
      <x:c r="I275" t="str">
        <x:v>DCA</x:v>
      </x:c>
      <x:c r="J275" s="23" t="n">
        <x:v>7182</x:v>
      </x:c>
      <x:c r="K275" s="24" t="n">
        <x:v>0.27736006683375103</x:v>
      </x:c>
      <x:c r="L275" s="24" t="n">
        <x:v>0.016290726817042606</x:v>
      </x:c>
    </x:row>
    <x:row r="276">
      <x:c r="G276" t="str">
        <x:v>ORD-CMX</x:v>
      </x:c>
      <x:c r="H276" t="str">
        <x:v>ORD</x:v>
      </x:c>
      <x:c r="I276" t="str">
        <x:v>CMX</x:v>
      </x:c>
      <x:c r="J276" s="23" t="n">
        <x:v>2230</x:v>
      </x:c>
      <x:c r="K276" s="24" t="n">
        <x:v>0.2771300448430493</x:v>
      </x:c>
      <x:c r="L276" s="24" t="n">
        <x:v>0.04753363228699552</x:v>
      </x:c>
    </x:row>
    <x:row r="277">
      <x:c r="G277" t="str">
        <x:v>DFW-SLC</x:v>
      </x:c>
      <x:c r="H277" t="str">
        <x:v>DFW</x:v>
      </x:c>
      <x:c r="I277" t="str">
        <x:v>SLC</x:v>
      </x:c>
      <x:c r="J277" s="23" t="n">
        <x:v>11399</x:v>
      </x:c>
      <x:c r="K277" s="24" t="n">
        <x:v>0.2771295727695412</x:v>
      </x:c>
      <x:c r="L277" s="24" t="n">
        <x:v>0.015527677866479515</x:v>
      </x:c>
    </x:row>
    <x:row r="278">
      <x:c r="G278" t="str">
        <x:v>FLL-ORD</x:v>
      </x:c>
      <x:c r="H278" t="str">
        <x:v>FLL</x:v>
      </x:c>
      <x:c r="I278" t="str">
        <x:v>ORD</x:v>
      </x:c>
      <x:c r="J278" s="23" t="n">
        <x:v>8706</x:v>
      </x:c>
      <x:c r="K278" s="24" t="n">
        <x:v>0.27705031013094417</x:v>
      </x:c>
      <x:c r="L278" s="24" t="n">
        <x:v>0.01286469101768895</x:v>
      </x:c>
    </x:row>
    <x:row r="279">
      <x:c r="G279" t="str">
        <x:v>CHS-BOS</x:v>
      </x:c>
      <x:c r="H279" t="str">
        <x:v>CHS</x:v>
      </x:c>
      <x:c r="I279" t="str">
        <x:v>BOS</x:v>
      </x:c>
      <x:c r="J279" s="23" t="n">
        <x:v>3542</x:v>
      </x:c>
      <x:c r="K279" s="24" t="n">
        <x:v>0.2769621682665161</x:v>
      </x:c>
      <x:c r="L279" s="24" t="n">
        <x:v>0.01637492941840768</x:v>
      </x:c>
    </x:row>
    <x:row r="280">
      <x:c r="G280" t="str">
        <x:v>LAX-SFO</x:v>
      </x:c>
      <x:c r="H280" t="str">
        <x:v>LAX</x:v>
      </x:c>
      <x:c r="I280" t="str">
        <x:v>SFO</x:v>
      </x:c>
      <x:c r="J280" s="23" t="n">
        <x:v>34029</x:v>
      </x:c>
      <x:c r="K280" s="24" t="n">
        <x:v>0.2769402568397543</x:v>
      </x:c>
      <x:c r="L280" s="24" t="n">
        <x:v>0.00752299509242117</x:v>
      </x:c>
    </x:row>
    <x:row r="281">
      <x:c r="G281" t="str">
        <x:v>AVL-DCA</x:v>
      </x:c>
      <x:c r="H281" t="str">
        <x:v>AVL</x:v>
      </x:c>
      <x:c r="I281" t="str">
        <x:v>DCA</x:v>
      </x:c>
      <x:c r="J281" s="23" t="n">
        <x:v>1600</x:v>
      </x:c>
      <x:c r="K281" s="24" t="n">
        <x:v>0.276875</x:v>
      </x:c>
      <x:c r="L281" s="24" t="n">
        <x:v>0.04125</x:v>
      </x:c>
    </x:row>
    <x:row r="282">
      <x:c r="G282" t="str">
        <x:v>IAH-CVG</x:v>
      </x:c>
      <x:c r="H282" t="str">
        <x:v>IAH</x:v>
      </x:c>
      <x:c r="I282" t="str">
        <x:v>CVG</x:v>
      </x:c>
      <x:c r="J282" s="23" t="n">
        <x:v>1901</x:v>
      </x:c>
      <x:c r="K282" s="24" t="n">
        <x:v>0.2766964755391899</x:v>
      </x:c>
      <x:c r="L282" s="24" t="n">
        <x:v>0.013677012098895318</x:v>
      </x:c>
    </x:row>
    <x:row r="283">
      <x:c r="G283" t="str">
        <x:v>MDW-ORF</x:v>
      </x:c>
      <x:c r="H283" t="str">
        <x:v>MDW</x:v>
      </x:c>
      <x:c r="I283" t="str">
        <x:v>ORF</x:v>
      </x:c>
      <x:c r="J283" s="23" t="n">
        <x:v>1735</x:v>
      </x:c>
      <x:c r="K283" s="24" t="n">
        <x:v>0.276657060518732</x:v>
      </x:c>
      <x:c r="L283" s="24" t="n">
        <x:v>0.008069164265129682</x:v>
      </x:c>
    </x:row>
    <x:row r="284">
      <x:c r="G284" t="str">
        <x:v>ORD-FSD</x:v>
      </x:c>
      <x:c r="H284" t="str">
        <x:v>ORD</x:v>
      </x:c>
      <x:c r="I284" t="str">
        <x:v>FSD</x:v>
      </x:c>
      <x:c r="J284" s="23" t="n">
        <x:v>4186</x:v>
      </x:c>
      <x:c r="K284" s="24" t="n">
        <x:v>0.2766364070711897</x:v>
      </x:c>
      <x:c r="L284" s="24" t="n">
        <x:v>0.023650262780697564</x:v>
      </x:c>
    </x:row>
    <x:row r="285">
      <x:c r="G285" t="str">
        <x:v>MCO-JFK</x:v>
      </x:c>
      <x:c r="H285" t="str">
        <x:v>MCO</x:v>
      </x:c>
      <x:c r="I285" t="str">
        <x:v>JFK</x:v>
      </x:c>
      <x:c r="J285" s="23" t="n">
        <x:v>14510</x:v>
      </x:c>
      <x:c r="K285" s="24" t="n">
        <x:v>0.27656788421778083</x:v>
      </x:c>
      <x:c r="L285" s="24" t="n">
        <x:v>0.02067539627842867</x:v>
      </x:c>
    </x:row>
    <x:row r="286">
      <x:c r="G286" t="str">
        <x:v>EWR-IAD</x:v>
      </x:c>
      <x:c r="H286" t="str">
        <x:v>EWR</x:v>
      </x:c>
      <x:c r="I286" t="str">
        <x:v>IAD</x:v>
      </x:c>
      <x:c r="J286" s="23" t="n">
        <x:v>4748</x:v>
      </x:c>
      <x:c r="K286" s="24" t="n">
        <x:v>0.2765374894692502</x:v>
      </x:c>
      <x:c r="L286" s="24" t="n">
        <x:v>0.020219039595619208</x:v>
      </x:c>
    </x:row>
    <x:row r="287">
      <x:c r="G287" t="str">
        <x:v>PDX-HNL</x:v>
      </x:c>
      <x:c r="H287" t="str">
        <x:v>PDX</x:v>
      </x:c>
      <x:c r="I287" t="str">
        <x:v>HNL</x:v>
      </x:c>
      <x:c r="J287" s="23" t="n">
        <x:v>2344</x:v>
      </x:c>
      <x:c r="K287" s="24" t="n">
        <x:v>0.2764505119453925</x:v>
      </x:c>
      <x:c r="L287" s="24" t="n">
        <x:v>0.008959044368600682</x:v>
      </x:c>
    </x:row>
    <x:row r="288">
      <x:c r="G288" t="str">
        <x:v>MCO-SJU</x:v>
      </x:c>
      <x:c r="H288" t="str">
        <x:v>MCO</x:v>
      </x:c>
      <x:c r="I288" t="str">
        <x:v>SJU</x:v>
      </x:c>
      <x:c r="J288" s="23" t="n">
        <x:v>18974</x:v>
      </x:c>
      <x:c r="K288" s="24" t="n">
        <x:v>0.27643090544956256</x:v>
      </x:c>
      <x:c r="L288" s="24" t="n">
        <x:v>0.007747443870559713</x:v>
      </x:c>
    </x:row>
    <x:row r="289">
      <x:c r="G289" t="str">
        <x:v>MIA-PIT</x:v>
      </x:c>
      <x:c r="H289" t="str">
        <x:v>MIA</x:v>
      </x:c>
      <x:c r="I289" t="str">
        <x:v>PIT</x:v>
      </x:c>
      <x:c r="J289" s="23" t="n">
        <x:v>1893</x:v>
      </x:c>
      <x:c r="K289" s="24" t="n">
        <x:v>0.2762810353935552</x:v>
      </x:c>
      <x:c r="L289" s="24" t="n">
        <x:v>0.006339144215530904</x:v>
      </x:c>
    </x:row>
    <x:row r="290">
      <x:c r="G290" t="str">
        <x:v>DCA-TLH</x:v>
      </x:c>
      <x:c r="H290" t="str">
        <x:v>DCA</x:v>
      </x:c>
      <x:c r="I290" t="str">
        <x:v>TLH</x:v>
      </x:c>
      <x:c r="J290" s="23" t="n">
        <x:v>1097</x:v>
      </x:c>
      <x:c r="K290" s="24" t="n">
        <x:v>0.27620783956244305</x:v>
      </x:c>
      <x:c r="L290" s="24" t="n">
        <x:v>0.04649042844120328</x:v>
      </x:c>
    </x:row>
    <x:row r="291">
      <x:c r="G291" t="str">
        <x:v>CRW-ORD</x:v>
      </x:c>
      <x:c r="H291" t="str">
        <x:v>CRW</x:v>
      </x:c>
      <x:c r="I291" t="str">
        <x:v>ORD</x:v>
      </x:c>
      <x:c r="J291" s="23" t="n">
        <x:v>2745</x:v>
      </x:c>
      <x:c r="K291" s="24" t="n">
        <x:v>0.2761384335154827</x:v>
      </x:c>
      <x:c r="L291" s="24" t="n">
        <x:v>0.02040072859744991</x:v>
      </x:c>
    </x:row>
    <x:row r="292">
      <x:c r="G292" t="str">
        <x:v>DFW-MFE</x:v>
      </x:c>
      <x:c r="H292" t="str">
        <x:v>DFW</x:v>
      </x:c>
      <x:c r="I292" t="str">
        <x:v>MFE</x:v>
      </x:c>
      <x:c r="J292" s="23" t="n">
        <x:v>6990</x:v>
      </x:c>
      <x:c r="K292" s="24" t="n">
        <x:v>0.2761087267525036</x:v>
      </x:c>
      <x:c r="L292" s="24" t="n">
        <x:v>0.022317596566523604</x:v>
      </x:c>
    </x:row>
    <x:row r="293">
      <x:c r="G293" t="str">
        <x:v>MCO-LAS</x:v>
      </x:c>
      <x:c r="H293" t="str">
        <x:v>MCO</x:v>
      </x:c>
      <x:c r="I293" t="str">
        <x:v>LAS</x:v>
      </x:c>
      <x:c r="J293" s="23" t="n">
        <x:v>4280</x:v>
      </x:c>
      <x:c r="K293" s="24" t="n">
        <x:v>0.2757009345794392</x:v>
      </x:c>
      <x:c r="L293" s="24" t="n">
        <x:v>0.009579439252336449</x:v>
      </x:c>
    </x:row>
    <x:row r="294">
      <x:c r="G294" t="str">
        <x:v>MCO-BOS</x:v>
      </x:c>
      <x:c r="H294" t="str">
        <x:v>MCO</x:v>
      </x:c>
      <x:c r="I294" t="str">
        <x:v>BOS</x:v>
      </x:c>
      <x:c r="J294" s="23" t="n">
        <x:v>14586</x:v>
      </x:c>
      <x:c r="K294" s="24" t="n">
        <x:v>0.2756067461949815</x:v>
      </x:c>
      <x:c r="L294" s="24" t="n">
        <x:v>0.018236665295488824</x:v>
      </x:c>
    </x:row>
    <x:row r="295">
      <x:c r="G295" t="str">
        <x:v>DEN-RDU</x:v>
      </x:c>
      <x:c r="H295" t="str">
        <x:v>DEN</x:v>
      </x:c>
      <x:c r="I295" t="str">
        <x:v>RDU</x:v>
      </x:c>
      <x:c r="J295" s="23" t="n">
        <x:v>5755</x:v>
      </x:c>
      <x:c r="K295" s="24" t="n">
        <x:v>0.2755864465682016</x:v>
      </x:c>
      <x:c r="L295" s="24" t="n">
        <x:v>0.0067767158992180715</x:v>
      </x:c>
    </x:row>
    <x:row r="296">
      <x:c r="G296" t="str">
        <x:v>DFW-CLT</x:v>
      </x:c>
      <x:c r="H296" t="str">
        <x:v>DFW</x:v>
      </x:c>
      <x:c r="I296" t="str">
        <x:v>CLT</x:v>
      </x:c>
      <x:c r="J296" s="23" t="n">
        <x:v>11913</x:v>
      </x:c>
      <x:c r="K296" s="24" t="n">
        <x:v>0.27558129774196255</x:v>
      </x:c>
      <x:c r="L296" s="24" t="n">
        <x:v>0.01544531184420381</x:v>
      </x:c>
    </x:row>
    <x:row r="297">
      <x:c r="G297" t="str">
        <x:v>FNT-ORD</x:v>
      </x:c>
      <x:c r="H297" t="str">
        <x:v>FNT</x:v>
      </x:c>
      <x:c r="I297" t="str">
        <x:v>ORD</x:v>
      </x:c>
      <x:c r="J297" s="23" t="n">
        <x:v>3127</x:v>
      </x:c>
      <x:c r="K297" s="24" t="n">
        <x:v>0.2753437799808123</x:v>
      </x:c>
      <x:c r="L297" s="24" t="n">
        <x:v>0.02110649184521906</x:v>
      </x:c>
    </x:row>
    <x:row r="298">
      <x:c r="G298" t="str">
        <x:v>DFW-PHL</x:v>
      </x:c>
      <x:c r="H298" t="str">
        <x:v>DFW</x:v>
      </x:c>
      <x:c r="I298" t="str">
        <x:v>PHL</x:v>
      </x:c>
      <x:c r="J298" s="23" t="n">
        <x:v>10298</x:v>
      </x:c>
      <x:c r="K298" s="24" t="n">
        <x:v>0.27529617401437173</x:v>
      </x:c>
      <x:c r="L298" s="24" t="n">
        <x:v>0.021460477762672365</x:v>
      </x:c>
    </x:row>
    <x:row r="299">
      <x:c r="G299" t="str">
        <x:v>LGA-PBI</x:v>
      </x:c>
      <x:c r="H299" t="str">
        <x:v>LGA</x:v>
      </x:c>
      <x:c r="I299" t="str">
        <x:v>PBI</x:v>
      </x:c>
      <x:c r="J299" s="23" t="n">
        <x:v>8693</x:v>
      </x:c>
      <x:c r="K299" s="24" t="n">
        <x:v>0.27527896008282526</x:v>
      </x:c>
      <x:c r="L299" s="24" t="n">
        <x:v>0.021051420683308408</x:v>
      </x:c>
    </x:row>
    <x:row r="300">
      <x:c r="G300" t="str">
        <x:v>CLT-LFT</x:v>
      </x:c>
      <x:c r="H300" t="str">
        <x:v>CLT</x:v>
      </x:c>
      <x:c r="I300" t="str">
        <x:v>LFT</x:v>
      </x:c>
      <x:c r="J300" s="23" t="n">
        <x:v>1090</x:v>
      </x:c>
      <x:c r="K300" s="24" t="n">
        <x:v>0.27522935779816515</x:v>
      </x:c>
      <x:c r="L300" s="24" t="n">
        <x:v>0.01834862385321101</x:v>
      </x:c>
    </x:row>
    <x:row r="301">
      <x:c r="G301" t="str">
        <x:v>SAV-DEN</x:v>
      </x:c>
      <x:c r="H301" t="str">
        <x:v>SAV</x:v>
      </x:c>
      <x:c r="I301" t="str">
        <x:v>DEN</x:v>
      </x:c>
      <x:c r="J301" s="23" t="n">
        <x:v>1186</x:v>
      </x:c>
      <x:c r="K301" s="24" t="n">
        <x:v>0.2748735244519393</x:v>
      </x:c>
      <x:c r="L301" s="24" t="n">
        <x:v>0.01011804384485666</x:v>
      </x:c>
    </x:row>
    <x:row r="302">
      <x:c r="G302" t="str">
        <x:v>DFW-PSP</x:v>
      </x:c>
      <x:c r="H302" t="str">
        <x:v>DFW</x:v>
      </x:c>
      <x:c r="I302" t="str">
        <x:v>PSP</x:v>
      </x:c>
      <x:c r="J302" s="23" t="n">
        <x:v>2985</x:v>
      </x:c>
      <x:c r="K302" s="24" t="n">
        <x:v>0.2747068676716918</x:v>
      </x:c>
      <x:c r="L302" s="24" t="n">
        <x:v>0.017755443886097153</x:v>
      </x:c>
    </x:row>
    <x:row r="303">
      <x:c r="G303" t="str">
        <x:v>MIA-EWR</x:v>
      </x:c>
      <x:c r="H303" t="str">
        <x:v>MIA</x:v>
      </x:c>
      <x:c r="I303" t="str">
        <x:v>EWR</x:v>
      </x:c>
      <x:c r="J303" s="23" t="n">
        <x:v>12936</x:v>
      </x:c>
      <x:c r="K303" s="24" t="n">
        <x:v>0.27465986394557823</x:v>
      </x:c>
      <x:c r="L303" s="24" t="n">
        <x:v>0.02373222016079159</x:v>
      </x:c>
    </x:row>
    <x:row r="304">
      <x:c r="G304" t="str">
        <x:v>FLL-MCI</x:v>
      </x:c>
      <x:c r="H304" t="str">
        <x:v>FLL</x:v>
      </x:c>
      <x:c r="I304" t="str">
        <x:v>MCI</x:v>
      </x:c>
      <x:c r="J304" s="23" t="n">
        <x:v>1602</x:v>
      </x:c>
      <x:c r="K304" s="24" t="n">
        <x:v>0.2746566791510612</x:v>
      </x:c>
      <x:c r="L304" s="24" t="n">
        <x:v>0.010611735330836454</x:v>
      </x:c>
    </x:row>
    <x:row r="305">
      <x:c r="G305" t="str">
        <x:v>AMA-DEN</x:v>
      </x:c>
      <x:c r="H305" t="str">
        <x:v>AMA</x:v>
      </x:c>
      <x:c r="I305" t="str">
        <x:v>DEN</x:v>
      </x:c>
      <x:c r="J305" s="23" t="n">
        <x:v>2076</x:v>
      </x:c>
      <x:c r="K305" s="24" t="n">
        <x:v>0.2745664739884393</x:v>
      </x:c>
      <x:c r="L305" s="24" t="n">
        <x:v>0.014932562620423893</x:v>
      </x:c>
    </x:row>
    <x:row r="306">
      <x:c r="G306" t="str">
        <x:v>DCA-HPN</x:v>
      </x:c>
      <x:c r="H306" t="str">
        <x:v>DCA</x:v>
      </x:c>
      <x:c r="I306" t="str">
        <x:v>HPN</x:v>
      </x:c>
      <x:c r="J306" s="23" t="n">
        <x:v>4058</x:v>
      </x:c>
      <x:c r="K306" s="24" t="n">
        <x:v>0.2745194677180877</x:v>
      </x:c>
      <x:c r="L306" s="24" t="n">
        <x:v>0.041399704287826515</x:v>
      </x:c>
    </x:row>
    <x:row r="307">
      <x:c r="G307" t="str">
        <x:v>MDW-ALB</x:v>
      </x:c>
      <x:c r="H307" t="str">
        <x:v>MDW</x:v>
      </x:c>
      <x:c r="I307" t="str">
        <x:v>ALB</x:v>
      </x:c>
      <x:c r="J307" s="23" t="n">
        <x:v>2026</x:v>
      </x:c>
      <x:c r="K307" s="24" t="n">
        <x:v>0.2744323790720632</x:v>
      </x:c>
      <x:c r="L307" s="24" t="n">
        <x:v>0.004935834155972359</x:v>
      </x:c>
    </x:row>
    <x:row r="308">
      <x:c r="G308" t="str">
        <x:v>MDW-LAX</x:v>
      </x:c>
      <x:c r="H308" t="str">
        <x:v>MDW</x:v>
      </x:c>
      <x:c r="I308" t="str">
        <x:v>LAX</x:v>
      </x:c>
      <x:c r="J308" s="23" t="n">
        <x:v>4174</x:v>
      </x:c>
      <x:c r="K308" s="24" t="n">
        <x:v>0.27431720172496404</x:v>
      </x:c>
      <x:c r="L308" s="24" t="n">
        <x:v>0.007906085289889795</x:v>
      </x:c>
    </x:row>
    <x:row r="309">
      <x:c r="G309" t="str">
        <x:v>DFW-RIC</x:v>
      </x:c>
      <x:c r="H309" t="str">
        <x:v>DFW</x:v>
      </x:c>
      <x:c r="I309" t="str">
        <x:v>RIC</x:v>
      </x:c>
      <x:c r="J309" s="23" t="n">
        <x:v>3029</x:v>
      </x:c>
      <x:c r="K309" s="24" t="n">
        <x:v>0.2736876857048531</x:v>
      </x:c>
      <x:c r="L309" s="24" t="n">
        <x:v>0.01914823374050842</x:v>
      </x:c>
    </x:row>
    <x:row r="310">
      <x:c r="G310" t="str">
        <x:v>FLL-HPN</x:v>
      </x:c>
      <x:c r="H310" t="str">
        <x:v>FLL</x:v>
      </x:c>
      <x:c r="I310" t="str">
        <x:v>HPN</x:v>
      </x:c>
      <x:c r="J310" s="23" t="n">
        <x:v>2810</x:v>
      </x:c>
      <x:c r="K310" s="24" t="n">
        <x:v>0.27366548042704625</x:v>
      </x:c>
      <x:c r="L310" s="24" t="n">
        <x:v>0.01103202846975089</x:v>
      </x:c>
    </x:row>
    <x:row r="311">
      <x:c r="G311" t="str">
        <x:v>CLT-SAT</x:v>
      </x:c>
      <x:c r="H311" t="str">
        <x:v>CLT</x:v>
      </x:c>
      <x:c r="I311" t="str">
        <x:v>SAT</x:v>
      </x:c>
      <x:c r="J311" s="23" t="n">
        <x:v>4196</x:v>
      </x:c>
      <x:c r="K311" s="24" t="n">
        <x:v>0.27359389895138225</x:v>
      </x:c>
      <x:c r="L311" s="24" t="n">
        <x:v>0.006434699714013346</x:v>
      </x:c>
    </x:row>
    <x:row r="312">
      <x:c r="G312" t="str">
        <x:v>BWI-BUF</x:v>
      </x:c>
      <x:c r="H312" t="str">
        <x:v>BWI</x:v>
      </x:c>
      <x:c r="I312" t="str">
        <x:v>BUF</x:v>
      </x:c>
      <x:c r="J312" s="23" t="n">
        <x:v>5153</x:v>
      </x:c>
      <x:c r="K312" s="24" t="n">
        <x:v>0.2732388899670095</x:v>
      </x:c>
      <x:c r="L312" s="24" t="n">
        <x:v>0.011643702697457792</x:v>
      </x:c>
    </x:row>
    <x:row r="313">
      <x:c r="G313" t="str">
        <x:v>MDW-SRQ</x:v>
      </x:c>
      <x:c r="H313" t="str">
        <x:v>MDW</x:v>
      </x:c>
      <x:c r="I313" t="str">
        <x:v>SRQ</x:v>
      </x:c>
      <x:c r="J313" s="23" t="n">
        <x:v>1498</x:v>
      </x:c>
      <x:c r="K313" s="24" t="n">
        <x:v>0.27303070761014686</x:v>
      </x:c>
      <x:c r="L313" s="24" t="n">
        <x:v>0.01335113484646195</x:v>
      </x:c>
    </x:row>
    <x:row r="314">
      <x:c r="G314" t="str">
        <x:v>PHL-MCO</x:v>
      </x:c>
      <x:c r="H314" t="str">
        <x:v>PHL</x:v>
      </x:c>
      <x:c r="I314" t="str">
        <x:v>MCO</x:v>
      </x:c>
      <x:c r="J314" s="23" t="n">
        <x:v>17178</x:v>
      </x:c>
      <x:c r="K314" s="24" t="n">
        <x:v>0.27302363488182557</x:v>
      </x:c>
      <x:c r="L314" s="24" t="n">
        <x:v>0.01775526836651531</x:v>
      </x:c>
    </x:row>
    <x:row r="315">
      <x:c r="G315" t="str">
        <x:v>PBI-ORD</x:v>
      </x:c>
      <x:c r="H315" t="str">
        <x:v>PBI</x:v>
      </x:c>
      <x:c r="I315" t="str">
        <x:v>ORD</x:v>
      </x:c>
      <x:c r="J315" s="23" t="n">
        <x:v>2879</x:v>
      </x:c>
      <x:c r="K315" s="24" t="n">
        <x:v>0.27301146231330325</x:v>
      </x:c>
      <x:c r="L315" s="24" t="n">
        <x:v>0.011462313303230288</x:v>
      </x:c>
    </x:row>
    <x:row r="316">
      <x:c r="G316" t="str">
        <x:v>DCA-PNS</x:v>
      </x:c>
      <x:c r="H316" t="str">
        <x:v>DCA</x:v>
      </x:c>
      <x:c r="I316" t="str">
        <x:v>PNS</x:v>
      </x:c>
      <x:c r="J316" s="23" t="n">
        <x:v>2568</x:v>
      </x:c>
      <x:c r="K316" s="24" t="n">
        <x:v>0.27297507788161995</x:v>
      </x:c>
      <x:c r="L316" s="24" t="n">
        <x:v>0.029205607476635514</x:v>
      </x:c>
    </x:row>
    <x:row r="317">
      <x:c r="G317" t="str">
        <x:v>CLT-DSM</x:v>
      </x:c>
      <x:c r="H317" t="str">
        <x:v>CLT</x:v>
      </x:c>
      <x:c r="I317" t="str">
        <x:v>DSM</x:v>
      </x:c>
      <x:c r="J317" s="23" t="n">
        <x:v>2275</x:v>
      </x:c>
      <x:c r="K317" s="24" t="n">
        <x:v>0.27296703296703295</x:v>
      </x:c>
      <x:c r="L317" s="24" t="n">
        <x:v>0.015824175824175824</x:v>
      </x:c>
    </x:row>
    <x:row r="318">
      <x:c r="G318" t="str">
        <x:v>SEA-SFO</x:v>
      </x:c>
      <x:c r="H318" t="str">
        <x:v>SEA</x:v>
      </x:c>
      <x:c r="I318" t="str">
        <x:v>SFO</x:v>
      </x:c>
      <x:c r="J318" s="23" t="n">
        <x:v>20178</x:v>
      </x:c>
      <x:c r="K318" s="24" t="n">
        <x:v>0.2729210030726534</x:v>
      </x:c>
      <x:c r="L318" s="24" t="n">
        <x:v>0.009961344038061254</x:v>
      </x:c>
    </x:row>
    <x:row r="319">
      <x:c r="G319" t="str">
        <x:v>JFK-FLL</x:v>
      </x:c>
      <x:c r="H319" t="str">
        <x:v>JFK</x:v>
      </x:c>
      <x:c r="I319" t="str">
        <x:v>FLL</x:v>
      </x:c>
      <x:c r="J319" s="23" t="n">
        <x:v>11727</x:v>
      </x:c>
      <x:c r="K319" s="24" t="n">
        <x:v>0.27278928967340327</x:v>
      </x:c>
      <x:c r="L319" s="24" t="n">
        <x:v>0.023961797561183593</x:v>
      </x:c>
    </x:row>
    <x:row r="320">
      <x:c r="G320" t="str">
        <x:v>DSM-DFW</x:v>
      </x:c>
      <x:c r="H320" t="str">
        <x:v>DSM</x:v>
      </x:c>
      <x:c r="I320" t="str">
        <x:v>DFW</x:v>
      </x:c>
      <x:c r="J320" s="23" t="n">
        <x:v>3730</x:v>
      </x:c>
      <x:c r="K320" s="24" t="n">
        <x:v>0.27265415549597855</x:v>
      </x:c>
      <x:c r="L320" s="24" t="n">
        <x:v>0.02520107238605898</x:v>
      </x:c>
    </x:row>
    <x:row r="321">
      <x:c r="G321" t="str">
        <x:v>CLT-TPA</x:v>
      </x:c>
      <x:c r="H321" t="str">
        <x:v>CLT</x:v>
      </x:c>
      <x:c r="I321" t="str">
        <x:v>TPA</x:v>
      </x:c>
      <x:c r="J321" s="23" t="n">
        <x:v>10710</x:v>
      </x:c>
      <x:c r="K321" s="24" t="n">
        <x:v>0.2726423902894491</x:v>
      </x:c>
      <x:c r="L321" s="24" t="n">
        <x:v>0.018207282913165267</x:v>
      </x:c>
    </x:row>
    <x:row r="322">
      <x:c r="G322" t="str">
        <x:v>LAS-TPA</x:v>
      </x:c>
      <x:c r="H322" t="str">
        <x:v>LAS</x:v>
      </x:c>
      <x:c r="I322" t="str">
        <x:v>TPA</x:v>
      </x:c>
      <x:c r="J322" s="23" t="n">
        <x:v>3082</x:v>
      </x:c>
      <x:c r="K322" s="24" t="n">
        <x:v>0.27255029201817</x:v>
      </x:c>
      <x:c r="L322" s="24" t="n">
        <x:v>0.010707332900713823</x:v>
      </x:c>
    </x:row>
    <x:row r="323">
      <x:c r="G323" t="str">
        <x:v>FLL-EWR</x:v>
      </x:c>
      <x:c r="H323" t="str">
        <x:v>FLL</x:v>
      </x:c>
      <x:c r="I323" t="str">
        <x:v>EWR</x:v>
      </x:c>
      <x:c r="J323" s="23" t="n">
        <x:v>15587</x:v>
      </x:c>
      <x:c r="K323" s="24" t="n">
        <x:v>0.2725348046448964</x:v>
      </x:c>
      <x:c r="L323" s="24" t="n">
        <x:v>0.025405786873676783</x:v>
      </x:c>
    </x:row>
    <x:row r="324">
      <x:c r="G324" t="str">
        <x:v>MIA-LGA</x:v>
      </x:c>
      <x:c r="H324" t="str">
        <x:v>MIA</x:v>
      </x:c>
      <x:c r="I324" t="str">
        <x:v>LGA</x:v>
      </x:c>
      <x:c r="J324" s="23" t="n">
        <x:v>17195</x:v>
      </x:c>
      <x:c r="K324" s="24" t="n">
        <x:v>0.27246292526897353</x:v>
      </x:c>
      <x:c r="L324" s="24" t="n">
        <x:v>0.020529223611514977</x:v>
      </x:c>
    </x:row>
    <x:row r="325">
      <x:c r="G325" t="str">
        <x:v>MDW-SMF</x:v>
      </x:c>
      <x:c r="H325" t="str">
        <x:v>MDW</x:v>
      </x:c>
      <x:c r="I325" t="str">
        <x:v>SMF</x:v>
      </x:c>
      <x:c r="J325" s="23" t="n">
        <x:v>1762</x:v>
      </x:c>
      <x:c r="K325" s="24" t="n">
        <x:v>0.2724177071509648</x:v>
      </x:c>
      <x:c r="L325" s="24" t="n">
        <x:v>0.00510783200908059</x:v>
      </x:c>
    </x:row>
    <x:row r="326">
      <x:c r="G326" t="str">
        <x:v>PHX-SFO</x:v>
      </x:c>
      <x:c r="H326" t="str">
        <x:v>PHX</x:v>
      </x:c>
      <x:c r="I326" t="str">
        <x:v>SFO</x:v>
      </x:c>
      <x:c r="J326" s="23" t="n">
        <x:v>13858</x:v>
      </x:c>
      <x:c r="K326" s="24" t="n">
        <x:v>0.27240583056718143</x:v>
      </x:c>
      <x:c r="L326" s="24" t="n">
        <x:v>0.006277962187905902</x:v>
      </x:c>
    </x:row>
    <x:row r="327">
      <x:c r="G327" t="str">
        <x:v>DFW-LAX</x:v>
      </x:c>
      <x:c r="H327" t="str">
        <x:v>DFW</x:v>
      </x:c>
      <x:c r="I327" t="str">
        <x:v>LAX</x:v>
      </x:c>
      <x:c r="J327" s="23" t="n">
        <x:v>20280</x:v>
      </x:c>
      <x:c r="K327" s="24" t="n">
        <x:v>0.2723372781065089</x:v>
      </x:c>
      <x:c r="L327" s="24" t="n">
        <x:v>0.013560157790927022</x:v>
      </x:c>
    </x:row>
    <x:row r="328">
      <x:c r="G328" t="str">
        <x:v>MCO-RIC</x:v>
      </x:c>
      <x:c r="H328" t="str">
        <x:v>MCO</x:v>
      </x:c>
      <x:c r="I328" t="str">
        <x:v>RIC</x:v>
      </x:c>
      <x:c r="J328" s="23" t="n">
        <x:v>2912</x:v>
      </x:c>
      <x:c r="K328" s="24" t="n">
        <x:v>0.27232142857142855</x:v>
      </x:c>
      <x:c r="L328" s="24" t="n">
        <x:v>0.011675824175824176</x:v>
      </x:c>
    </x:row>
    <x:row r="329">
      <x:c r="G329" t="str">
        <x:v>BUR-SFO</x:v>
      </x:c>
      <x:c r="H329" t="str">
        <x:v>BUR</x:v>
      </x:c>
      <x:c r="I329" t="str">
        <x:v>SFO</x:v>
      </x:c>
      <x:c r="J329" s="23" t="n">
        <x:v>9207</x:v>
      </x:c>
      <x:c r="K329" s="24" t="n">
        <x:v>0.27229282067991745</x:v>
      </x:c>
      <x:c r="L329" s="24" t="n">
        <x:v>0.015640273704789834</x:v>
      </x:c>
    </x:row>
    <x:row r="330">
      <x:c r="G330" t="str">
        <x:v>CLT-DEN</x:v>
      </x:c>
      <x:c r="H330" t="str">
        <x:v>CLT</x:v>
      </x:c>
      <x:c r="I330" t="str">
        <x:v>DEN</x:v>
      </x:c>
      <x:c r="J330" s="23" t="n">
        <x:v>8792</x:v>
      </x:c>
      <x:c r="K330" s="24" t="n">
        <x:v>0.27217925386715197</x:v>
      </x:c>
      <x:c r="L330" s="24" t="n">
        <x:v>0.008985441310282075</x:v>
      </x:c>
    </x:row>
    <x:row r="331">
      <x:c r="G331" t="str">
        <x:v>LAX-ASE</x:v>
      </x:c>
      <x:c r="H331" t="str">
        <x:v>LAX</x:v>
      </x:c>
      <x:c r="I331" t="str">
        <x:v>ASE</x:v>
      </x:c>
      <x:c r="J331" s="23" t="n">
        <x:v>3241</x:v>
      </x:c>
      <x:c r="K331" s="24" t="n">
        <x:v>0.27213822894168466</x:v>
      </x:c>
      <x:c r="L331" s="24" t="n">
        <x:v>0.02406664609688368</x:v>
      </x:c>
    </x:row>
    <x:row r="332">
      <x:c r="G332" t="str">
        <x:v>MIA-LAX</x:v>
      </x:c>
      <x:c r="H332" t="str">
        <x:v>MIA</x:v>
      </x:c>
      <x:c r="I332" t="str">
        <x:v>LAX</x:v>
      </x:c>
      <x:c r="J332" s="23" t="n">
        <x:v>10374</x:v>
      </x:c>
      <x:c r="K332" s="24" t="n">
        <x:v>0.27212261422787737</x:v>
      </x:c>
      <x:c r="L332" s="24" t="n">
        <x:v>0.004337767495662233</x:v>
      </x:c>
    </x:row>
    <x:row r="333">
      <x:c r="G333" t="str">
        <x:v>ORD-FWA</x:v>
      </x:c>
      <x:c r="H333" t="str">
        <x:v>ORD</x:v>
      </x:c>
      <x:c r="I333" t="str">
        <x:v>FWA</x:v>
      </x:c>
      <x:c r="J333" s="23" t="n">
        <x:v>4697</x:v>
      </x:c>
      <x:c r="K333" s="24" t="n">
        <x:v>0.27208856717053437</x:v>
      </x:c>
      <x:c r="L333" s="24" t="n">
        <x:v>0.02022567596338088</x:v>
      </x:c>
    </x:row>
    <x:row r="334">
      <x:c r="G334" t="str">
        <x:v>DEN-PIT</x:v>
      </x:c>
      <x:c r="H334" t="str">
        <x:v>DEN</x:v>
      </x:c>
      <x:c r="I334" t="str">
        <x:v>PIT</x:v>
      </x:c>
      <x:c r="J334" s="23" t="n">
        <x:v>5139</x:v>
      </x:c>
      <x:c r="K334" s="24" t="n">
        <x:v>0.27164818057987933</x:v>
      </x:c>
      <x:c r="L334" s="24" t="n">
        <x:v>0.005448530842576377</x:v>
      </x:c>
    </x:row>
    <x:row r="335">
      <x:c r="G335" t="str">
        <x:v>SAT-SEA</x:v>
      </x:c>
      <x:c r="H335" t="str">
        <x:v>SAT</x:v>
      </x:c>
      <x:c r="I335" t="str">
        <x:v>SEA</x:v>
      </x:c>
      <x:c r="J335" s="23" t="n">
        <x:v>1745</x:v>
      </x:c>
      <x:c r="K335" s="24" t="n">
        <x:v>0.27163323782234955</x:v>
      </x:c>
      <x:c r="L335" s="24" t="n">
        <x:v>0.006303724928366762</x:v>
      </x:c>
    </x:row>
    <x:row r="336">
      <x:c r="G336" t="str">
        <x:v>DEN-DAL</x:v>
      </x:c>
      <x:c r="H336" t="str">
        <x:v>DEN</x:v>
      </x:c>
      <x:c r="I336" t="str">
        <x:v>DAL</x:v>
      </x:c>
      <x:c r="J336" s="23" t="n">
        <x:v>9782</x:v>
      </x:c>
      <x:c r="K336" s="24" t="n">
        <x:v>0.27162134532815374</x:v>
      </x:c>
      <x:c r="L336" s="24" t="n">
        <x:v>0.01737885912901247</x:v>
      </x:c>
    </x:row>
    <x:row r="337">
      <x:c r="G337" t="str">
        <x:v>MCO-DAL</x:v>
      </x:c>
      <x:c r="H337" t="str">
        <x:v>MCO</x:v>
      </x:c>
      <x:c r="I337" t="str">
        <x:v>DAL</x:v>
      </x:c>
      <x:c r="J337" s="23" t="n">
        <x:v>7891</x:v>
      </x:c>
      <x:c r="K337" s="24" t="n">
        <x:v>0.2714484856165252</x:v>
      </x:c>
      <x:c r="L337" s="24" t="n">
        <x:v>0.015714104676213408</x:v>
      </x:c>
    </x:row>
    <x:row r="338">
      <x:c r="G338" t="str">
        <x:v>MIA-AUS</x:v>
      </x:c>
      <x:c r="H338" t="str">
        <x:v>MIA</x:v>
      </x:c>
      <x:c r="I338" t="str">
        <x:v>AUS</x:v>
      </x:c>
      <x:c r="J338" s="23" t="n">
        <x:v>5644</x:v>
      </x:c>
      <x:c r="K338" s="24" t="n">
        <x:v>0.27143869596031184</x:v>
      </x:c>
      <x:c r="L338" s="24" t="n">
        <x:v>0.01080793763288448</x:v>
      </x:c>
    </x:row>
    <x:row r="339">
      <x:c r="G339" t="str">
        <x:v>SNA-JFK</x:v>
      </x:c>
      <x:c r="H339" t="str">
        <x:v>SNA</x:v>
      </x:c>
      <x:c r="I339" t="str">
        <x:v>JFK</x:v>
      </x:c>
      <x:c r="J339" s="23" t="n">
        <x:v>1098</x:v>
      </x:c>
      <x:c r="K339" s="24" t="n">
        <x:v>0.27140255009107467</x:v>
      </x:c>
      <x:c r="L339" s="24" t="n">
        <x:v>0.00819672131147541</x:v>
      </x:c>
    </x:row>
    <x:row r="340">
      <x:c r="G340" t="str">
        <x:v>ATL-FLL</x:v>
      </x:c>
      <x:c r="H340" t="str">
        <x:v>ATL</x:v>
      </x:c>
      <x:c r="I340" t="str">
        <x:v>FLL</x:v>
      </x:c>
      <x:c r="J340" s="23" t="n">
        <x:v>22293</x:v>
      </x:c>
      <x:c r="K340" s="24" t="n">
        <x:v>0.2713856367469609</x:v>
      </x:c>
      <x:c r="L340" s="24" t="n">
        <x:v>0.012918853451756156</x:v>
      </x:c>
    </x:row>
    <x:row r="341">
      <x:c r="G341" t="str">
        <x:v>EWR-MSN</x:v>
      </x:c>
      <x:c r="H341" t="str">
        <x:v>EWR</x:v>
      </x:c>
      <x:c r="I341" t="str">
        <x:v>MSN</x:v>
      </x:c>
      <x:c r="J341" s="23" t="n">
        <x:v>1113</x:v>
      </x:c>
      <x:c r="K341" s="24" t="n">
        <x:v>0.27133872416891286</x:v>
      </x:c>
      <x:c r="L341" s="24" t="n">
        <x:v>0.05660377358490566</x:v>
      </x:c>
    </x:row>
    <x:row r="342">
      <x:c r="G342" t="str">
        <x:v>CLT-PHL</x:v>
      </x:c>
      <x:c r="H342" t="str">
        <x:v>CLT</x:v>
      </x:c>
      <x:c r="I342" t="str">
        <x:v>PHL</x:v>
      </x:c>
      <x:c r="J342" s="23" t="n">
        <x:v>11096</x:v>
      </x:c>
      <x:c r="K342" s="24" t="n">
        <x:v>0.2712689257390051</x:v>
      </x:c>
      <x:c r="L342" s="24" t="n">
        <x:v>0.016943042537851477</x:v>
      </x:c>
    </x:row>
    <x:row r="343">
      <x:c r="G343" t="str">
        <x:v>MKE-DFW</x:v>
      </x:c>
      <x:c r="H343" t="str">
        <x:v>MKE</x:v>
      </x:c>
      <x:c r="I343" t="str">
        <x:v>DFW</x:v>
      </x:c>
      <x:c r="J343" s="23" t="n">
        <x:v>3394</x:v>
      </x:c>
      <x:c r="K343" s="24" t="n">
        <x:v>0.27077195050088393</x:v>
      </x:c>
      <x:c r="L343" s="24" t="n">
        <x:v>0.02357100766057749</x:v>
      </x:c>
    </x:row>
    <x:row r="344">
      <x:c r="G344" t="str">
        <x:v>IAD-EWR</x:v>
      </x:c>
      <x:c r="H344" t="str">
        <x:v>IAD</x:v>
      </x:c>
      <x:c r="I344" t="str">
        <x:v>EWR</x:v>
      </x:c>
      <x:c r="J344" s="23" t="n">
        <x:v>4765</x:v>
      </x:c>
      <x:c r="K344" s="24" t="n">
        <x:v>0.2707240293809024</x:v>
      </x:c>
      <x:c r="L344" s="24" t="n">
        <x:v>0.025813221406086044</x:v>
      </x:c>
    </x:row>
    <x:row r="345">
      <x:c r="G345" t="str">
        <x:v>CLT-FLL</x:v>
      </x:c>
      <x:c r="H345" t="str">
        <x:v>CLT</x:v>
      </x:c>
      <x:c r="I345" t="str">
        <x:v>FLL</x:v>
      </x:c>
      <x:c r="J345" s="23" t="n">
        <x:v>9860</x:v>
      </x:c>
      <x:c r="K345" s="24" t="n">
        <x:v>0.2706896551724138</x:v>
      </x:c>
      <x:c r="L345" s="24" t="n">
        <x:v>0.014807302231237322</x:v>
      </x:c>
    </x:row>
    <x:row r="346">
      <x:c r="G346" t="str">
        <x:v>ANC-DFW</x:v>
      </x:c>
      <x:c r="H346" t="str">
        <x:v>ANC</x:v>
      </x:c>
      <x:c r="I346" t="str">
        <x:v>DFW</x:v>
      </x:c>
      <x:c r="J346" s="23" t="n">
        <x:v>1101</x:v>
      </x:c>
      <x:c r="K346" s="24" t="n">
        <x:v>0.2706630336058129</x:v>
      </x:c>
      <x:c r="L346" s="24" t="n">
        <x:v>0.0027247956403269754</x:v>
      </x:c>
    </x:row>
    <x:row r="347">
      <x:c r="G347" t="str">
        <x:v>BQN-MCO</x:v>
      </x:c>
      <x:c r="H347" t="str">
        <x:v>BQN</x:v>
      </x:c>
      <x:c r="I347" t="str">
        <x:v>MCO</x:v>
      </x:c>
      <x:c r="J347" s="23" t="n">
        <x:v>3126</x:v>
      </x:c>
      <x:c r="K347" s="24" t="n">
        <x:v>0.2706333973128599</x:v>
      </x:c>
      <x:c r="L347" s="24" t="n">
        <x:v>0.013435700575815739</x:v>
      </x:c>
    </x:row>
    <x:row r="348">
      <x:c r="G348" t="str">
        <x:v>SAN-SAT</x:v>
      </x:c>
      <x:c r="H348" t="str">
        <x:v>SAN</x:v>
      </x:c>
      <x:c r="I348" t="str">
        <x:v>SAT</x:v>
      </x:c>
      <x:c r="J348" s="23" t="n">
        <x:v>1808</x:v>
      </x:c>
      <x:c r="K348" s="24" t="n">
        <x:v>0.2704646017699115</x:v>
      </x:c>
      <x:c r="L348" s="24" t="n">
        <x:v>0.004424778761061947</x:v>
      </x:c>
    </x:row>
    <x:row r="349">
      <x:c r="G349" t="str">
        <x:v>SEA-HNL</x:v>
      </x:c>
      <x:c r="H349" t="str">
        <x:v>SEA</x:v>
      </x:c>
      <x:c r="I349" t="str">
        <x:v>HNL</x:v>
      </x:c>
      <x:c r="J349" s="23" t="n">
        <x:v>8632</x:v>
      </x:c>
      <x:c r="K349" s="24" t="n">
        <x:v>0.27027340129749766</x:v>
      </x:c>
      <x:c r="L349" s="24" t="n">
        <x:v>0.008804448563484708</x:v>
      </x:c>
    </x:row>
    <x:row r="350">
      <x:c r="G350" t="str">
        <x:v>PBI-PHL</x:v>
      </x:c>
      <x:c r="H350" t="str">
        <x:v>PBI</x:v>
      </x:c>
      <x:c r="I350" t="str">
        <x:v>PHL</x:v>
      </x:c>
      <x:c r="J350" s="23" t="n">
        <x:v>4648</x:v>
      </x:c>
      <x:c r="K350" s="24" t="n">
        <x:v>0.270223752151463</x:v>
      </x:c>
      <x:c r="L350" s="24" t="n">
        <x:v>0.016996557659208263</x:v>
      </x:c>
    </x:row>
    <x:row r="351">
      <x:c r="G351" t="str">
        <x:v>DEN-FLL</x:v>
      </x:c>
      <x:c r="H351" t="str">
        <x:v>DEN</x:v>
      </x:c>
      <x:c r="I351" t="str">
        <x:v>FLL</x:v>
      </x:c>
      <x:c r="J351" s="23" t="n">
        <x:v>4937</x:v>
      </x:c>
      <x:c r="K351" s="24" t="n">
        <x:v>0.2702045776787523</x:v>
      </x:c>
      <x:c r="L351" s="24" t="n">
        <x:v>0.009519951387482276</x:v>
      </x:c>
    </x:row>
    <x:row r="352">
      <x:c r="G352" t="str">
        <x:v>MDW-OAK</x:v>
      </x:c>
      <x:c r="H352" t="str">
        <x:v>MDW</x:v>
      </x:c>
      <x:c r="I352" t="str">
        <x:v>OAK</x:v>
      </x:c>
      <x:c r="J352" s="23" t="n">
        <x:v>1792</x:v>
      </x:c>
      <x:c r="K352" s="24" t="n">
        <x:v>0.2700892857142857</x:v>
      </x:c>
      <x:c r="L352" s="24" t="n">
        <x:v>0.006138392857142857</x:v>
      </x:c>
    </x:row>
    <x:row r="353">
      <x:c r="G353" t="str">
        <x:v>DFW-STL</x:v>
      </x:c>
      <x:c r="H353" t="str">
        <x:v>DFW</x:v>
      </x:c>
      <x:c r="I353" t="str">
        <x:v>STL</x:v>
      </x:c>
      <x:c r="J353" s="23" t="n">
        <x:v>6702</x:v>
      </x:c>
      <x:c r="K353" s="24" t="n">
        <x:v>0.27006863622799165</x:v>
      </x:c>
      <x:c r="L353" s="24" t="n">
        <x:v>0.02178454192778275</x:v>
      </x:c>
    </x:row>
    <x:row r="354">
      <x:c r="G354" t="str">
        <x:v>MIA-DAL</x:v>
      </x:c>
      <x:c r="H354" t="str">
        <x:v>MIA</x:v>
      </x:c>
      <x:c r="I354" t="str">
        <x:v>DAL</x:v>
      </x:c>
      <x:c r="J354" s="23" t="n">
        <x:v>1389</x:v>
      </x:c>
      <x:c r="K354" s="24" t="n">
        <x:v>0.26997840172786175</x:v>
      </x:c>
      <x:c r="L354" s="24" t="n">
        <x:v>0.014398848092152628</x:v>
      </x:c>
    </x:row>
    <x:row r="355">
      <x:c r="G355" t="str">
        <x:v>MEM-DFW</x:v>
      </x:c>
      <x:c r="H355" t="str">
        <x:v>MEM</x:v>
      </x:c>
      <x:c r="I355" t="str">
        <x:v>DFW</x:v>
      </x:c>
      <x:c r="J355" s="23" t="n">
        <x:v>7357</x:v>
      </x:c>
      <x:c r="K355" s="24" t="n">
        <x:v>0.26981106429251056</x:v>
      </x:c>
      <x:c r="L355" s="24" t="n">
        <x:v>0.02460241946445562</x:v>
      </x:c>
    </x:row>
    <x:row r="356">
      <x:c r="G356" t="str">
        <x:v>ORD-SBN</x:v>
      </x:c>
      <x:c r="H356" t="str">
        <x:v>ORD</x:v>
      </x:c>
      <x:c r="I356" t="str">
        <x:v>SBN</x:v>
      </x:c>
      <x:c r="J356" s="23" t="n">
        <x:v>6101</x:v>
      </x:c>
      <x:c r="K356" s="24" t="n">
        <x:v>0.2697918374037043</x:v>
      </x:c>
      <x:c r="L356" s="24" t="n">
        <x:v>0.023274872971643993</x:v>
      </x:c>
    </x:row>
    <x:row r="357">
      <x:c r="G357" t="str">
        <x:v>MDW-BOS</x:v>
      </x:c>
      <x:c r="H357" t="str">
        <x:v>MDW</x:v>
      </x:c>
      <x:c r="I357" t="str">
        <x:v>BOS</x:v>
      </x:c>
      <x:c r="J357" s="23" t="n">
        <x:v>4101</x:v>
      </x:c>
      <x:c r="K357" s="24" t="n">
        <x:v>0.26969031943428434</x:v>
      </x:c>
      <x:c r="L357" s="24" t="n">
        <x:v>0.011216776396000975</x:v>
      </x:c>
    </x:row>
    <x:row r="358">
      <x:c r="G358" t="str">
        <x:v>PBI-JFK</x:v>
      </x:c>
      <x:c r="H358" t="str">
        <x:v>PBI</x:v>
      </x:c>
      <x:c r="I358" t="str">
        <x:v>JFK</x:v>
      </x:c>
      <x:c r="J358" s="23" t="n">
        <x:v>6549</x:v>
      </x:c>
      <x:c r="K358" s="24" t="n">
        <x:v>0.26965948999847306</x:v>
      </x:c>
      <x:c r="L358" s="24" t="n">
        <x:v>0.0233623453962437</x:v>
      </x:c>
    </x:row>
    <x:row r="359">
      <x:c r="G359" t="str">
        <x:v>MCO-TTN</x:v>
      </x:c>
      <x:c r="H359" t="str">
        <x:v>MCO</x:v>
      </x:c>
      <x:c r="I359" t="str">
        <x:v>TTN</x:v>
      </x:c>
      <x:c r="J359" s="23" t="n">
        <x:v>1948</x:v>
      </x:c>
      <x:c r="K359" s="24" t="n">
        <x:v>0.2695071868583162</x:v>
      </x:c>
      <x:c r="L359" s="24" t="n">
        <x:v>0.02104722792607803</x:v>
      </x:c>
    </x:row>
    <x:row r="360">
      <x:c r="G360" t="str">
        <x:v>SBA-SFO</x:v>
      </x:c>
      <x:c r="H360" t="str">
        <x:v>SBA</x:v>
      </x:c>
      <x:c r="I360" t="str">
        <x:v>SFO</x:v>
      </x:c>
      <x:c r="J360" s="23" t="n">
        <x:v>3994</x:v>
      </x:c>
      <x:c r="K360" s="24" t="n">
        <x:v>0.2694041061592389</x:v>
      </x:c>
      <x:c r="L360" s="24" t="n">
        <x:v>0.019779669504256383</x:v>
      </x:c>
    </x:row>
    <x:row r="361">
      <x:c r="G361" t="str">
        <x:v>DEN-LAS</x:v>
      </x:c>
      <x:c r="H361" t="str">
        <x:v>DEN</x:v>
      </x:c>
      <x:c r="I361" t="str">
        <x:v>LAS</x:v>
      </x:c>
      <x:c r="J361" s="23" t="n">
        <x:v>24767</x:v>
      </x:c>
      <x:c r="K361" s="24" t="n">
        <x:v>0.26918883998869464</x:v>
      </x:c>
      <x:c r="L361" s="24" t="n">
        <x:v>0.011951386926151735</x:v>
      </x:c>
    </x:row>
    <x:row r="362">
      <x:c r="G362" t="str">
        <x:v>HOU-CMH</x:v>
      </x:c>
      <x:c r="H362" t="str">
        <x:v>HOU</x:v>
      </x:c>
      <x:c r="I362" t="str">
        <x:v>CMH</x:v>
      </x:c>
      <x:c r="J362" s="23" t="n">
        <x:v>1074</x:v>
      </x:c>
      <x:c r="K362" s="24" t="n">
        <x:v>0.26908752327746743</x:v>
      </x:c>
      <x:c r="L362" s="24" t="n">
        <x:v>0.0037243947858473</x:v>
      </x:c>
    </x:row>
    <x:row r="363">
      <x:c r="G363" t="str">
        <x:v>BOS-TPA</x:v>
      </x:c>
      <x:c r="H363" t="str">
        <x:v>BOS</x:v>
      </x:c>
      <x:c r="I363" t="str">
        <x:v>TPA</x:v>
      </x:c>
      <x:c r="J363" s="23" t="n">
        <x:v>8409</x:v>
      </x:c>
      <x:c r="K363" s="24" t="n">
        <x:v>0.2689975026757046</x:v>
      </x:c>
      <x:c r="L363" s="24" t="n">
        <x:v>0.0197407539540968</x:v>
      </x:c>
    </x:row>
    <x:row r="364">
      <x:c r="G364" t="str">
        <x:v>BOS-AUS</x:v>
      </x:c>
      <x:c r="H364" t="str">
        <x:v>BOS</x:v>
      </x:c>
      <x:c r="I364" t="str">
        <x:v>AUS</x:v>
      </x:c>
      <x:c r="J364" s="23" t="n">
        <x:v>4796</x:v>
      </x:c>
      <x:c r="K364" s="24" t="n">
        <x:v>0.2689741451209341</x:v>
      </x:c>
      <x:c r="L364" s="24" t="n">
        <x:v>0.009799833194328608</x:v>
      </x:c>
    </x:row>
    <x:row r="365">
      <x:c r="G365" t="str">
        <x:v>CLT-OKC</x:v>
      </x:c>
      <x:c r="H365" t="str">
        <x:v>CLT</x:v>
      </x:c>
      <x:c r="I365" t="str">
        <x:v>OKC</x:v>
      </x:c>
      <x:c r="J365" s="23" t="n">
        <x:v>2335</x:v>
      </x:c>
      <x:c r="K365" s="24" t="n">
        <x:v>0.26895074946466807</x:v>
      </x:c>
      <x:c r="L365" s="24" t="n">
        <x:v>0.013276231263383297</x:v>
      </x:c>
    </x:row>
    <x:row r="366">
      <x:c r="G366" t="str">
        <x:v>COD-DEN</x:v>
      </x:c>
      <x:c r="H366" t="str">
        <x:v>COD</x:v>
      </x:c>
      <x:c r="I366" t="str">
        <x:v>DEN</x:v>
      </x:c>
      <x:c r="J366" s="23" t="n">
        <x:v>1596</x:v>
      </x:c>
      <x:c r="K366" s="24" t="n">
        <x:v>0.26879699248120303</x:v>
      </x:c>
      <x:c r="L366" s="24" t="n">
        <x:v>0.017543859649122806</x:v>
      </x:c>
    </x:row>
    <x:row r="367">
      <x:c r="G367" t="str">
        <x:v>MIA-IAH</x:v>
      </x:c>
      <x:c r="H367" t="str">
        <x:v>MIA</x:v>
      </x:c>
      <x:c r="I367" t="str">
        <x:v>IAH</x:v>
      </x:c>
      <x:c r="J367" s="23" t="n">
        <x:v>10032</x:v>
      </x:c>
      <x:c r="K367" s="24" t="n">
        <x:v>0.2687400318979266</x:v>
      </x:c>
      <x:c r="L367" s="24" t="n">
        <x:v>0.017543859649122806</x:v>
      </x:c>
    </x:row>
    <x:row r="368">
      <x:c r="G368" t="str">
        <x:v>ASE-DEN</x:v>
      </x:c>
      <x:c r="H368" t="str">
        <x:v>ASE</x:v>
      </x:c>
      <x:c r="I368" t="str">
        <x:v>DEN</x:v>
      </x:c>
      <x:c r="J368" s="23" t="n">
        <x:v>8009</x:v>
      </x:c>
      <x:c r="K368" s="24" t="n">
        <x:v>0.26869771507054563</x:v>
      </x:c>
      <x:c r="L368" s="24" t="n">
        <x:v>0.060556873517293046</x:v>
      </x:c>
    </x:row>
    <x:row r="369">
      <x:c r="G369" t="str">
        <x:v>DEN-CMH</x:v>
      </x:c>
      <x:c r="H369" t="str">
        <x:v>DEN</x:v>
      </x:c>
      <x:c r="I369" t="str">
        <x:v>CMH</x:v>
      </x:c>
      <x:c r="J369" s="23" t="n">
        <x:v>5297</x:v>
      </x:c>
      <x:c r="K369" s="24" t="n">
        <x:v>0.26864262790258636</x:v>
      </x:c>
      <x:c r="L369" s="24" t="n">
        <x:v>0.006041155370964697</x:v>
      </x:c>
    </x:row>
    <x:row r="370">
      <x:c r="G370" t="str">
        <x:v>DFW-CMH</x:v>
      </x:c>
      <x:c r="H370" t="str">
        <x:v>DFW</x:v>
      </x:c>
      <x:c r="I370" t="str">
        <x:v>CMH</x:v>
      </x:c>
      <x:c r="J370" s="23" t="n">
        <x:v>5230</x:v>
      </x:c>
      <x:c r="K370" s="24" t="n">
        <x:v>0.26864244741873805</x:v>
      </x:c>
      <x:c r="L370" s="24" t="n">
        <x:v>0.018738049713193115</x:v>
      </x:c>
    </x:row>
    <x:row r="371">
      <x:c r="G371" t="str">
        <x:v>DAL-CLT</x:v>
      </x:c>
      <x:c r="H371" t="str">
        <x:v>DAL</x:v>
      </x:c>
      <x:c r="I371" t="str">
        <x:v>CLT</x:v>
      </x:c>
      <x:c r="J371" s="23" t="n">
        <x:v>1128</x:v>
      </x:c>
      <x:c r="K371" s="24" t="n">
        <x:v>0.26861702127659576</x:v>
      </x:c>
      <x:c r="L371" s="24" t="n">
        <x:v>0.004432624113475178</x:v>
      </x:c>
    </x:row>
    <x:row r="372">
      <x:c r="G372" t="str">
        <x:v>FLL-MCO</x:v>
      </x:c>
      <x:c r="H372" t="str">
        <x:v>FLL</x:v>
      </x:c>
      <x:c r="I372" t="str">
        <x:v>MCO</x:v>
      </x:c>
      <x:c r="J372" s="23" t="n">
        <x:v>3954</x:v>
      </x:c>
      <x:c r="K372" s="24" t="n">
        <x:v>0.26858877086494687</x:v>
      </x:c>
      <x:c r="L372" s="24" t="n">
        <x:v>0.011380880121396054</x:v>
      </x:c>
    </x:row>
    <x:row r="373">
      <x:c r="G373" t="str">
        <x:v>SDF-FLL</x:v>
      </x:c>
      <x:c r="H373" t="str">
        <x:v>SDF</x:v>
      </x:c>
      <x:c r="I373" t="str">
        <x:v>FLL</x:v>
      </x:c>
      <x:c r="J373" s="23" t="n">
        <x:v>1229</x:v>
      </x:c>
      <x:c r="K373" s="24" t="n">
        <x:v>0.26851098454027666</x:v>
      </x:c>
      <x:c r="L373" s="24" t="n">
        <x:v>0.01627339300244101</x:v>
      </x:c>
    </x:row>
    <x:row r="374">
      <x:c r="G374" t="str">
        <x:v>LAS-MCO</x:v>
      </x:c>
      <x:c r="H374" t="str">
        <x:v>LAS</x:v>
      </x:c>
      <x:c r="I374" t="str">
        <x:v>MCO</x:v>
      </x:c>
      <x:c r="J374" s="23" t="n">
        <x:v>4277</x:v>
      </x:c>
      <x:c r="K374" s="24" t="n">
        <x:v>0.2684124386252046</x:v>
      </x:c>
      <x:c r="L374" s="24" t="n">
        <x:v>0.009819967266775777</x:v>
      </x:c>
    </x:row>
    <x:row r="375">
      <x:c r="G375" t="str">
        <x:v>CLT-CLE</x:v>
      </x:c>
      <x:c r="H375" t="str">
        <x:v>CLT</x:v>
      </x:c>
      <x:c r="I375" t="str">
        <x:v>CLE</x:v>
      </x:c>
      <x:c r="J375" s="23" t="n">
        <x:v>5642</x:v>
      </x:c>
      <x:c r="K375" s="24" t="n">
        <x:v>0.26816731655441334</x:v>
      </x:c>
      <x:c r="L375" s="24" t="n">
        <x:v>0.01240694789081886</x:v>
      </x:c>
    </x:row>
    <x:row r="376">
      <x:c r="G376" t="str">
        <x:v>MIA-DTW</x:v>
      </x:c>
      <x:c r="H376" t="str">
        <x:v>MIA</x:v>
      </x:c>
      <x:c r="I376" t="str">
        <x:v>DTW</x:v>
      </x:c>
      <x:c r="J376" s="23" t="n">
        <x:v>4971</x:v>
      </x:c>
      <x:c r="K376" s="24" t="n">
        <x:v>0.26815530074431704</x:v>
      </x:c>
      <x:c r="L376" s="24" t="n">
        <x:v>0.012472339569503117</x:v>
      </x:c>
    </x:row>
    <x:row r="377">
      <x:c r="G377" t="str">
        <x:v>DFW-SJC</x:v>
      </x:c>
      <x:c r="H377" t="str">
        <x:v>DFW</x:v>
      </x:c>
      <x:c r="I377" t="str">
        <x:v>SJC</x:v>
      </x:c>
      <x:c r="J377" s="23" t="n">
        <x:v>3898</x:v>
      </x:c>
      <x:c r="K377" s="24" t="n">
        <x:v>0.2680861980502822</x:v>
      </x:c>
      <x:c r="L377" s="24" t="n">
        <x:v>0.014366341713699333</x:v>
      </x:c>
    </x:row>
    <x:row r="378">
      <x:c r="G378" t="str">
        <x:v>FWA-ORD</x:v>
      </x:c>
      <x:c r="H378" t="str">
        <x:v>FWA</x:v>
      </x:c>
      <x:c r="I378" t="str">
        <x:v>ORD</x:v>
      </x:c>
      <x:c r="J378" s="23" t="n">
        <x:v>4700</x:v>
      </x:c>
      <x:c r="K378" s="24" t="n">
        <x:v>0.2680851063829787</x:v>
      </x:c>
      <x:c r="L378" s="24" t="n">
        <x:v>0.023404255319148935</x:v>
      </x:c>
    </x:row>
    <x:row r="379">
      <x:c r="G379" t="str">
        <x:v>AUS-BOS</x:v>
      </x:c>
      <x:c r="H379" t="str">
        <x:v>AUS</x:v>
      </x:c>
      <x:c r="I379" t="str">
        <x:v>BOS</x:v>
      </x:c>
      <x:c r="J379" s="23" t="n">
        <x:v>4794</x:v>
      </x:c>
      <x:c r="K379" s="24" t="n">
        <x:v>0.26804338756779306</x:v>
      </x:c>
      <x:c r="L379" s="24" t="n">
        <x:v>0.012724238631622862</x:v>
      </x:c>
    </x:row>
    <x:row r="380">
      <x:c r="G380" t="str">
        <x:v>MDW-ROC</x:v>
      </x:c>
      <x:c r="H380" t="str">
        <x:v>MDW</x:v>
      </x:c>
      <x:c r="I380" t="str">
        <x:v>ROC</x:v>
      </x:c>
      <x:c r="J380" s="23" t="n">
        <x:v>1164</x:v>
      </x:c>
      <x:c r="K380" s="24" t="n">
        <x:v>0.26804123711340205</x:v>
      </x:c>
      <x:c r="L380" s="24" t="n">
        <x:v>0.009450171821305841</x:v>
      </x:c>
    </x:row>
    <x:row r="381">
      <x:c r="G381" t="str">
        <x:v>ATL-ASE</x:v>
      </x:c>
      <x:c r="H381" t="str">
        <x:v>ATL</x:v>
      </x:c>
      <x:c r="I381" t="str">
        <x:v>ASE</x:v>
      </x:c>
      <x:c r="J381" s="23" t="n">
        <x:v>1127</x:v>
      </x:c>
      <x:c r="K381" s="24" t="n">
        <x:v>0.26796805678793256</x:v>
      </x:c>
      <x:c r="L381" s="24" t="n">
        <x:v>0.015084294587400177</x:v>
      </x:c>
    </x:row>
    <x:row r="382">
      <x:c r="G382" t="str">
        <x:v>CLT-IND</x:v>
      </x:c>
      <x:c r="H382" t="str">
        <x:v>CLT</x:v>
      </x:c>
      <x:c r="I382" t="str">
        <x:v>IND</x:v>
      </x:c>
      <x:c r="J382" s="23" t="n">
        <x:v>5573</x:v>
      </x:c>
      <x:c r="K382" s="24" t="n">
        <x:v>0.26771936120581374</x:v>
      </x:c>
      <x:c r="L382" s="24" t="n">
        <x:v>0.011304503857886236</x:v>
      </x:c>
    </x:row>
    <x:row r="383">
      <x:c r="G383" t="str">
        <x:v>FLL-SEA</x:v>
      </x:c>
      <x:c r="H383" t="str">
        <x:v>FLL</x:v>
      </x:c>
      <x:c r="I383" t="str">
        <x:v>SEA</x:v>
      </x:c>
      <x:c r="J383" s="23" t="n">
        <x:v>2729</x:v>
      </x:c>
      <x:c r="K383" s="24" t="n">
        <x:v>0.2674972517405643</x:v>
      </x:c>
      <x:c r="L383" s="24" t="n">
        <x:v>0.021986075485525832</x:v>
      </x:c>
    </x:row>
    <x:row r="384">
      <x:c r="G384" t="str">
        <x:v>LAS-PSP</x:v>
      </x:c>
      <x:c r="H384" t="str">
        <x:v>LAS</x:v>
      </x:c>
      <x:c r="I384" t="str">
        <x:v>PSP</x:v>
      </x:c>
      <x:c r="J384" s="23" t="n">
        <x:v>2244</x:v>
      </x:c>
      <x:c r="K384" s="24" t="n">
        <x:v>0.266934046345811</x:v>
      </x:c>
      <x:c r="L384" s="24" t="n">
        <x:v>0.006238859180035651</x:v>
      </x:c>
    </x:row>
    <x:row r="385">
      <x:c r="G385" t="str">
        <x:v>IAH-MCI</x:v>
      </x:c>
      <x:c r="H385" t="str">
        <x:v>IAH</x:v>
      </x:c>
      <x:c r="I385" t="str">
        <x:v>MCI</x:v>
      </x:c>
      <x:c r="J385" s="23" t="n">
        <x:v>1536</x:v>
      </x:c>
      <x:c r="K385" s="24" t="n">
        <x:v>0.2669270833333333</x:v>
      </x:c>
      <x:c r="L385" s="24" t="n">
        <x:v>0.020182291666666668</x:v>
      </x:c>
    </x:row>
    <x:row r="386">
      <x:c r="G386" t="str">
        <x:v>ATL-EWR</x:v>
      </x:c>
      <x:c r="H386" t="str">
        <x:v>ATL</x:v>
      </x:c>
      <x:c r="I386" t="str">
        <x:v>EWR</x:v>
      </x:c>
      <x:c r="J386" s="23" t="n">
        <x:v>18069</x:v>
      </x:c>
      <x:c r="K386" s="24" t="n">
        <x:v>0.26686590292766615</x:v>
      </x:c>
      <x:c r="L386" s="24" t="n">
        <x:v>0.02324423044994189</x:v>
      </x:c>
    </x:row>
    <x:row r="387">
      <x:c r="G387" t="str">
        <x:v>DFW-EWR</x:v>
      </x:c>
      <x:c r="H387" t="str">
        <x:v>DFW</x:v>
      </x:c>
      <x:c r="I387" t="str">
        <x:v>EWR</x:v>
      </x:c>
      <x:c r="J387" s="23" t="n">
        <x:v>10789</x:v>
      </x:c>
      <x:c r="K387" s="24" t="n">
        <x:v>0.26684586152562795</x:v>
      </x:c>
      <x:c r="L387" s="24" t="n">
        <x:v>0.02660116785614978</x:v>
      </x:c>
    </x:row>
    <x:row r="388">
      <x:c r="G388" t="str">
        <x:v>DEN-ONT</x:v>
      </x:c>
      <x:c r="H388" t="str">
        <x:v>DEN</x:v>
      </x:c>
      <x:c r="I388" t="str">
        <x:v>ONT</x:v>
      </x:c>
      <x:c r="J388" s="23" t="n">
        <x:v>8459</x:v>
      </x:c>
      <x:c r="K388" s="24" t="n">
        <x:v>0.2668164085589313</x:v>
      </x:c>
      <x:c r="L388" s="24" t="n">
        <x:v>0.007920557985577491</x:v>
      </x:c>
    </x:row>
    <x:row r="389">
      <x:c r="G389" t="str">
        <x:v>SRQ-ORD</x:v>
      </x:c>
      <x:c r="H389" t="str">
        <x:v>SRQ</x:v>
      </x:c>
      <x:c r="I389" t="str">
        <x:v>ORD</x:v>
      </x:c>
      <x:c r="J389" s="23" t="n">
        <x:v>2273</x:v>
      </x:c>
      <x:c r="K389" s="24" t="n">
        <x:v>0.2666080070391553</x:v>
      </x:c>
      <x:c r="L389" s="24" t="n">
        <x:v>0.014518257809062912</x:v>
      </x:c>
    </x:row>
    <x:row r="390">
      <x:c r="G390" t="str">
        <x:v>DEN-PHL</x:v>
      </x:c>
      <x:c r="H390" t="str">
        <x:v>DEN</x:v>
      </x:c>
      <x:c r="I390" t="str">
        <x:v>PHL</x:v>
      </x:c>
      <x:c r="J390" s="23" t="n">
        <x:v>8763</x:v>
      </x:c>
      <x:c r="K390" s="24" t="n">
        <x:v>0.2665753737304576</x:v>
      </x:c>
      <x:c r="L390" s="24" t="n">
        <x:v>0.011411617026132604</x:v>
      </x:c>
    </x:row>
    <x:row r="391">
      <x:c r="G391" t="str">
        <x:v>CLT-LGA</x:v>
      </x:c>
      <x:c r="H391" t="str">
        <x:v>CLT</x:v>
      </x:c>
      <x:c r="I391" t="str">
        <x:v>LGA</x:v>
      </x:c>
      <x:c r="J391" s="23" t="n">
        <x:v>16271</x:v>
      </x:c>
      <x:c r="K391" s="24" t="n">
        <x:v>0.26617909163542497</x:v>
      </x:c>
      <x:c r="L391" s="24" t="n">
        <x:v>0.02396902464507406</x:v>
      </x:c>
    </x:row>
    <x:row r="392">
      <x:c r="G392" t="str">
        <x:v>EWR-MCI</x:v>
      </x:c>
      <x:c r="H392" t="str">
        <x:v>EWR</x:v>
      </x:c>
      <x:c r="I392" t="str">
        <x:v>MCI</x:v>
      </x:c>
      <x:c r="J392" s="23" t="n">
        <x:v>1642</x:v>
      </x:c>
      <x:c r="K392" s="24" t="n">
        <x:v>0.2661388550548112</x:v>
      </x:c>
      <x:c r="L392" s="24" t="n">
        <x:v>0.03227771010962241</x:v>
      </x:c>
    </x:row>
    <x:row r="393">
      <x:c r="G393" t="str">
        <x:v>RSW-DFW</x:v>
      </x:c>
      <x:c r="H393" t="str">
        <x:v>RSW</x:v>
      </x:c>
      <x:c r="I393" t="str">
        <x:v>DFW</x:v>
      </x:c>
      <x:c r="J393" s="23" t="n">
        <x:v>3880</x:v>
      </x:c>
      <x:c r="K393" s="24" t="n">
        <x:v>0.26597938144329897</x:v>
      </x:c>
      <x:c r="L393" s="24" t="n">
        <x:v>0.0288659793814433</x:v>
      </x:c>
    </x:row>
    <x:row r="394">
      <x:c r="G394" t="str">
        <x:v>ORD-COU</x:v>
      </x:c>
      <x:c r="H394" t="str">
        <x:v>ORD</x:v>
      </x:c>
      <x:c r="I394" t="str">
        <x:v>COU</x:v>
      </x:c>
      <x:c r="J394" s="23" t="n">
        <x:v>2256</x:v>
      </x:c>
      <x:c r="K394" s="24" t="n">
        <x:v>0.26595744680851063</x:v>
      </x:c>
      <x:c r="L394" s="24" t="n">
        <x:v>0.02127659574468085</x:v>
      </x:c>
    </x:row>
    <x:row r="395">
      <x:c r="G395" t="str">
        <x:v>DEN-SBP</x:v>
      </x:c>
      <x:c r="H395" t="str">
        <x:v>DEN</x:v>
      </x:c>
      <x:c r="I395" t="str">
        <x:v>SBP</x:v>
      </x:c>
      <x:c r="J395" s="23" t="n">
        <x:v>2181</x:v>
      </x:c>
      <x:c r="K395" s="24" t="n">
        <x:v>0.26593305823016966</x:v>
      </x:c>
      <x:c r="L395" s="24" t="n">
        <x:v>0.010087116001834021</x:v>
      </x:c>
    </x:row>
    <x:row r="396">
      <x:c r="G396" t="str">
        <x:v>ISP-TPA</x:v>
      </x:c>
      <x:c r="H396" t="str">
        <x:v>ISP</x:v>
      </x:c>
      <x:c r="I396" t="str">
        <x:v>TPA</x:v>
      </x:c>
      <x:c r="J396" s="23" t="n">
        <x:v>1538</x:v>
      </x:c>
      <x:c r="K396" s="24" t="n">
        <x:v>0.2659297789336801</x:v>
      </x:c>
      <x:c r="L396" s="24" t="n">
        <x:v>0.024057217165149546</x:v>
      </x:c>
    </x:row>
    <x:row r="397">
      <x:c r="G397" t="str">
        <x:v>MIA-BNA</x:v>
      </x:c>
      <x:c r="H397" t="str">
        <x:v>MIA</x:v>
      </x:c>
      <x:c r="I397" t="str">
        <x:v>BNA</x:v>
      </x:c>
      <x:c r="J397" s="23" t="n">
        <x:v>7128</x:v>
      </x:c>
      <x:c r="K397" s="24" t="n">
        <x:v>0.26585297418630754</x:v>
      </x:c>
      <x:c r="L397" s="24" t="n">
        <x:v>0.011363636363636364</x:v>
      </x:c>
    </x:row>
    <x:row r="398">
      <x:c r="G398" t="str">
        <x:v>MSY-DFW</x:v>
      </x:c>
      <x:c r="H398" t="str">
        <x:v>MSY</x:v>
      </x:c>
      <x:c r="I398" t="str">
        <x:v>DFW</x:v>
      </x:c>
      <x:c r="J398" s="23" t="n">
        <x:v>8791</x:v>
      </x:c>
      <x:c r="K398" s="24" t="n">
        <x:v>0.2658400637015129</x:v>
      </x:c>
      <x:c r="L398" s="24" t="n">
        <x:v>0.02559435786599932</x:v>
      </x:c>
    </x:row>
    <x:row r="399">
      <x:c r="G399" t="str">
        <x:v>CLT-AUS</x:v>
      </x:c>
      <x:c r="H399" t="str">
        <x:v>CLT</x:v>
      </x:c>
      <x:c r="I399" t="str">
        <x:v>AUS</x:v>
      </x:c>
      <x:c r="J399" s="23" t="n">
        <x:v>5543</x:v>
      </x:c>
      <x:c r="K399" s="24" t="n">
        <x:v>0.26574057369655424</x:v>
      </x:c>
      <x:c r="L399" s="24" t="n">
        <x:v>0.010824463287028685</x:v>
      </x:c>
    </x:row>
    <x:row r="400">
      <x:c r="G400" t="str">
        <x:v>SFO-LAS</x:v>
      </x:c>
      <x:c r="H400" t="str">
        <x:v>SFO</x:v>
      </x:c>
      <x:c r="I400" t="str">
        <x:v>LAS</x:v>
      </x:c>
      <x:c r="J400" s="23" t="n">
        <x:v>17459</x:v>
      </x:c>
      <x:c r="K400" s="24" t="n">
        <x:v>0.2657082307119537</x:v>
      </x:c>
      <x:c r="L400" s="24" t="n">
        <x:v>0.011627240964545506</x:v>
      </x:c>
    </x:row>
    <x:row r="401">
      <x:c r="G401" t="str">
        <x:v>DEN-EWR</x:v>
      </x:c>
      <x:c r="H401" t="str">
        <x:v>DEN</x:v>
      </x:c>
      <x:c r="I401" t="str">
        <x:v>EWR</x:v>
      </x:c>
      <x:c r="J401" s="23" t="n">
        <x:v>9563</x:v>
      </x:c>
      <x:c r="K401" s="24" t="n">
        <x:v>0.26560702708355116</x:v>
      </x:c>
      <x:c r="L401" s="24" t="n">
        <x:v>0.020600230053330545</x:v>
      </x:c>
    </x:row>
    <x:row r="402">
      <x:c r="G402" t="str">
        <x:v>ECP-DFW</x:v>
      </x:c>
      <x:c r="H402" t="str">
        <x:v>ECP</x:v>
      </x:c>
      <x:c r="I402" t="str">
        <x:v>DFW</x:v>
      </x:c>
      <x:c r="J402" s="23" t="n">
        <x:v>3167</x:v>
      </x:c>
      <x:c r="K402" s="24" t="n">
        <x:v>0.265550994632144</x:v>
      </x:c>
      <x:c r="L402" s="24" t="n">
        <x:v>0.023365961477739186</x:v>
      </x:c>
    </x:row>
    <x:row r="403">
      <x:c r="G403" t="str">
        <x:v>SAN-MCO</x:v>
      </x:c>
      <x:c r="H403" t="str">
        <x:v>SAN</x:v>
      </x:c>
      <x:c r="I403" t="str">
        <x:v>MCO</x:v>
      </x:c>
      <x:c r="J403" s="23" t="n">
        <x:v>2075</x:v>
      </x:c>
      <x:c r="K403" s="24" t="n">
        <x:v>0.2655421686746988</x:v>
      </x:c>
      <x:c r="L403" s="24" t="n">
        <x:v>0.0163855421686747</x:v>
      </x:c>
    </x:row>
    <x:row r="404">
      <x:c r="G404" t="str">
        <x:v>DFW-RNO</x:v>
      </x:c>
      <x:c r="H404" t="str">
        <x:v>DFW</x:v>
      </x:c>
      <x:c r="I404" t="str">
        <x:v>RNO</x:v>
      </x:c>
      <x:c r="J404" s="23" t="n">
        <x:v>3702</x:v>
      </x:c>
      <x:c r="K404" s="24" t="n">
        <x:v>0.2655321447866018</x:v>
      </x:c>
      <x:c r="L404" s="24" t="n">
        <x:v>0.01917882225823879</x:v>
      </x:c>
    </x:row>
    <x:row r="405">
      <x:c r="G405" t="str">
        <x:v>MIA-MCO</x:v>
      </x:c>
      <x:c r="H405" t="str">
        <x:v>MIA</x:v>
      </x:c>
      <x:c r="I405" t="str">
        <x:v>MCO</x:v>
      </x:c>
      <x:c r="J405" s="23" t="n">
        <x:v>11476</x:v>
      </x:c>
      <x:c r="K405" s="24" t="n">
        <x:v>0.26551063088184035</x:v>
      </x:c>
      <x:c r="L405" s="24" t="n">
        <x:v>0.014900662251655629</x:v>
      </x:c>
    </x:row>
    <x:row r="406">
      <x:c r="G406" t="str">
        <x:v>ANC-BRW</x:v>
      </x:c>
      <x:c r="H406" t="str">
        <x:v>ANC</x:v>
      </x:c>
      <x:c r="I406" t="str">
        <x:v>BRW</x:v>
      </x:c>
      <x:c r="J406" s="23" t="n">
        <x:v>1085</x:v>
      </x:c>
      <x:c r="K406" s="24" t="n">
        <x:v>0.2654377880184332</x:v>
      </x:c>
      <x:c r="L406" s="24" t="n">
        <x:v>0.03317972350230415</x:v>
      </x:c>
    </x:row>
    <x:row r="407">
      <x:c r="G407" t="str">
        <x:v>MYR-DCA</x:v>
      </x:c>
      <x:c r="H407" t="str">
        <x:v>MYR</x:v>
      </x:c>
      <x:c r="I407" t="str">
        <x:v>DCA</x:v>
      </x:c>
      <x:c r="J407" s="23" t="n">
        <x:v>1688</x:v>
      </x:c>
      <x:c r="K407" s="24" t="n">
        <x:v>0.26540284360189575</x:v>
      </x:c>
      <x:c r="L407" s="24" t="n">
        <x:v>0.035545023696682464</x:v>
      </x:c>
    </x:row>
    <x:row r="408">
      <x:c r="G408" t="str">
        <x:v>IAH-SMF</x:v>
      </x:c>
      <x:c r="H408" t="str">
        <x:v>IAH</x:v>
      </x:c>
      <x:c r="I408" t="str">
        <x:v>SMF</x:v>
      </x:c>
      <x:c r="J408" s="23" t="n">
        <x:v>1594</x:v>
      </x:c>
      <x:c r="K408" s="24" t="n">
        <x:v>0.26537013801756587</x:v>
      </x:c>
      <x:c r="L408" s="24" t="n">
        <x:v>0.009410288582183186</x:v>
      </x:c>
    </x:row>
    <x:row r="409">
      <x:c r="G409" t="str">
        <x:v>ASE-LAX</x:v>
      </x:c>
      <x:c r="H409" t="str">
        <x:v>ASE</x:v>
      </x:c>
      <x:c r="I409" t="str">
        <x:v>LAX</x:v>
      </x:c>
      <x:c r="J409" s="23" t="n">
        <x:v>3241</x:v>
      </x:c>
      <x:c r="K409" s="24" t="n">
        <x:v>0.26535020055538416</x:v>
      </x:c>
      <x:c r="L409" s="24" t="n">
        <x:v>0.06664609688367788</x:v>
      </x:c>
    </x:row>
    <x:row r="410">
      <x:c r="G410" t="str">
        <x:v>DEN-MEM</x:v>
      </x:c>
      <x:c r="H410" t="str">
        <x:v>DEN</x:v>
      </x:c>
      <x:c r="I410" t="str">
        <x:v>MEM</x:v>
      </x:c>
      <x:c r="J410" s="23" t="n">
        <x:v>3765</x:v>
      </x:c>
      <x:c r="K410" s="24" t="n">
        <x:v>0.2653386454183267</x:v>
      </x:c>
      <x:c r="L410" s="24" t="n">
        <x:v>0.00796812749003984</x:v>
      </x:c>
    </x:row>
    <x:row r="411">
      <x:c r="G411" t="str">
        <x:v>DEN-TPA</x:v>
      </x:c>
      <x:c r="H411" t="str">
        <x:v>DEN</x:v>
      </x:c>
      <x:c r="I411" t="str">
        <x:v>TPA</x:v>
      </x:c>
      <x:c r="J411" s="23" t="n">
        <x:v>9602</x:v>
      </x:c>
      <x:c r="K411" s="24" t="n">
        <x:v>0.26525723807540097</x:v>
      </x:c>
      <x:c r="L411" s="24" t="n">
        <x:v>0.013226411164340762</x:v>
      </x:c>
    </x:row>
    <x:row r="412">
      <x:c r="G412" t="str">
        <x:v>SFB-GRR</x:v>
      </x:c>
      <x:c r="H412" t="str">
        <x:v>SFB</x:v>
      </x:c>
      <x:c r="I412" t="str">
        <x:v>GRR</x:v>
      </x:c>
      <x:c r="J412" s="23" t="n">
        <x:v>1135</x:v>
      </x:c>
      <x:c r="K412" s="24" t="n">
        <x:v>0.26519823788546254</x:v>
      </x:c>
      <x:c r="L412" s="24" t="n">
        <x:v>0.0026431718061674008</x:v>
      </x:c>
    </x:row>
    <x:row r="413">
      <x:c r="G413" t="str">
        <x:v>BWI-ROC</x:v>
      </x:c>
      <x:c r="H413" t="str">
        <x:v>BWI</x:v>
      </x:c>
      <x:c r="I413" t="str">
        <x:v>ROC</x:v>
      </x:c>
      <x:c r="J413" s="23" t="n">
        <x:v>3375</x:v>
      </x:c>
      <x:c r="K413" s="24" t="n">
        <x:v>0.2651851851851852</x:v>
      </x:c>
      <x:c r="L413" s="24" t="n">
        <x:v>0.008592592592592593</x:v>
      </x:c>
    </x:row>
    <x:row r="414">
      <x:c r="G414" t="str">
        <x:v>SRQ-DCA</x:v>
      </x:c>
      <x:c r="H414" t="str">
        <x:v>SRQ</x:v>
      </x:c>
      <x:c r="I414" t="str">
        <x:v>DCA</x:v>
      </x:c>
      <x:c r="J414" s="23" t="n">
        <x:v>1139</x:v>
      </x:c>
      <x:c r="K414" s="24" t="n">
        <x:v>0.26514486391571557</x:v>
      </x:c>
      <x:c r="L414" s="24" t="n">
        <x:v>0.018437225636523266</x:v>
      </x:c>
    </x:row>
    <x:row r="415">
      <x:c r="G415" t="str">
        <x:v>FLL-DAL</x:v>
      </x:c>
      <x:c r="H415" t="str">
        <x:v>FLL</x:v>
      </x:c>
      <x:c r="I415" t="str">
        <x:v>DAL</x:v>
      </x:c>
      <x:c r="J415" s="23" t="n">
        <x:v>2331</x:v>
      </x:c>
      <x:c r="K415" s="24" t="n">
        <x:v>0.2651222651222651</x:v>
      </x:c>
      <x:c r="L415" s="24" t="n">
        <x:v>0.014157014157014158</x:v>
      </x:c>
    </x:row>
    <x:row r="416">
      <x:c r="G416" t="str">
        <x:v>STT-MCO</x:v>
      </x:c>
      <x:c r="H416" t="str">
        <x:v>STT</x:v>
      </x:c>
      <x:c r="I416" t="str">
        <x:v>MCO</x:v>
      </x:c>
      <x:c r="J416" s="23" t="n">
        <x:v>1392</x:v>
      </x:c>
      <x:c r="K416" s="24" t="n">
        <x:v>0.2650862068965517</x:v>
      </x:c>
      <x:c r="L416" s="24" t="n">
        <x:v>0.011494252873563218</x:v>
      </x:c>
    </x:row>
    <x:row r="417">
      <x:c r="G417" t="str">
        <x:v>FLL-BUF</x:v>
      </x:c>
      <x:c r="H417" t="str">
        <x:v>FLL</x:v>
      </x:c>
      <x:c r="I417" t="str">
        <x:v>BUF</x:v>
      </x:c>
      <x:c r="J417" s="23" t="n">
        <x:v>1592</x:v>
      </x:c>
      <x:c r="K417" s="24" t="n">
        <x:v>0.2650753768844221</x:v>
      </x:c>
      <x:c r="L417" s="24" t="n">
        <x:v>0.017587939698492462</x:v>
      </x:c>
    </x:row>
    <x:row r="418">
      <x:c r="G418" t="str">
        <x:v>CLT-JAX</x:v>
      </x:c>
      <x:c r="H418" t="str">
        <x:v>CLT</x:v>
      </x:c>
      <x:c r="I418" t="str">
        <x:v>JAX</x:v>
      </x:c>
      <x:c r="J418" s="23" t="n">
        <x:v>6664</x:v>
      </x:c>
      <x:c r="K418" s="24" t="n">
        <x:v>0.2650060024009604</x:v>
      </x:c>
      <x:c r="L418" s="24" t="n">
        <x:v>0.012605042016806723</x:v>
      </x:c>
    </x:row>
    <x:row r="419">
      <x:c r="G419" t="str">
        <x:v>DAL-ONT</x:v>
      </x:c>
      <x:c r="H419" t="str">
        <x:v>DAL</x:v>
      </x:c>
      <x:c r="I419" t="str">
        <x:v>ONT</x:v>
      </x:c>
      <x:c r="J419" s="23" t="n">
        <x:v>1151</x:v>
      </x:c>
      <x:c r="K419" s="24" t="n">
        <x:v>0.26498696785403997</x:v>
      </x:c>
      <x:c r="L419" s="24" t="n">
        <x:v>0.008688097306689836</x:v>
      </x:c>
    </x:row>
    <x:row r="420">
      <x:c r="G420" t="str">
        <x:v>CLE-LAS</x:v>
      </x:c>
      <x:c r="H420" t="str">
        <x:v>CLE</x:v>
      </x:c>
      <x:c r="I420" t="str">
        <x:v>LAS</x:v>
      </x:c>
      <x:c r="J420" s="23" t="n">
        <x:v>2832</x:v>
      </x:c>
      <x:c r="K420" s="24" t="n">
        <x:v>0.2648305084745763</x:v>
      </x:c>
      <x:c r="L420" s="24" t="n">
        <x:v>0.013771186440677966</x:v>
      </x:c>
    </x:row>
    <x:row r="421">
      <x:c r="G421" t="str">
        <x:v>MCO-EWR</x:v>
      </x:c>
      <x:c r="H421" t="str">
        <x:v>MCO</x:v>
      </x:c>
      <x:c r="I421" t="str">
        <x:v>EWR</x:v>
      </x:c>
      <x:c r="J421" s="23" t="n">
        <x:v>20421</x:v>
      </x:c>
      <x:c r="K421" s="24" t="n">
        <x:v>0.2647764556094217</x:v>
      </x:c>
      <x:c r="L421" s="24" t="n">
        <x:v>0.023358307624504186</x:v>
      </x:c>
    </x:row>
    <x:row r="422">
      <x:c r="G422" t="str">
        <x:v>PNS-MCO</x:v>
      </x:c>
      <x:c r="H422" t="str">
        <x:v>PNS</x:v>
      </x:c>
      <x:c r="I422" t="str">
        <x:v>MCO</x:v>
      </x:c>
      <x:c r="J422" s="23" t="n">
        <x:v>1258</x:v>
      </x:c>
      <x:c r="K422" s="24" t="n">
        <x:v>0.2647058823529412</x:v>
      </x:c>
      <x:c r="L422" s="24" t="n">
        <x:v>0.031001589825119236</x:v>
      </x:c>
    </x:row>
    <x:row r="423">
      <x:c r="G423" t="str">
        <x:v>ORD-PHL</x:v>
      </x:c>
      <x:c r="H423" t="str">
        <x:v>ORD</x:v>
      </x:c>
      <x:c r="I423" t="str">
        <x:v>PHL</x:v>
      </x:c>
      <x:c r="J423" s="23" t="n">
        <x:v>13151</x:v>
      </x:c>
      <x:c r="K423" s="24" t="n">
        <x:v>0.264694700022812</x:v>
      </x:c>
      <x:c r="L423" s="24" t="n">
        <x:v>0.014599650216713557</x:v>
      </x:c>
    </x:row>
    <x:row r="424">
      <x:c r="G424" t="str">
        <x:v>CLT-GRR</x:v>
      </x:c>
      <x:c r="H424" t="str">
        <x:v>CLT</x:v>
      </x:c>
      <x:c r="I424" t="str">
        <x:v>GRR</x:v>
      </x:c>
      <x:c r="J424" s="23" t="n">
        <x:v>2974</x:v>
      </x:c>
      <x:c r="K424" s="24" t="n">
        <x:v>0.26462676529926027</x:v>
      </x:c>
      <x:c r="L424" s="24" t="n">
        <x:v>0.00941492938802959</x:v>
      </x:c>
    </x:row>
    <x:row r="425">
      <x:c r="G425" t="str">
        <x:v>SEA-IND</x:v>
      </x:c>
      <x:c r="H425" t="str">
        <x:v>SEA</x:v>
      </x:c>
      <x:c r="I425" t="str">
        <x:v>IND</x:v>
      </x:c>
      <x:c r="J425" s="23" t="n">
        <x:v>1629</x:v>
      </x:c>
      <x:c r="K425" s="24" t="n">
        <x:v>0.2645794966236955</x:v>
      </x:c>
      <x:c r="L425" s="24" t="n">
        <x:v>0.009208103130755065</x:v>
      </x:c>
    </x:row>
    <x:row r="426">
      <x:c r="G426" t="str">
        <x:v>AUS-SMF</x:v>
      </x:c>
      <x:c r="H426" t="str">
        <x:v>AUS</x:v>
      </x:c>
      <x:c r="I426" t="str">
        <x:v>SMF</x:v>
      </x:c>
      <x:c r="J426" s="23" t="n">
        <x:v>1781</x:v>
      </x:c>
      <x:c r="K426" s="24" t="n">
        <x:v>0.2644581695676586</x:v>
      </x:c>
      <x:c r="L426" s="24" t="n">
        <x:v>0.005614823133071308</x:v>
      </x:c>
    </x:row>
    <x:row r="427">
      <x:c r="G427" t="str">
        <x:v>ORD-LIT</x:v>
      </x:c>
      <x:c r="H427" t="str">
        <x:v>ORD</x:v>
      </x:c>
      <x:c r="I427" t="str">
        <x:v>LIT</x:v>
      </x:c>
      <x:c r="J427" s="23" t="n">
        <x:v>3861</x:v>
      </x:c>
      <x:c r="K427" s="24" t="n">
        <x:v>0.26443926443926447</x:v>
      </x:c>
      <x:c r="L427" s="24" t="n">
        <x:v>0.01320901320901321</x:v>
      </x:c>
    </x:row>
    <x:row r="428">
      <x:c r="G428" t="str">
        <x:v>ATL-DFW</x:v>
      </x:c>
      <x:c r="H428" t="str">
        <x:v>ATL</x:v>
      </x:c>
      <x:c r="I428" t="str">
        <x:v>DFW</x:v>
      </x:c>
      <x:c r="J428" s="23" t="n">
        <x:v>19525</x:v>
      </x:c>
      <x:c r="K428" s="24" t="n">
        <x:v>0.2644302176696543</x:v>
      </x:c>
      <x:c r="L428" s="24" t="n">
        <x:v>0.01884763124199744</x:v>
      </x:c>
    </x:row>
    <x:row r="429">
      <x:c r="G429" t="str">
        <x:v>DEN-HNL</x:v>
      </x:c>
      <x:c r="H429" t="str">
        <x:v>DEN</x:v>
      </x:c>
      <x:c r="I429" t="str">
        <x:v>HNL</x:v>
      </x:c>
      <x:c r="J429" s="23" t="n">
        <x:v>1717</x:v>
      </x:c>
      <x:c r="K429" s="24" t="n">
        <x:v>0.2644146767617938</x:v>
      </x:c>
      <x:c r="L429" s="24" t="n">
        <x:v>0.013977868375072802</x:v>
      </x:c>
    </x:row>
    <x:row r="430">
      <x:c r="G430" t="str">
        <x:v>DEN-LNK</x:v>
      </x:c>
      <x:c r="H430" t="str">
        <x:v>DEN</x:v>
      </x:c>
      <x:c r="I430" t="str">
        <x:v>LNK</x:v>
      </x:c>
      <x:c r="J430" s="23" t="n">
        <x:v>2497</x:v>
      </x:c>
      <x:c r="K430" s="24" t="n">
        <x:v>0.2643171806167401</x:v>
      </x:c>
      <x:c r="L430" s="24" t="n">
        <x:v>0.010812975570684821</x:v>
      </x:c>
    </x:row>
    <x:row r="431">
      <x:c r="G431" t="str">
        <x:v>SEA-BOS</x:v>
      </x:c>
      <x:c r="H431" t="str">
        <x:v>SEA</x:v>
      </x:c>
      <x:c r="I431" t="str">
        <x:v>BOS</x:v>
      </x:c>
      <x:c r="J431" s="23" t="n">
        <x:v>7696</x:v>
      </x:c>
      <x:c r="K431" s="24" t="n">
        <x:v>0.2642931392931393</x:v>
      </x:c>
      <x:c r="L431" s="24" t="n">
        <x:v>0.007016632016632017</x:v>
      </x:c>
    </x:row>
    <x:row r="432">
      <x:c r="G432" t="str">
        <x:v>DCA-CRW</x:v>
      </x:c>
      <x:c r="H432" t="str">
        <x:v>DCA</x:v>
      </x:c>
      <x:c r="I432" t="str">
        <x:v>CRW</x:v>
      </x:c>
      <x:c r="J432" s="23" t="n">
        <x:v>1033</x:v>
      </x:c>
      <x:c r="K432" s="24" t="n">
        <x:v>0.26427879961277834</x:v>
      </x:c>
      <x:c r="L432" s="24" t="n">
        <x:v>0.06582768635043562</x:v>
      </x:c>
    </x:row>
    <x:row r="433">
      <x:c r="G433" t="str">
        <x:v>LGA-FLL</x:v>
      </x:c>
      <x:c r="H433" t="str">
        <x:v>LGA</x:v>
      </x:c>
      <x:c r="I433" t="str">
        <x:v>FLL</x:v>
      </x:c>
      <x:c r="J433" s="23" t="n">
        <x:v>13605</x:v>
      </x:c>
      <x:c r="K433" s="24" t="n">
        <x:v>0.26424108783535466</x:v>
      </x:c>
      <x:c r="L433" s="24" t="n">
        <x:v>0.024035281146637267</x:v>
      </x:c>
    </x:row>
    <x:row r="434">
      <x:c r="G434" t="str">
        <x:v>DEN-ICT</x:v>
      </x:c>
      <x:c r="H434" t="str">
        <x:v>DEN</x:v>
      </x:c>
      <x:c r="I434" t="str">
        <x:v>ICT</x:v>
      </x:c>
      <x:c r="J434" s="23" t="n">
        <x:v>5560</x:v>
      </x:c>
      <x:c r="K434" s="24" t="n">
        <x:v>0.26402877697841726</x:v>
      </x:c>
      <x:c r="L434" s="24" t="n">
        <x:v>0.00881294964028777</x:v>
      </x:c>
    </x:row>
    <x:row r="435">
      <x:c r="G435" t="str">
        <x:v>IAH-DFW</x:v>
      </x:c>
      <x:c r="H435" t="str">
        <x:v>IAH</x:v>
      </x:c>
      <x:c r="I435" t="str">
        <x:v>DFW</x:v>
      </x:c>
      <x:c r="J435" s="23" t="n">
        <x:v>15732</x:v>
      </x:c>
      <x:c r="K435" s="24" t="n">
        <x:v>0.26385710653445205</x:v>
      </x:c>
      <x:c r="L435" s="24" t="n">
        <x:v>0.027205695397915078</x:v>
      </x:c>
    </x:row>
    <x:row r="436">
      <x:c r="G436" t="str">
        <x:v>BDL-MCO</x:v>
      </x:c>
      <x:c r="H436" t="str">
        <x:v>BDL</x:v>
      </x:c>
      <x:c r="I436" t="str">
        <x:v>MCO</x:v>
      </x:c>
      <x:c r="J436" s="23" t="n">
        <x:v>6013</x:v>
      </x:c>
      <x:c r="K436" s="24" t="n">
        <x:v>0.26359554299018795</x:v>
      </x:c>
      <x:c r="L436" s="24" t="n">
        <x:v>0.013138200565441543</x:v>
      </x:c>
    </x:row>
    <x:row r="437">
      <x:c r="G437" t="str">
        <x:v>MDW-BUF</x:v>
      </x:c>
      <x:c r="H437" t="str">
        <x:v>MDW</x:v>
      </x:c>
      <x:c r="I437" t="str">
        <x:v>BUF</x:v>
      </x:c>
      <x:c r="J437" s="23" t="n">
        <x:v>2452</x:v>
      </x:c>
      <x:c r="K437" s="24" t="n">
        <x:v>0.2634584013050571</x:v>
      </x:c>
      <x:c r="L437" s="24" t="n">
        <x:v>0.010603588907014683</x:v>
      </x:c>
    </x:row>
    <x:row r="438">
      <x:c r="G438" t="str">
        <x:v>PBI-DTW</x:v>
      </x:c>
      <x:c r="H438" t="str">
        <x:v>PBI</x:v>
      </x:c>
      <x:c r="I438" t="str">
        <x:v>DTW</x:v>
      </x:c>
      <x:c r="J438" s="23" t="n">
        <x:v>1245</x:v>
      </x:c>
      <x:c r="K438" s="24" t="n">
        <x:v>0.26345381526104417</x:v>
      </x:c>
      <x:c r="L438" s="24" t="n">
        <x:v>0.008032128514056224</x:v>
      </x:c>
    </x:row>
    <x:row r="439">
      <x:c r="G439" t="str">
        <x:v>BNA-DFW</x:v>
      </x:c>
      <x:c r="H439" t="str">
        <x:v>BNA</x:v>
      </x:c>
      <x:c r="I439" t="str">
        <x:v>DFW</x:v>
      </x:c>
      <x:c r="J439" s="23" t="n">
        <x:v>9851</x:v>
      </x:c>
      <x:c r="K439" s="24" t="n">
        <x:v>0.26342503299157444</x:v>
      </x:c>
      <x:c r="L439" s="24" t="n">
        <x:v>0.027509897472337834</x:v>
      </x:c>
    </x:row>
    <x:row r="440">
      <x:c r="G440" t="str">
        <x:v>SRQ-JFK</x:v>
      </x:c>
      <x:c r="H440" t="str">
        <x:v>SRQ</x:v>
      </x:c>
      <x:c r="I440" t="str">
        <x:v>JFK</x:v>
      </x:c>
      <x:c r="J440" s="23" t="n">
        <x:v>1196</x:v>
      </x:c>
      <x:c r="K440" s="24" t="n">
        <x:v>0.2633779264214047</x:v>
      </x:c>
      <x:c r="L440" s="24" t="n">
        <x:v>0.026755852842809364</x:v>
      </x:c>
    </x:row>
    <x:row r="441">
      <x:c r="G441" t="str">
        <x:v>LGA-MSY</x:v>
      </x:c>
      <x:c r="H441" t="str">
        <x:v>LGA</x:v>
      </x:c>
      <x:c r="I441" t="str">
        <x:v>MSY</x:v>
      </x:c>
      <x:c r="J441" s="23" t="n">
        <x:v>4511</x:v>
      </x:c>
      <x:c r="K441" s="24" t="n">
        <x:v>0.26335624030148524</x:v>
      </x:c>
      <x:c r="L441" s="24" t="n">
        <x:v>0.0164043449346043</x:v>
      </x:c>
    </x:row>
    <x:row r="442">
      <x:c r="G442" t="str">
        <x:v>SJU-BOS</x:v>
      </x:c>
      <x:c r="H442" t="str">
        <x:v>SJU</x:v>
      </x:c>
      <x:c r="I442" t="str">
        <x:v>BOS</x:v>
      </x:c>
      <x:c r="J442" s="23" t="n">
        <x:v>6122</x:v>
      </x:c>
      <x:c r="K442" s="24" t="n">
        <x:v>0.263312642927148</x:v>
      </x:c>
      <x:c r="L442" s="24" t="n">
        <x:v>0.013067624959163672</x:v>
      </x:c>
    </x:row>
    <x:row r="443">
      <x:c r="G443" t="str">
        <x:v>MCO-PIT</x:v>
      </x:c>
      <x:c r="H443" t="str">
        <x:v>MCO</x:v>
      </x:c>
      <x:c r="I443" t="str">
        <x:v>PIT</x:v>
      </x:c>
      <x:c r="J443" s="23" t="n">
        <x:v>6781</x:v>
      </x:c>
      <x:c r="K443" s="24" t="n">
        <x:v>0.26323551098658016</x:v>
      </x:c>
      <x:c r="L443" s="24" t="n">
        <x:v>0.01017549034065772</x:v>
      </x:c>
    </x:row>
    <x:row r="444">
      <x:c r="G444" t="str">
        <x:v>MCO-LGA</x:v>
      </x:c>
      <x:c r="H444" t="str">
        <x:v>MCO</x:v>
      </x:c>
      <x:c r="I444" t="str">
        <x:v>LGA</x:v>
      </x:c>
      <x:c r="J444" s="23" t="n">
        <x:v>15775</x:v>
      </x:c>
      <x:c r="K444" s="24" t="n">
        <x:v>0.2632012678288431</x:v>
      </x:c>
      <x:c r="L444" s="24" t="n">
        <x:v>0.021236133122028527</x:v>
      </x:c>
    </x:row>
    <x:row r="445">
      <x:c r="G445" t="str">
        <x:v>LGA-MCO</x:v>
      </x:c>
      <x:c r="H445" t="str">
        <x:v>LGA</x:v>
      </x:c>
      <x:c r="I445" t="str">
        <x:v>MCO</x:v>
      </x:c>
      <x:c r="J445" s="23" t="n">
        <x:v>15779</x:v>
      </x:c>
      <x:c r="K445" s="24" t="n">
        <x:v>0.26307117054312695</x:v>
      </x:c>
      <x:c r="L445" s="24" t="n">
        <x:v>0.02180112808162748</x:v>
      </x:c>
    </x:row>
    <x:row r="446">
      <x:c r="G446" t="str">
        <x:v>HOU-MIA</x:v>
      </x:c>
      <x:c r="H446" t="str">
        <x:v>HOU</x:v>
      </x:c>
      <x:c r="I446" t="str">
        <x:v>MIA</x:v>
      </x:c>
      <x:c r="J446" s="23" t="n">
        <x:v>1977</x:v>
      </x:c>
      <x:c r="K446" s="24" t="n">
        <x:v>0.26302478502781995</x:v>
      </x:c>
      <x:c r="L446" s="24" t="n">
        <x:v>0.010116337885685382</x:v>
      </x:c>
    </x:row>
    <x:row r="447">
      <x:c r="G447" t="str">
        <x:v>ORD-MBS</x:v>
      </x:c>
      <x:c r="H447" t="str">
        <x:v>ORD</x:v>
      </x:c>
      <x:c r="I447" t="str">
        <x:v>MBS</x:v>
      </x:c>
      <x:c r="J447" s="23" t="n">
        <x:v>2833</x:v>
      </x:c>
      <x:c r="K447" s="24" t="n">
        <x:v>0.26297211436639606</x:v>
      </x:c>
      <x:c r="L447" s="24" t="n">
        <x:v>0.01906106600776562</x:v>
      </x:c>
    </x:row>
    <x:row r="448">
      <x:c r="G448" t="str">
        <x:v>ORD-JFK</x:v>
      </x:c>
      <x:c r="H448" t="str">
        <x:v>ORD</x:v>
      </x:c>
      <x:c r="I448" t="str">
        <x:v>JFK</x:v>
      </x:c>
      <x:c r="J448" s="23" t="n">
        <x:v>7440</x:v>
      </x:c>
      <x:c r="K448" s="24" t="n">
        <x:v>0.2629032258064516</x:v>
      </x:c>
      <x:c r="L448" s="24" t="n">
        <x:v>0.02271505376344086</x:v>
      </x:c>
    </x:row>
    <x:row r="449">
      <x:c r="G449" t="str">
        <x:v>SJU-RDU</x:v>
      </x:c>
      <x:c r="H449" t="str">
        <x:v>SJU</x:v>
      </x:c>
      <x:c r="I449" t="str">
        <x:v>RDU</x:v>
      </x:c>
      <x:c r="J449" s="23" t="n">
        <x:v>1537</x:v>
      </x:c>
      <x:c r="K449" s="24" t="n">
        <x:v>0.26284970722186074</x:v>
      </x:c>
      <x:c r="L449" s="24" t="n">
        <x:v>0.01236174365647365</x:v>
      </x:c>
    </x:row>
    <x:row r="450">
      <x:c r="G450" t="str">
        <x:v>SJU-STT</x:v>
      </x:c>
      <x:c r="H450" t="str">
        <x:v>SJU</x:v>
      </x:c>
      <x:c r="I450" t="str">
        <x:v>STT</x:v>
      </x:c>
      <x:c r="J450" s="23" t="n">
        <x:v>1507</x:v>
      </x:c>
      <x:c r="K450" s="24" t="n">
        <x:v>0.26277372262773724</x:v>
      </x:c>
      <x:c r="L450" s="24" t="n">
        <x:v>0.010617120106171201</x:v>
      </x:c>
    </x:row>
    <x:row r="451">
      <x:c r="G451" t="str">
        <x:v>MCO-PHX</x:v>
      </x:c>
      <x:c r="H451" t="str">
        <x:v>MCO</x:v>
      </x:c>
      <x:c r="I451" t="str">
        <x:v>PHX</x:v>
      </x:c>
      <x:c r="J451" s="23" t="n">
        <x:v>5172</x:v>
      </x:c>
      <x:c r="K451" s="24" t="n">
        <x:v>0.2627610208816705</x:v>
      </x:c>
      <x:c r="L451" s="24" t="n">
        <x:v>0.007153905645784996</x:v>
      </x:c>
    </x:row>
    <x:row r="452">
      <x:c r="G452" t="str">
        <x:v>BWI-PBI</x:v>
      </x:c>
      <x:c r="H452" t="str">
        <x:v>BWI</x:v>
      </x:c>
      <x:c r="I452" t="str">
        <x:v>PBI</x:v>
      </x:c>
      <x:c r="J452" s="23" t="n">
        <x:v>4008</x:v>
      </x:c>
      <x:c r="K452" s="24" t="n">
        <x:v>0.26272455089820357</x:v>
      </x:c>
      <x:c r="L452" s="24" t="n">
        <x:v>0.0054890219560878245</x:v>
      </x:c>
    </x:row>
    <x:row r="453">
      <x:c r="G453" t="str">
        <x:v>MCO-MSY</x:v>
      </x:c>
      <x:c r="H453" t="str">
        <x:v>MCO</x:v>
      </x:c>
      <x:c r="I453" t="str">
        <x:v>MSY</x:v>
      </x:c>
      <x:c r="J453" s="23" t="n">
        <x:v>7211</x:v>
      </x:c>
      <x:c r="K453" s="24" t="n">
        <x:v>0.26265427818610454</x:v>
      </x:c>
      <x:c r="L453" s="24" t="n">
        <x:v>0.012480931909582582</x:v>
      </x:c>
    </x:row>
    <x:row r="454">
      <x:c r="G454" t="str">
        <x:v>BWI-CLE</x:v>
      </x:c>
      <x:c r="H454" t="str">
        <x:v>BWI</x:v>
      </x:c>
      <x:c r="I454" t="str">
        <x:v>CLE</x:v>
      </x:c>
      <x:c r="J454" s="23" t="n">
        <x:v>2985</x:v>
      </x:c>
      <x:c r="K454" s="24" t="n">
        <x:v>0.2626465661641541</x:v>
      </x:c>
      <x:c r="L454" s="24" t="n">
        <x:v>0.011725293132328308</x:v>
      </x:c>
    </x:row>
    <x:row r="455">
      <x:c r="G455" t="str">
        <x:v>AVL-PIE</x:v>
      </x:c>
      <x:c r="H455" t="str">
        <x:v>AVL</x:v>
      </x:c>
      <x:c r="I455" t="str">
        <x:v>PIE</x:v>
      </x:c>
      <x:c r="J455" s="23" t="n">
        <x:v>1436</x:v>
      </x:c>
      <x:c r="K455" s="24" t="n">
        <x:v>0.26253481894150416</x:v>
      </x:c>
      <x:c r="L455" s="24" t="n">
        <x:v>0.01532033426183844</x:v>
      </x:c>
    </x:row>
    <x:row r="456">
      <x:c r="G456" t="str">
        <x:v>PVD-FLL</x:v>
      </x:c>
      <x:c r="H456" t="str">
        <x:v>PVD</x:v>
      </x:c>
      <x:c r="I456" t="str">
        <x:v>FLL</x:v>
      </x:c>
      <x:c r="J456" s="23" t="n">
        <x:v>1516</x:v>
      </x:c>
      <x:c r="K456" s="24" t="n">
        <x:v>0.262532981530343</x:v>
      </x:c>
      <x:c r="L456" s="24" t="n">
        <x:v>0.012532981530343008</x:v>
      </x:c>
    </x:row>
    <x:row r="457">
      <x:c r="G457" t="str">
        <x:v>MIA-TYS</x:v>
      </x:c>
      <x:c r="H457" t="str">
        <x:v>MIA</x:v>
      </x:c>
      <x:c r="I457" t="str">
        <x:v>TYS</x:v>
      </x:c>
      <x:c r="J457" s="23" t="n">
        <x:v>1143</x:v>
      </x:c>
      <x:c r="K457" s="24" t="n">
        <x:v>0.26246719160104987</x:v>
      </x:c>
      <x:c r="L457" s="24" t="n">
        <x:v>0.006124234470691163</x:v>
      </x:c>
    </x:row>
    <x:row r="458">
      <x:c r="G458" t="str">
        <x:v>CLT-MEM</x:v>
      </x:c>
      <x:c r="H458" t="str">
        <x:v>CLT</x:v>
      </x:c>
      <x:c r="I458" t="str">
        <x:v>MEM</x:v>
      </x:c>
      <x:c r="J458" s="23" t="n">
        <x:v>5704</x:v>
      </x:c>
      <x:c r="K458" s="24" t="n">
        <x:v>0.26244740532959326</x:v>
      </x:c>
      <x:c r="L458" s="24" t="n">
        <x:v>0.010869565217391304</x:v>
      </x:c>
    </x:row>
    <x:row r="459">
      <x:c r="G459" t="str">
        <x:v>LIT-DFW</x:v>
      </x:c>
      <x:c r="H459" t="str">
        <x:v>LIT</x:v>
      </x:c>
      <x:c r="I459" t="str">
        <x:v>DFW</x:v>
      </x:c>
      <x:c r="J459" s="23" t="n">
        <x:v>8417</x:v>
      </x:c>
      <x:c r="K459" s="24" t="n">
        <x:v>0.26244505168112153</x:v>
      </x:c>
      <x:c r="L459" s="24" t="n">
        <x:v>0.02364262801473209</x:v>
      </x:c>
    </x:row>
    <x:row r="460">
      <x:c r="G460" t="str">
        <x:v>CLT-CVG</x:v>
      </x:c>
      <x:c r="H460" t="str">
        <x:v>CLT</x:v>
      </x:c>
      <x:c r="I460" t="str">
        <x:v>CVG</x:v>
      </x:c>
      <x:c r="J460" s="23" t="n">
        <x:v>5994</x:v>
      </x:c>
      <x:c r="K460" s="24" t="n">
        <x:v>0.2624290957624291</x:v>
      </x:c>
      <x:c r="L460" s="24" t="n">
        <x:v>0.011344678011344677</x:v>
      </x:c>
    </x:row>
    <x:row r="461">
      <x:c r="G461" t="str">
        <x:v>ORD-RIC</x:v>
      </x:c>
      <x:c r="H461" t="str">
        <x:v>ORD</x:v>
      </x:c>
      <x:c r="I461" t="str">
        <x:v>RIC</x:v>
      </x:c>
      <x:c r="J461" s="23" t="n">
        <x:v>3152</x:v>
      </x:c>
      <x:c r="K461" s="24" t="n">
        <x:v>0.2623730964467005</x:v>
      </x:c>
      <x:c r="L461" s="24" t="n">
        <x:v>0.014276649746192893</x:v>
      </x:c>
    </x:row>
    <x:row r="462">
      <x:c r="G462" t="str">
        <x:v>MCO-BDL</x:v>
      </x:c>
      <x:c r="H462" t="str">
        <x:v>MCO</x:v>
      </x:c>
      <x:c r="I462" t="str">
        <x:v>BDL</x:v>
      </x:c>
      <x:c r="J462" s="23" t="n">
        <x:v>6007</x:v>
      </x:c>
      <x:c r="K462" s="24" t="n">
        <x:v>0.26219410687531214</x:v>
      </x:c>
      <x:c r="L462" s="24" t="n">
        <x:v>0.012318961211919428</x:v>
      </x:c>
    </x:row>
    <x:row r="463">
      <x:c r="G463" t="str">
        <x:v>MCO-MYR</x:v>
      </x:c>
      <x:c r="H463" t="str">
        <x:v>MCO</x:v>
      </x:c>
      <x:c r="I463" t="str">
        <x:v>MYR</x:v>
      </x:c>
      <x:c r="J463" s="23" t="n">
        <x:v>1297</x:v>
      </x:c>
      <x:c r="K463" s="24" t="n">
        <x:v>0.26214340786430224</x:v>
      </x:c>
      <x:c r="L463" s="24" t="n">
        <x:v>0.016962220508866616</x:v>
      </x:c>
    </x:row>
    <x:row r="464">
      <x:c r="G464" t="str">
        <x:v>RIC-DFW</x:v>
      </x:c>
      <x:c r="H464" t="str">
        <x:v>RIC</x:v>
      </x:c>
      <x:c r="I464" t="str">
        <x:v>DFW</x:v>
      </x:c>
      <x:c r="J464" s="23" t="n">
        <x:v>3029</x:v>
      </x:c>
      <x:c r="K464" s="24" t="n">
        <x:v>0.2621327170683394</x:v>
      </x:c>
      <x:c r="L464" s="24" t="n">
        <x:v>0.019808517662594914</x:v>
      </x:c>
    </x:row>
    <x:row r="465">
      <x:c r="G465" t="str">
        <x:v>ATL-SFO</x:v>
      </x:c>
      <x:c r="H465" t="str">
        <x:v>ATL</x:v>
      </x:c>
      <x:c r="I465" t="str">
        <x:v>SFO</x:v>
      </x:c>
      <x:c r="J465" s="23" t="n">
        <x:v>9713</x:v>
      </x:c>
      <x:c r="K465" s="24" t="n">
        <x:v>0.2621229280345928</x:v>
      </x:c>
      <x:c r="L465" s="24" t="n">
        <x:v>0.00885411304437352</x:v>
      </x:c>
    </x:row>
    <x:row r="466">
      <x:c r="G466" t="str">
        <x:v>DEN-CHS</x:v>
      </x:c>
      <x:c r="H466" t="str">
        <x:v>DEN</x:v>
      </x:c>
      <x:c r="I466" t="str">
        <x:v>CHS</x:v>
      </x:c>
      <x:c r="J466" s="23" t="n">
        <x:v>2068</x:v>
      </x:c>
      <x:c r="K466" s="24" t="n">
        <x:v>0.2620889748549323</x:v>
      </x:c>
      <x:c r="L466" s="24" t="n">
        <x:v>0.005802707930367505</x:v>
      </x:c>
    </x:row>
    <x:row r="467">
      <x:c r="G467" t="str">
        <x:v>LAS-OMA</x:v>
      </x:c>
      <x:c r="H467" t="str">
        <x:v>LAS</x:v>
      </x:c>
      <x:c r="I467" t="str">
        <x:v>OMA</x:v>
      </x:c>
      <x:c r="J467" s="23" t="n">
        <x:v>3300</x:v>
      </x:c>
      <x:c r="K467" s="24" t="n">
        <x:v>0.26181818181818184</x:v>
      </x:c>
      <x:c r="L467" s="24" t="n">
        <x:v>0.00787878787878788</x:v>
      </x:c>
    </x:row>
    <x:row r="468">
      <x:c r="G468" t="str">
        <x:v>LAS-HNL</x:v>
      </x:c>
      <x:c r="H468" t="str">
        <x:v>LAS</x:v>
      </x:c>
      <x:c r="I468" t="str">
        <x:v>HNL</x:v>
      </x:c>
      <x:c r="J468" s="23" t="n">
        <x:v>5184</x:v>
      </x:c>
      <x:c r="K468" s="24" t="n">
        <x:v>0.26176697530864196</x:v>
      </x:c>
      <x:c r="L468" s="24" t="n">
        <x:v>0.001736111111111111</x:v>
      </x:c>
    </x:row>
    <x:row r="469">
      <x:c r="G469" t="str">
        <x:v>BWI-CMH</x:v>
      </x:c>
      <x:c r="H469" t="str">
        <x:v>BWI</x:v>
      </x:c>
      <x:c r="I469" t="str">
        <x:v>CMH</x:v>
      </x:c>
      <x:c r="J469" s="23" t="n">
        <x:v>3255</x:v>
      </x:c>
      <x:c r="K469" s="24" t="n">
        <x:v>0.26175115207373273</x:v>
      </x:c>
      <x:c r="L469" s="24" t="n">
        <x:v>0.007987711213517665</x:v>
      </x:c>
    </x:row>
    <x:row r="470">
      <x:c r="G470" t="str">
        <x:v>SEA-ABQ</x:v>
      </x:c>
      <x:c r="H470" t="str">
        <x:v>SEA</x:v>
      </x:c>
      <x:c r="I470" t="str">
        <x:v>ABQ</x:v>
      </x:c>
      <x:c r="J470" s="23" t="n">
        <x:v>1456</x:v>
      </x:c>
      <x:c r="K470" s="24" t="n">
        <x:v>0.2616758241758242</x:v>
      </x:c>
      <x:c r="L470" s="24" t="n">
        <x:v>0.0027472527472527475</x:v>
      </x:c>
    </x:row>
    <x:row r="471">
      <x:c r="G471" t="str">
        <x:v>ATL-LAS</x:v>
      </x:c>
      <x:c r="H471" t="str">
        <x:v>ATL</x:v>
      </x:c>
      <x:c r="I471" t="str">
        <x:v>LAS</x:v>
      </x:c>
      <x:c r="J471" s="23" t="n">
        <x:v>15033</x:v>
      </x:c>
      <x:c r="K471" s="24" t="n">
        <x:v>0.2616244262622231</x:v>
      </x:c>
      <x:c r="L471" s="24" t="n">
        <x:v>0.009445885718086876</x:v>
      </x:c>
    </x:row>
    <x:row r="472">
      <x:c r="G472" t="str">
        <x:v>JAC-ORD</x:v>
      </x:c>
      <x:c r="H472" t="str">
        <x:v>JAC</x:v>
      </x:c>
      <x:c r="I472" t="str">
        <x:v>ORD</x:v>
      </x:c>
      <x:c r="J472" s="23" t="n">
        <x:v>2076</x:v>
      </x:c>
      <x:c r="K472" s="24" t="n">
        <x:v>0.2615606936416185</x:v>
      </x:c>
      <x:c r="L472" s="24" t="n">
        <x:v>0.010115606936416185</x:v>
      </x:c>
    </x:row>
    <x:row r="473">
      <x:c r="G473" t="str">
        <x:v>MCO-CMH</x:v>
      </x:c>
      <x:c r="H473" t="str">
        <x:v>MCO</x:v>
      </x:c>
      <x:c r="I473" t="str">
        <x:v>CMH</x:v>
      </x:c>
      <x:c r="J473" s="23" t="n">
        <x:v>6654</x:v>
      </x:c>
      <x:c r="K473" s="24" t="n">
        <x:v>0.26149684400360684</x:v>
      </x:c>
      <x:c r="L473" s="24" t="n">
        <x:v>0.010670273519687407</x:v>
      </x:c>
    </x:row>
    <x:row r="474">
      <x:c r="G474" t="str">
        <x:v>MCO-DCA</x:v>
      </x:c>
      <x:c r="H474" t="str">
        <x:v>MCO</x:v>
      </x:c>
      <x:c r="I474" t="str">
        <x:v>DCA</x:v>
      </x:c>
      <x:c r="J474" s="23" t="n">
        <x:v>14059</x:v>
      </x:c>
      <x:c r="K474" s="24" t="n">
        <x:v>0.2614695213030799</x:v>
      </x:c>
      <x:c r="L474" s="24" t="n">
        <x:v>0.014723664556511843</x:v>
      </x:c>
    </x:row>
    <x:row r="475">
      <x:c r="G475" t="str">
        <x:v>GRR-MCO</x:v>
      </x:c>
      <x:c r="H475" t="str">
        <x:v>GRR</x:v>
      </x:c>
      <x:c r="I475" t="str">
        <x:v>MCO</x:v>
      </x:c>
      <x:c r="J475" s="23" t="n">
        <x:v>1266</x:v>
      </x:c>
      <x:c r="K475" s="24" t="n">
        <x:v>0.26145339652448657</x:v>
      </x:c>
      <x:c r="L475" s="24" t="n">
        <x:v>0.019747235387045814</x:v>
      </x:c>
    </x:row>
    <x:row r="476">
      <x:c r="G476" t="str">
        <x:v>SFO-SAN</x:v>
      </x:c>
      <x:c r="H476" t="str">
        <x:v>SFO</x:v>
      </x:c>
      <x:c r="I476" t="str">
        <x:v>SAN</x:v>
      </x:c>
      <x:c r="J476" s="23" t="n">
        <x:v>19233</x:v>
      </x:c>
      <x:c r="K476" s="24" t="n">
        <x:v>0.2614256746217439</x:v>
      </x:c>
      <x:c r="L476" s="24" t="n">
        <x:v>0.01169864295741694</x:v>
      </x:c>
    </x:row>
    <x:row r="477">
      <x:c r="G477" t="str">
        <x:v>EWR-ORD</x:v>
      </x:c>
      <x:c r="H477" t="str">
        <x:v>EWR</x:v>
      </x:c>
      <x:c r="I477" t="str">
        <x:v>ORD</x:v>
      </x:c>
      <x:c r="J477" s="23" t="n">
        <x:v>17634</x:v>
      </x:c>
      <x:c r="K477" s="24" t="n">
        <x:v>0.26131337189520243</x:v>
      </x:c>
      <x:c r="L477" s="24" t="n">
        <x:v>0.024101168197799706</x:v>
      </x:c>
    </x:row>
    <x:row r="478">
      <x:c r="G478" t="str">
        <x:v>FLL-LGA</x:v>
      </x:c>
      <x:c r="H478" t="str">
        <x:v>FLL</x:v>
      </x:c>
      <x:c r="I478" t="str">
        <x:v>LGA</x:v>
      </x:c>
      <x:c r="J478" s="23" t="n">
        <x:v>13600</x:v>
      </x:c>
      <x:c r="K478" s="24" t="n">
        <x:v>0.2611029411764706</x:v>
      </x:c>
      <x:c r="L478" s="24" t="n">
        <x:v>0.021102941176470588</x:v>
      </x:c>
    </x:row>
    <x:row r="479">
      <x:c r="G479" t="str">
        <x:v>TPA-SEA</x:v>
      </x:c>
      <x:c r="H479" t="str">
        <x:v>TPA</x:v>
      </x:c>
      <x:c r="I479" t="str">
        <x:v>SEA</x:v>
      </x:c>
      <x:c r="J479" s="23" t="n">
        <x:v>3103</x:v>
      </x:c>
      <x:c r="K479" s="24" t="n">
        <x:v>0.26103770544634225</x:v>
      </x:c>
      <x:c r="L479" s="24" t="n">
        <x:v>0.013857557202707057</x:v>
      </x:c>
    </x:row>
    <x:row r="480">
      <x:c r="G480" t="str">
        <x:v>CLE-TPA</x:v>
      </x:c>
      <x:c r="H480" t="str">
        <x:v>CLE</x:v>
      </x:c>
      <x:c r="I480" t="str">
        <x:v>TPA</x:v>
      </x:c>
      <x:c r="J480" s="23" t="n">
        <x:v>3166</x:v>
      </x:c>
      <x:c r="K480" s="24" t="n">
        <x:v>0.260897030953885</x:v>
      </x:c>
      <x:c r="L480" s="24" t="n">
        <x:v>0.023057485786481365</x:v>
      </x:c>
    </x:row>
    <x:row r="481">
      <x:c r="G481" t="str">
        <x:v>EWR-SFO</x:v>
      </x:c>
      <x:c r="H481" t="str">
        <x:v>EWR</x:v>
      </x:c>
      <x:c r="I481" t="str">
        <x:v>SFO</x:v>
      </x:c>
      <x:c r="J481" s="23" t="n">
        <x:v>12631</x:v>
      </x:c>
      <x:c r="K481" s="24" t="n">
        <x:v>0.2607869527353337</x:v>
      </x:c>
      <x:c r="L481" s="24" t="n">
        <x:v>0.018921700577943155</x:v>
      </x:c>
    </x:row>
    <x:row r="482">
      <x:c r="G482" t="str">
        <x:v>RDU-PHL</x:v>
      </x:c>
      <x:c r="H482" t="str">
        <x:v>RDU</x:v>
      </x:c>
      <x:c r="I482" t="str">
        <x:v>PHL</x:v>
      </x:c>
      <x:c r="J482" s="23" t="n">
        <x:v>6827</x:v>
      </x:c>
      <x:c r="K482" s="24" t="n">
        <x:v>0.2607294565695034</x:v>
      </x:c>
      <x:c r="L482" s="24" t="n">
        <x:v>0.02050681119085982</x:v>
      </x:c>
    </x:row>
    <x:row r="483">
      <x:c r="G483" t="str">
        <x:v>PBI-DCA</x:v>
      </x:c>
      <x:c r="H483" t="str">
        <x:v>PBI</x:v>
      </x:c>
      <x:c r="I483" t="str">
        <x:v>DCA</x:v>
      </x:c>
      <x:c r="J483" s="23" t="n">
        <x:v>5109</x:v>
      </x:c>
      <x:c r="K483" s="24" t="n">
        <x:v>0.26071638285378745</x:v>
      </x:c>
      <x:c r="L483" s="24" t="n">
        <x:v>0.014288510471716578</x:v>
      </x:c>
    </x:row>
    <x:row r="484">
      <x:c r="G484" t="str">
        <x:v>ORD-ATW</x:v>
      </x:c>
      <x:c r="H484" t="str">
        <x:v>ORD</x:v>
      </x:c>
      <x:c r="I484" t="str">
        <x:v>ATW</x:v>
      </x:c>
      <x:c r="J484" s="23" t="n">
        <x:v>5508</x:v>
      </x:c>
      <x:c r="K484" s="24" t="n">
        <x:v>0.2607116920842411</x:v>
      </x:c>
      <x:c r="L484" s="24" t="n">
        <x:v>0.01978939724037763</x:v>
      </x:c>
    </x:row>
    <x:row r="485">
      <x:c r="G485" t="str">
        <x:v>DEN-ASE</x:v>
      </x:c>
      <x:c r="H485" t="str">
        <x:v>DEN</x:v>
      </x:c>
      <x:c r="I485" t="str">
        <x:v>ASE</x:v>
      </x:c>
      <x:c r="J485" s="23" t="n">
        <x:v>8007</x:v>
      </x:c>
      <x:c r="K485" s="24" t="n">
        <x:v>0.2606469339328088</x:v>
      </x:c>
      <x:c r="L485" s="24" t="n">
        <x:v>0.06044710877981766</x:v>
      </x:c>
    </x:row>
    <x:row r="486">
      <x:c r="G486" t="str">
        <x:v>DEN-GRR</x:v>
      </x:c>
      <x:c r="H486" t="str">
        <x:v>DEN</x:v>
      </x:c>
      <x:c r="I486" t="str">
        <x:v>GRR</x:v>
      </x:c>
      <x:c r="J486" s="23" t="n">
        <x:v>3784</x:v>
      </x:c>
      <x:c r="K486" s="24" t="n">
        <x:v>0.2605708245243129</x:v>
      </x:c>
      <x:c r="L486" s="24" t="n">
        <x:v>0.004228329809725159</x:v>
      </x:c>
    </x:row>
    <x:row r="487">
      <x:c r="G487" t="str">
        <x:v>CLT-BWI</x:v>
      </x:c>
      <x:c r="H487" t="str">
        <x:v>CLT</x:v>
      </x:c>
      <x:c r="I487" t="str">
        <x:v>BWI</x:v>
      </x:c>
      <x:c r="J487" s="23" t="n">
        <x:v>9119</x:v>
      </x:c>
      <x:c r="K487" s="24" t="n">
        <x:v>0.2605548854041013</x:v>
      </x:c>
      <x:c r="L487" s="24" t="n">
        <x:v>0.01348832108783858</x:v>
      </x:c>
    </x:row>
    <x:row r="488">
      <x:c r="G488" t="str">
        <x:v>TVC-ORD</x:v>
      </x:c>
      <x:c r="H488" t="str">
        <x:v>TVC</x:v>
      </x:c>
      <x:c r="I488" t="str">
        <x:v>ORD</x:v>
      </x:c>
      <x:c r="J488" s="23" t="n">
        <x:v>5267</x:v>
      </x:c>
      <x:c r="K488" s="24" t="n">
        <x:v>0.26048984241503703</x:v>
      </x:c>
      <x:c r="L488" s="24" t="n">
        <x:v>0.024302259350674007</x:v>
      </x:c>
    </x:row>
    <x:row r="489">
      <x:c r="G489" t="str">
        <x:v>ATW-ORD</x:v>
      </x:c>
      <x:c r="H489" t="str">
        <x:v>ATW</x:v>
      </x:c>
      <x:c r="I489" t="str">
        <x:v>ORD</x:v>
      </x:c>
      <x:c r="J489" s="23" t="n">
        <x:v>5510</x:v>
      </x:c>
      <x:c r="K489" s="24" t="n">
        <x:v>0.2604355716878403</x:v>
      </x:c>
      <x:c r="L489" s="24" t="n">
        <x:v>0.02323049001814882</x:v>
      </x:c>
    </x:row>
    <x:row r="490">
      <x:c r="G490" t="str">
        <x:v>DEN-BUR</x:v>
      </x:c>
      <x:c r="H490" t="str">
        <x:v>DEN</x:v>
      </x:c>
      <x:c r="I490" t="str">
        <x:v>BUR</x:v>
      </x:c>
      <x:c r="J490" s="23" t="n">
        <x:v>6040</x:v>
      </x:c>
      <x:c r="K490" s="24" t="n">
        <x:v>0.26026490066225166</x:v>
      </x:c>
      <x:c r="L490" s="24" t="n">
        <x:v>0.006788079470198676</x:v>
      </x:c>
    </x:row>
    <x:row r="491">
      <x:c r="G491" t="str">
        <x:v>BWI-DAL</x:v>
      </x:c>
      <x:c r="H491" t="str">
        <x:v>BWI</x:v>
      </x:c>
      <x:c r="I491" t="str">
        <x:v>DAL</x:v>
      </x:c>
      <x:c r="J491" s="23" t="n">
        <x:v>5449</x:v>
      </x:c>
      <x:c r="K491" s="24" t="n">
        <x:v>0.26023123508900714</x:v>
      </x:c>
      <x:c r="L491" s="24" t="n">
        <x:v>0.015415672600477152</x:v>
      </x:c>
    </x:row>
    <x:row r="492">
      <x:c r="G492" t="str">
        <x:v>MCO-CVG</x:v>
      </x:c>
      <x:c r="H492" t="str">
        <x:v>MCO</x:v>
      </x:c>
      <x:c r="I492" t="str">
        <x:v>CVG</x:v>
      </x:c>
      <x:c r="J492" s="23" t="n">
        <x:v>5211</x:v>
      </x:c>
      <x:c r="K492" s="24" t="n">
        <x:v>0.2602187679907887</x:v>
      </x:c>
      <x:c r="L492" s="24" t="n">
        <x:v>0.010746497793129918</x:v>
      </x:c>
    </x:row>
    <x:row r="493">
      <x:c r="G493" t="str">
        <x:v>HPN-DCA</x:v>
      </x:c>
      <x:c r="H493" t="str">
        <x:v>HPN</x:v>
      </x:c>
      <x:c r="I493" t="str">
        <x:v>DCA</x:v>
      </x:c>
      <x:c r="J493" s="23" t="n">
        <x:v>4060</x:v>
      </x:c>
      <x:c r="K493" s="24" t="n">
        <x:v>0.2600985221674877</x:v>
      </x:c>
      <x:c r="L493" s="24" t="n">
        <x:v>0.038177339901477834</x:v>
      </x:c>
    </x:row>
    <x:row r="494">
      <x:c r="G494" t="str">
        <x:v>ORD-BOS</x:v>
      </x:c>
      <x:c r="H494" t="str">
        <x:v>ORD</x:v>
      </x:c>
      <x:c r="I494" t="str">
        <x:v>BOS</x:v>
      </x:c>
      <x:c r="J494" s="23" t="n">
        <x:v>20451</x:v>
      </x:c>
      <x:c r="K494" s="24" t="n">
        <x:v>0.2600361840496797</x:v>
      </x:c>
      <x:c r="L494" s="24" t="n">
        <x:v>0.014278030414160677</x:v>
      </x:c>
    </x:row>
    <x:row r="495">
      <x:c r="G495" t="str">
        <x:v>JFK-DEN</x:v>
      </x:c>
      <x:c r="H495" t="str">
        <x:v>JFK</x:v>
      </x:c>
      <x:c r="I495" t="str">
        <x:v>DEN</x:v>
      </x:c>
      <x:c r="J495" s="23" t="n">
        <x:v>4575</x:v>
      </x:c>
      <x:c r="K495" s="24" t="n">
        <x:v>0.25989071038251366</x:v>
      </x:c>
      <x:c r="L495" s="24" t="n">
        <x:v>0.018797814207650275</x:v>
      </x:c>
    </x:row>
    <x:row r="496">
      <x:c r="G496" t="str">
        <x:v>MCO-DTW</x:v>
      </x:c>
      <x:c r="H496" t="str">
        <x:v>MCO</x:v>
      </x:c>
      <x:c r="I496" t="str">
        <x:v>DTW</x:v>
      </x:c>
      <x:c r="J496" s="23" t="n">
        <x:v>11817</x:v>
      </x:c>
      <x:c r="K496" s="24" t="n">
        <x:v>0.25962596259625964</x:v>
      </x:c>
      <x:c r="L496" s="24" t="n">
        <x:v>0.010577980875010579</x:v>
      </x:c>
    </x:row>
    <x:row r="497">
      <x:c r="G497" t="str">
        <x:v>ORD-AVP</x:v>
      </x:c>
      <x:c r="H497" t="str">
        <x:v>ORD</x:v>
      </x:c>
      <x:c r="I497" t="str">
        <x:v>AVP</x:v>
      </x:c>
      <x:c r="J497" s="23" t="n">
        <x:v>1926</x:v>
      </x:c>
      <x:c r="K497" s="24" t="n">
        <x:v>0.25960539979231567</x:v>
      </x:c>
      <x:c r="L497" s="24" t="n">
        <x:v>0.017133956386292833</x:v>
      </x:c>
    </x:row>
    <x:row r="498">
      <x:c r="G498" t="str">
        <x:v>ATL-JFK</x:v>
      </x:c>
      <x:c r="H498" t="str">
        <x:v>ATL</x:v>
      </x:c>
      <x:c r="I498" t="str">
        <x:v>JFK</x:v>
      </x:c>
      <x:c r="J498" s="23" t="n">
        <x:v>11618</x:v>
      </x:c>
      <x:c r="K498" s="24" t="n">
        <x:v>0.25951110346014805</x:v>
      </x:c>
      <x:c r="L498" s="24" t="n">
        <x:v>0.012222413496298847</x:v>
      </x:c>
    </x:row>
    <x:row r="499">
      <x:c r="G499" t="str">
        <x:v>RST-ORD</x:v>
      </x:c>
      <x:c r="H499" t="str">
        <x:v>RST</x:v>
      </x:c>
      <x:c r="I499" t="str">
        <x:v>ORD</x:v>
      </x:c>
      <x:c r="J499" s="23" t="n">
        <x:v>1685</x:v>
      </x:c>
      <x:c r="K499" s="24" t="n">
        <x:v>0.2593471810089021</x:v>
      </x:c>
      <x:c r="L499" s="24" t="n">
        <x:v>0.022551928783382788</x:v>
      </x:c>
    </x:row>
    <x:row r="500">
      <x:c r="G500" t="str">
        <x:v>SLC-SFO</x:v>
      </x:c>
      <x:c r="H500" t="str">
        <x:v>SLC</x:v>
      </x:c>
      <x:c r="I500" t="str">
        <x:v>SFO</x:v>
      </x:c>
      <x:c r="J500" s="23" t="n">
        <x:v>10575</x:v>
      </x:c>
      <x:c r="K500" s="24" t="n">
        <x:v>0.259290780141844</x:v>
      </x:c>
      <x:c r="L500" s="24" t="n">
        <x:v>0.0070921985815602835</x:v>
      </x:c>
    </x:row>
    <x:row r="501">
      <x:c r="G501" t="str">
        <x:v>AVL-SFB</x:v>
      </x:c>
      <x:c r="H501" t="str">
        <x:v>AVL</x:v>
      </x:c>
      <x:c r="I501" t="str">
        <x:v>SFB</x:v>
      </x:c>
      <x:c r="J501" s="23" t="n">
        <x:v>1508</x:v>
      </x:c>
      <x:c r="K501" s="24" t="n">
        <x:v>0.2592838196286472</x:v>
      </x:c>
      <x:c r="L501" s="24" t="n">
        <x:v>0.012599469496021221</x:v>
      </x:c>
    </x:row>
    <x:row r="502">
      <x:c r="G502" t="str">
        <x:v>CHO-ORD</x:v>
      </x:c>
      <x:c r="H502" t="str">
        <x:v>CHO</x:v>
      </x:c>
      <x:c r="I502" t="str">
        <x:v>ORD</x:v>
      </x:c>
      <x:c r="J502" s="23" t="n">
        <x:v>1759</x:v>
      </x:c>
      <x:c r="K502" s="24" t="n">
        <x:v>0.25923820352473</x:v>
      </x:c>
      <x:c r="L502" s="24" t="n">
        <x:v>0.02160318362706083</x:v>
      </x:c>
    </x:row>
    <x:row r="503">
      <x:c r="G503" t="str">
        <x:v>CLT-MSN</x:v>
      </x:c>
      <x:c r="H503" t="str">
        <x:v>CLT</x:v>
      </x:c>
      <x:c r="I503" t="str">
        <x:v>MSN</x:v>
      </x:c>
      <x:c r="J503" s="23" t="n">
        <x:v>2843</x:v>
      </x:c>
      <x:c r="K503" s="24" t="n">
        <x:v>0.25923320436158986</x:v>
      </x:c>
      <x:c r="L503" s="24" t="n">
        <x:v>0.00809004572634541</x:v>
      </x:c>
    </x:row>
    <x:row r="504">
      <x:c r="G504" t="str">
        <x:v>CLT-SDF</x:v>
      </x:c>
      <x:c r="H504" t="str">
        <x:v>CLT</x:v>
      </x:c>
      <x:c r="I504" t="str">
        <x:v>SDF</x:v>
      </x:c>
      <x:c r="J504" s="23" t="n">
        <x:v>5613</x:v>
      </x:c>
      <x:c r="K504" s="24" t="n">
        <x:v>0.259219668626403</x:v>
      </x:c>
      <x:c r="L504" s="24" t="n">
        <x:v>0.014074469980402637</x:v>
      </x:c>
    </x:row>
    <x:row r="505">
      <x:c r="G505" t="str">
        <x:v>ORF-DFW</x:v>
      </x:c>
      <x:c r="H505" t="str">
        <x:v>ORF</x:v>
      </x:c>
      <x:c r="I505" t="str">
        <x:v>DFW</x:v>
      </x:c>
      <x:c r="J505" s="23" t="n">
        <x:v>3013</x:v>
      </x:c>
      <x:c r="K505" s="24" t="n">
        <x:v>0.2592100896116827</x:v>
      </x:c>
      <x:c r="L505" s="24" t="n">
        <x:v>0.024228343843345504</x:v>
      </x:c>
    </x:row>
    <x:row r="506">
      <x:c r="G506" t="str">
        <x:v>ORF-MCO</x:v>
      </x:c>
      <x:c r="H506" t="str">
        <x:v>ORF</x:v>
      </x:c>
      <x:c r="I506" t="str">
        <x:v>MCO</x:v>
      </x:c>
      <x:c r="J506" s="23" t="n">
        <x:v>2284</x:v>
      </x:c>
      <x:c r="K506" s="24" t="n">
        <x:v>0.2591943957968476</x:v>
      </x:c>
      <x:c r="L506" s="24" t="n">
        <x:v>0.014010507880910683</x:v>
      </x:c>
    </x:row>
    <x:row r="507">
      <x:c r="G507" t="str">
        <x:v>BWI-MSY</x:v>
      </x:c>
      <x:c r="H507" t="str">
        <x:v>BWI</x:v>
      </x:c>
      <x:c r="I507" t="str">
        <x:v>MSY</x:v>
      </x:c>
      <x:c r="J507" s="23" t="n">
        <x:v>3322</x:v>
      </x:c>
      <x:c r="K507" s="24" t="n">
        <x:v>0.2591812161348585</x:v>
      </x:c>
      <x:c r="L507" s="24" t="n">
        <x:v>0.009933774834437087</x:v>
      </x:c>
    </x:row>
    <x:row r="508">
      <x:c r="G508" t="str">
        <x:v>IAH-BOS</x:v>
      </x:c>
      <x:c r="H508" t="str">
        <x:v>IAH</x:v>
      </x:c>
      <x:c r="I508" t="str">
        <x:v>BOS</x:v>
      </x:c>
      <x:c r="J508" s="23" t="n">
        <x:v>5873</x:v>
      </x:c>
      <x:c r="K508" s="24" t="n">
        <x:v>0.25915205176230205</x:v>
      </x:c>
      <x:c r="L508" s="24" t="n">
        <x:v>0.013281116975991826</x:v>
      </x:c>
    </x:row>
    <x:row r="509">
      <x:c r="G509" t="str">
        <x:v>FLL-PHL</x:v>
      </x:c>
      <x:c r="H509" t="str">
        <x:v>FLL</x:v>
      </x:c>
      <x:c r="I509" t="str">
        <x:v>PHL</x:v>
      </x:c>
      <x:c r="J509" s="23" t="n">
        <x:v>7926</x:v>
      </x:c>
      <x:c r="K509" s="24" t="n">
        <x:v>0.2591471107746657</x:v>
      </x:c>
      <x:c r="L509" s="24" t="n">
        <x:v>0.018420388594499116</x:v>
      </x:c>
    </x:row>
    <x:row r="510">
      <x:c r="G510" t="str">
        <x:v>LAS-OAK</x:v>
      </x:c>
      <x:c r="H510" t="str">
        <x:v>LAS</x:v>
      </x:c>
      <x:c r="I510" t="str">
        <x:v>OAK</x:v>
      </x:c>
      <x:c r="J510" s="23" t="n">
        <x:v>13860</x:v>
      </x:c>
      <x:c r="K510" s="24" t="n">
        <x:v>0.2590909090909091</x:v>
      </x:c>
      <x:c r="L510" s="24" t="n">
        <x:v>0.007503607503607504</x:v>
      </x:c>
    </x:row>
    <x:row r="511">
      <x:c r="G511" t="str">
        <x:v>MCI-FLL</x:v>
      </x:c>
      <x:c r="H511" t="str">
        <x:v>MCI</x:v>
      </x:c>
      <x:c r="I511" t="str">
        <x:v>FLL</x:v>
      </x:c>
      <x:c r="J511" s="23" t="n">
        <x:v>1598</x:v>
      </x:c>
      <x:c r="K511" s="24" t="n">
        <x:v>0.2590738423028786</x:v>
      </x:c>
      <x:c r="L511" s="24" t="n">
        <x:v>0.010012515644555695</x:v>
      </x:c>
    </x:row>
    <x:row r="512">
      <x:c r="G512" t="str">
        <x:v>RSW-BOS</x:v>
      </x:c>
      <x:c r="H512" t="str">
        <x:v>RSW</x:v>
      </x:c>
      <x:c r="I512" t="str">
        <x:v>BOS</x:v>
      </x:c>
      <x:c r="J512" s="23" t="n">
        <x:v>6319</x:v>
      </x:c>
      <x:c r="K512" s="24" t="n">
        <x:v>0.25905997784459567</x:v>
      </x:c>
      <x:c r="L512" s="24" t="n">
        <x:v>0.019306852350055387</x:v>
      </x:c>
    </x:row>
    <x:row r="513">
      <x:c r="G513" t="str">
        <x:v>CLT-VPS</x:v>
      </x:c>
      <x:c r="H513" t="str">
        <x:v>CLT</x:v>
      </x:c>
      <x:c r="I513" t="str">
        <x:v>VPS</x:v>
      </x:c>
      <x:c r="J513" s="23" t="n">
        <x:v>3397</x:v>
      </x:c>
      <x:c r="K513" s="24" t="n">
        <x:v>0.2590521047983515</x:v>
      </x:c>
      <x:c r="L513" s="24" t="n">
        <x:v>0.010303208713570797</x:v>
      </x:c>
    </x:row>
    <x:row r="514">
      <x:c r="G514" t="str">
        <x:v>ORD-CRW</x:v>
      </x:c>
      <x:c r="H514" t="str">
        <x:v>ORD</x:v>
      </x:c>
      <x:c r="I514" t="str">
        <x:v>CRW</x:v>
      </x:c>
      <x:c r="J514" s="23" t="n">
        <x:v>2746</x:v>
      </x:c>
      <x:c r="K514" s="24" t="n">
        <x:v>0.25892206846321925</x:v>
      </x:c>
      <x:c r="L514" s="24" t="n">
        <x:v>0.01930080116533139</x:v>
      </x:c>
    </x:row>
    <x:row r="515">
      <x:c r="G515" t="str">
        <x:v>MRY-DFW</x:v>
      </x:c>
      <x:c r="H515" t="str">
        <x:v>MRY</x:v>
      </x:c>
      <x:c r="I515" t="str">
        <x:v>DFW</x:v>
      </x:c>
      <x:c r="J515" s="23" t="n">
        <x:v>1464</x:v>
      </x:c>
      <x:c r="K515" s="24" t="n">
        <x:v>0.258879781420765</x:v>
      </x:c>
      <x:c r="L515" s="24" t="n">
        <x:v>0.01639344262295082</x:v>
      </x:c>
    </x:row>
    <x:row r="516">
      <x:c r="G516" t="str">
        <x:v>BWI-MKE</x:v>
      </x:c>
      <x:c r="H516" t="str">
        <x:v>BWI</x:v>
      </x:c>
      <x:c r="I516" t="str">
        <x:v>MKE</x:v>
      </x:c>
      <x:c r="J516" s="23" t="n">
        <x:v>2600</x:v>
      </x:c>
      <x:c r="K516" s="24" t="n">
        <x:v>0.25884615384615384</x:v>
      </x:c>
      <x:c r="L516" s="24" t="n">
        <x:v>0.009230769230769232</x:v>
      </x:c>
    </x:row>
    <x:row r="517">
      <x:c r="G517" t="str">
        <x:v>ORD-SFO</x:v>
      </x:c>
      <x:c r="H517" t="str">
        <x:v>ORD</x:v>
      </x:c>
      <x:c r="I517" t="str">
        <x:v>SFO</x:v>
      </x:c>
      <x:c r="J517" s="23" t="n">
        <x:v>15115</x:v>
      </x:c>
      <x:c r="K517" s="24" t="n">
        <x:v>0.25881574594773404</x:v>
      </x:c>
      <x:c r="L517" s="24" t="n">
        <x:v>0.010453192193185577</x:v>
      </x:c>
    </x:row>
    <x:row r="518">
      <x:c r="G518" t="str">
        <x:v>BWI-JAX</x:v>
      </x:c>
      <x:c r="H518" t="str">
        <x:v>BWI</x:v>
      </x:c>
      <x:c r="I518" t="str">
        <x:v>JAX</x:v>
      </x:c>
      <x:c r="J518" s="23" t="n">
        <x:v>4233</x:v>
      </x:c>
      <x:c r="K518" s="24" t="n">
        <x:v>0.258681785967399</x:v>
      </x:c>
      <x:c r="L518" s="24" t="n">
        <x:v>0.009922041105598866</x:v>
      </x:c>
    </x:row>
    <x:row r="519">
      <x:c r="G519" t="str">
        <x:v>DEN-MFR</x:v>
      </x:c>
      <x:c r="H519" t="str">
        <x:v>DEN</x:v>
      </x:c>
      <x:c r="I519" t="str">
        <x:v>MFR</x:v>
      </x:c>
      <x:c r="J519" s="23" t="n">
        <x:v>2192</x:v>
      </x:c>
      <x:c r="K519" s="24" t="n">
        <x:v>0.25866788321167883</x:v>
      </x:c>
      <x:c r="L519" s="24" t="n">
        <x:v>0.005018248175182482</x:v>
      </x:c>
    </x:row>
    <x:row r="520">
      <x:c r="G520" t="str">
        <x:v>ORF-BOS</x:v>
      </x:c>
      <x:c r="H520" t="str">
        <x:v>ORF</x:v>
      </x:c>
      <x:c r="I520" t="str">
        <x:v>BOS</x:v>
      </x:c>
      <x:c r="J520" s="23" t="n">
        <x:v>1087</x:v>
      </x:c>
      <x:c r="K520" s="24" t="n">
        <x:v>0.25850965961361544</x:v>
      </x:c>
      <x:c r="L520" s="24" t="n">
        <x:v>0.021159153633854646</x:v>
      </x:c>
    </x:row>
    <x:row r="521">
      <x:c r="G521" t="str">
        <x:v>ORD-FAR</x:v>
      </x:c>
      <x:c r="H521" t="str">
        <x:v>ORD</x:v>
      </x:c>
      <x:c r="I521" t="str">
        <x:v>FAR</x:v>
      </x:c>
      <x:c r="J521" s="23" t="n">
        <x:v>5382</x:v>
      </x:c>
      <x:c r="K521" s="24" t="n">
        <x:v>0.2584541062801932</x:v>
      </x:c>
      <x:c r="L521" s="24" t="n">
        <x:v>0.015979189892233372</x:v>
      </x:c>
    </x:row>
    <x:row r="522">
      <x:c r="G522" t="str">
        <x:v>DEN-DFW</x:v>
      </x:c>
      <x:c r="H522" t="str">
        <x:v>DEN</x:v>
      </x:c>
      <x:c r="I522" t="str">
        <x:v>DFW</x:v>
      </x:c>
      <x:c r="J522" s="23" t="n">
        <x:v>18086</x:v>
      </x:c>
      <x:c r="K522" s="24" t="n">
        <x:v>0.25837664491872164</x:v>
      </x:c>
      <x:c r="L522" s="24" t="n">
        <x:v>0.01819086586309853</x:v>
      </x:c>
    </x:row>
    <x:row r="523">
      <x:c r="G523" t="str">
        <x:v>JAX-BOS</x:v>
      </x:c>
      <x:c r="H523" t="str">
        <x:v>JAX</x:v>
      </x:c>
      <x:c r="I523" t="str">
        <x:v>BOS</x:v>
      </x:c>
      <x:c r="J523" s="23" t="n">
        <x:v>4022</x:v>
      </x:c>
      <x:c r="K523" s="24" t="n">
        <x:v>0.2583291894579811</x:v>
      </x:c>
      <x:c r="L523" s="24" t="n">
        <x:v>0.016658378915962207</x:v>
      </x:c>
    </x:row>
    <x:row r="524">
      <x:c r="G524" t="str">
        <x:v>DAL-FLL</x:v>
      </x:c>
      <x:c r="H524" t="str">
        <x:v>DAL</x:v>
      </x:c>
      <x:c r="I524" t="str">
        <x:v>FLL</x:v>
      </x:c>
      <x:c r="J524" s="23" t="n">
        <x:v>2331</x:v>
      </x:c>
      <x:c r="K524" s="24" t="n">
        <x:v>0.25825825825825827</x:v>
      </x:c>
      <x:c r="L524" s="24" t="n">
        <x:v>0.014157014157014158</x:v>
      </x:c>
    </x:row>
    <x:row r="525">
      <x:c r="G525" t="str">
        <x:v>MCO-AUS</x:v>
      </x:c>
      <x:c r="H525" t="str">
        <x:v>MCO</x:v>
      </x:c>
      <x:c r="I525" t="str">
        <x:v>AUS</x:v>
      </x:c>
      <x:c r="J525" s="23" t="n">
        <x:v>8384</x:v>
      </x:c>
      <x:c r="K525" s="24" t="n">
        <x:v>0.2582299618320611</x:v>
      </x:c>
      <x:c r="L525" s="24" t="n">
        <x:v>0.009184160305343511</x:v>
      </x:c>
    </x:row>
    <x:row r="526">
      <x:c r="G526" t="str">
        <x:v>LGA-TPA</x:v>
      </x:c>
      <x:c r="H526" t="str">
        <x:v>LGA</x:v>
      </x:c>
      <x:c r="I526" t="str">
        <x:v>TPA</x:v>
      </x:c>
      <x:c r="J526" s="23" t="n">
        <x:v>8032</x:v>
      </x:c>
      <x:c r="K526" s="24" t="n">
        <x:v>0.2582171314741036</x:v>
      </x:c>
      <x:c r="L526" s="24" t="n">
        <x:v>0.021912350597609563</x:v>
      </x:c>
    </x:row>
    <x:row r="527">
      <x:c r="G527" t="str">
        <x:v>MCO-ATL</x:v>
      </x:c>
      <x:c r="H527" t="str">
        <x:v>MCO</x:v>
      </x:c>
      <x:c r="I527" t="str">
        <x:v>ATL</x:v>
      </x:c>
      <x:c r="J527" s="23" t="n">
        <x:v>26137</x:v>
      </x:c>
      <x:c r="K527" s="24" t="n">
        <x:v>0.25802502199946437</x:v>
      </x:c>
      <x:c r="L527" s="24" t="n">
        <x:v>0.010827562459348817</x:v>
      </x:c>
    </x:row>
    <x:row r="528">
      <x:c r="G528" t="str">
        <x:v>DAL-TPA</x:v>
      </x:c>
      <x:c r="H528" t="str">
        <x:v>DAL</x:v>
      </x:c>
      <x:c r="I528" t="str">
        <x:v>TPA</x:v>
      </x:c>
      <x:c r="J528" s="23" t="n">
        <x:v>4050</x:v>
      </x:c>
      <x:c r="K528" s="24" t="n">
        <x:v>0.2580246913580247</x:v>
      </x:c>
      <x:c r="L528" s="24" t="n">
        <x:v>0.017037037037037038</x:v>
      </x:c>
    </x:row>
    <x:row r="529">
      <x:c r="G529" t="str">
        <x:v>STL-SAN</x:v>
      </x:c>
      <x:c r="H529" t="str">
        <x:v>STL</x:v>
      </x:c>
      <x:c r="I529" t="str">
        <x:v>SAN</x:v>
      </x:c>
      <x:c r="J529" s="23" t="n">
        <x:v>1543</x:v>
      </x:c>
      <x:c r="K529" s="24" t="n">
        <x:v>0.2579390797148412</x:v>
      </x:c>
      <x:c r="L529" s="24" t="n">
        <x:v>0.002592352559948153</x:v>
      </x:c>
    </x:row>
    <x:row r="530">
      <x:c r="G530" t="str">
        <x:v>FLL-MYR</x:v>
      </x:c>
      <x:c r="H530" t="str">
        <x:v>FLL</x:v>
      </x:c>
      <x:c r="I530" t="str">
        <x:v>MYR</x:v>
      </x:c>
      <x:c r="J530" s="23" t="n">
        <x:v>1330</x:v>
      </x:c>
      <x:c r="K530" s="24" t="n">
        <x:v>0.2578947368421053</x:v>
      </x:c>
      <x:c r="L530" s="24" t="n">
        <x:v>0.014285714285714285</x:v>
      </x:c>
    </x:row>
    <x:row r="531">
      <x:c r="G531" t="str">
        <x:v>MCO-PNS</x:v>
      </x:c>
      <x:c r="H531" t="str">
        <x:v>MCO</x:v>
      </x:c>
      <x:c r="I531" t="str">
        <x:v>PNS</x:v>
      </x:c>
      <x:c r="J531" s="23" t="n">
        <x:v>1257</x:v>
      </x:c>
      <x:c r="K531" s="24" t="n">
        <x:v>0.2577565632458234</x:v>
      </x:c>
      <x:c r="L531" s="24" t="n">
        <x:v>0.026252983293556086</x:v>
      </x:c>
    </x:row>
    <x:row r="532">
      <x:c r="G532" t="str">
        <x:v>MDW-IAH</x:v>
      </x:c>
      <x:c r="H532" t="str">
        <x:v>MDW</x:v>
      </x:c>
      <x:c r="I532" t="str">
        <x:v>IAH</x:v>
      </x:c>
      <x:c r="J532" s="23" t="n">
        <x:v>1521</x:v>
      </x:c>
      <x:c r="K532" s="24" t="n">
        <x:v>0.2577251808021039</x:v>
      </x:c>
      <x:c r="L532" s="24" t="n">
        <x:v>0.011834319526627219</x:v>
      </x:c>
    </x:row>
    <x:row r="533">
      <x:c r="G533" t="str">
        <x:v>FLL-CVG</x:v>
      </x:c>
      <x:c r="H533" t="str">
        <x:v>FLL</x:v>
      </x:c>
      <x:c r="I533" t="str">
        <x:v>CVG</x:v>
      </x:c>
      <x:c r="J533" s="23" t="n">
        <x:v>2507</x:v>
      </x:c>
      <x:c r="K533" s="24" t="n">
        <x:v>0.25767850019944155</x:v>
      </x:c>
      <x:c r="L533" s="24" t="n">
        <x:v>0.011567610690067811</x:v>
      </x:c>
    </x:row>
    <x:row r="534">
      <x:c r="G534" t="str">
        <x:v>ORD-DLH</x:v>
      </x:c>
      <x:c r="H534" t="str">
        <x:v>ORD</x:v>
      </x:c>
      <x:c r="I534" t="str">
        <x:v>DLH</x:v>
      </x:c>
      <x:c r="J534" s="23" t="n">
        <x:v>2903</x:v>
      </x:c>
      <x:c r="K534" s="24" t="n">
        <x:v>0.2576644850155012</x:v>
      </x:c>
      <x:c r="L534" s="24" t="n">
        <x:v>0.01722356183258698</x:v>
      </x:c>
    </x:row>
    <x:row r="535">
      <x:c r="G535" t="str">
        <x:v>LIT-ORD</x:v>
      </x:c>
      <x:c r="H535" t="str">
        <x:v>LIT</x:v>
      </x:c>
      <x:c r="I535" t="str">
        <x:v>ORD</x:v>
      </x:c>
      <x:c r="J535" s="23" t="n">
        <x:v>3858</x:v>
      </x:c>
      <x:c r="K535" s="24" t="n">
        <x:v>0.2576464489372732</x:v>
      </x:c>
      <x:c r="L535" s="24" t="n">
        <x:v>0.014515292897874546</x:v>
      </x:c>
    </x:row>
    <x:row r="536">
      <x:c r="G536" t="str">
        <x:v>MCO-BHM</x:v>
      </x:c>
      <x:c r="H536" t="str">
        <x:v>MCO</x:v>
      </x:c>
      <x:c r="I536" t="str">
        <x:v>BHM</x:v>
      </x:c>
      <x:c r="J536" s="23" t="n">
        <x:v>2162</x:v>
      </x:c>
      <x:c r="K536" s="24" t="n">
        <x:v>0.257631822386679</x:v>
      </x:c>
      <x:c r="L536" s="24" t="n">
        <x:v>0.006938020351526364</x:v>
      </x:c>
    </x:row>
    <x:row r="537">
      <x:c r="G537" t="str">
        <x:v>ORD-MQT</x:v>
      </x:c>
      <x:c r="H537" t="str">
        <x:v>ORD</x:v>
      </x:c>
      <x:c r="I537" t="str">
        <x:v>MQT</x:v>
      </x:c>
      <x:c r="J537" s="23" t="n">
        <x:v>1355</x:v>
      </x:c>
      <x:c r="K537" s="24" t="n">
        <x:v>0.25756457564575647</x:v>
      </x:c>
      <x:c r="L537" s="24" t="n">
        <x:v>0.025830258302583026</x:v>
      </x:c>
    </x:row>
    <x:row r="538">
      <x:c r="G538" t="str">
        <x:v>ORD-SUX</x:v>
      </x:c>
      <x:c r="H538" t="str">
        <x:v>ORD</x:v>
      </x:c>
      <x:c r="I538" t="str">
        <x:v>SUX</x:v>
      </x:c>
      <x:c r="J538" s="23" t="n">
        <x:v>1091</x:v>
      </x:c>
      <x:c r="K538" s="24" t="n">
        <x:v>0.25756186984417967</x:v>
      </x:c>
      <x:c r="L538" s="24" t="n">
        <x:v>0.027497708524289642</x:v>
      </x:c>
    </x:row>
    <x:row r="539">
      <x:c r="G539" t="str">
        <x:v>PHL-LAS</x:v>
      </x:c>
      <x:c r="H539" t="str">
        <x:v>PHL</x:v>
      </x:c>
      <x:c r="I539" t="str">
        <x:v>LAS</x:v>
      </x:c>
      <x:c r="J539" s="23" t="n">
        <x:v>4951</x:v>
      </x:c>
      <x:c r="K539" s="24" t="n">
        <x:v>0.2575237325792769</x:v>
      </x:c>
      <x:c r="L539" s="24" t="n">
        <x:v>0.013936578468996163</x:v>
      </x:c>
    </x:row>
    <x:row r="540">
      <x:c r="G540" t="str">
        <x:v>ORD-OMA</x:v>
      </x:c>
      <x:c r="H540" t="str">
        <x:v>ORD</x:v>
      </x:c>
      <x:c r="I540" t="str">
        <x:v>OMA</x:v>
      </x:c>
      <x:c r="J540" s="23" t="n">
        <x:v>7020</x:v>
      </x:c>
      <x:c r="K540" s="24" t="n">
        <x:v>0.2574074074074074</x:v>
      </x:c>
      <x:c r="L540" s="24" t="n">
        <x:v>0.013817663817663818</x:v>
      </x:c>
    </x:row>
    <x:row r="541">
      <x:c r="G541" t="str">
        <x:v>JFK-HNL</x:v>
      </x:c>
      <x:c r="H541" t="str">
        <x:v>JFK</x:v>
      </x:c>
      <x:c r="I541" t="str">
        <x:v>HNL</x:v>
      </x:c>
      <x:c r="J541" s="23" t="n">
        <x:v>2040</x:v>
      </x:c>
      <x:c r="K541" s="24" t="n">
        <x:v>0.25735294117647056</x:v>
      </x:c>
      <x:c r="L541" s="24" t="n">
        <x:v>0.006372549019607843</x:v>
      </x:c>
    </x:row>
    <x:row r="542">
      <x:c r="G542" t="str">
        <x:v>DEN-GEG</x:v>
      </x:c>
      <x:c r="H542" t="str">
        <x:v>DEN</x:v>
      </x:c>
      <x:c r="I542" t="str">
        <x:v>GEG</x:v>
      </x:c>
      <x:c r="J542" s="23" t="n">
        <x:v>5802</x:v>
      </x:c>
      <x:c r="K542" s="24" t="n">
        <x:v>0.2573250603240262</x:v>
      </x:c>
      <x:c r="L542" s="24" t="n">
        <x:v>0.007066528783178214</x:v>
      </x:c>
    </x:row>
    <x:row r="543">
      <x:c r="G543" t="str">
        <x:v>DAL-OAK</x:v>
      </x:c>
      <x:c r="H543" t="str">
        <x:v>DAL</x:v>
      </x:c>
      <x:c r="I543" t="str">
        <x:v>OAK</x:v>
      </x:c>
      <x:c r="J543" s="23" t="n">
        <x:v>1912</x:v>
      </x:c>
      <x:c r="K543" s="24" t="n">
        <x:v>0.25732217573221755</x:v>
      </x:c>
      <x:c r="L543" s="24" t="n">
        <x:v>0.010983263598326359</x:v>
      </x:c>
    </x:row>
    <x:row r="544">
      <x:c r="G544" t="str">
        <x:v>SEA-JFK</x:v>
      </x:c>
      <x:c r="H544" t="str">
        <x:v>SEA</x:v>
      </x:c>
      <x:c r="I544" t="str">
        <x:v>JFK</x:v>
      </x:c>
      <x:c r="J544" s="23" t="n">
        <x:v>8955</x:v>
      </x:c>
      <x:c r="K544" s="24" t="n">
        <x:v>0.25728643216080405</x:v>
      </x:c>
      <x:c r="L544" s="24" t="n">
        <x:v>0.01340033500837521</x:v>
      </x:c>
    </x:row>
    <x:row r="545">
      <x:c r="G545" t="str">
        <x:v>EWR-MIA</x:v>
      </x:c>
      <x:c r="H545" t="str">
        <x:v>EWR</x:v>
      </x:c>
      <x:c r="I545" t="str">
        <x:v>MIA</x:v>
      </x:c>
      <x:c r="J545" s="23" t="n">
        <x:v>12941</x:v>
      </x:c>
      <x:c r="K545" s="24" t="n">
        <x:v>0.2572444169693223</x:v>
      </x:c>
      <x:c r="L545" s="24" t="n">
        <x:v>0.0233366818638436</x:v>
      </x:c>
    </x:row>
    <x:row r="546">
      <x:c r="G546" t="str">
        <x:v>DFW-JAC</x:v>
      </x:c>
      <x:c r="H546" t="str">
        <x:v>DFW</x:v>
      </x:c>
      <x:c r="I546" t="str">
        <x:v>JAC</x:v>
      </x:c>
      <x:c r="J546" s="23" t="n">
        <x:v>1975</x:v>
      </x:c>
      <x:c r="K546" s="24" t="n">
        <x:v>0.25721518987341774</x:v>
      </x:c>
      <x:c r="L546" s="24" t="n">
        <x:v>0.014177215189873417</x:v>
      </x:c>
    </x:row>
    <x:row r="547">
      <x:c r="G547" t="str">
        <x:v>BWI-HOU</x:v>
      </x:c>
      <x:c r="H547" t="str">
        <x:v>BWI</x:v>
      </x:c>
      <x:c r="I547" t="str">
        <x:v>HOU</x:v>
      </x:c>
      <x:c r="J547" s="23" t="n">
        <x:v>4138</x:v>
      </x:c>
      <x:c r="K547" s="24" t="n">
        <x:v>0.2571290478492025</x:v>
      </x:c>
      <x:c r="L547" s="24" t="n">
        <x:v>0.011599806669888834</x:v>
      </x:c>
    </x:row>
    <x:row r="548">
      <x:c r="G548" t="str">
        <x:v>CLT-MKE</x:v>
      </x:c>
      <x:c r="H548" t="str">
        <x:v>CLT</x:v>
      </x:c>
      <x:c r="I548" t="str">
        <x:v>MKE</x:v>
      </x:c>
      <x:c r="J548" s="23" t="n">
        <x:v>3070</x:v>
      </x:c>
      <x:c r="K548" s="24" t="n">
        <x:v>0.2570032573289902</x:v>
      </x:c>
      <x:c r="L548" s="24" t="n">
        <x:v>0.013355048859934854</x:v>
      </x:c>
    </x:row>
    <x:row r="549">
      <x:c r="G549" t="str">
        <x:v>STS-SEA</x:v>
      </x:c>
      <x:c r="H549" t="str">
        <x:v>STS</x:v>
      </x:c>
      <x:c r="I549" t="str">
        <x:v>SEA</x:v>
      </x:c>
      <x:c r="J549" s="23" t="n">
        <x:v>1432</x:v>
      </x:c>
      <x:c r="K549" s="24" t="n">
        <x:v>0.2569832402234637</x:v>
      </x:c>
      <x:c r="L549" s="24" t="n">
        <x:v>0.009078212290502794</x:v>
      </x:c>
    </x:row>
    <x:row r="550">
      <x:c r="G550" t="str">
        <x:v>DFW-HNL</x:v>
      </x:c>
      <x:c r="H550" t="str">
        <x:v>DFW</x:v>
      </x:c>
      <x:c r="I550" t="str">
        <x:v>HNL</x:v>
      </x:c>
      <x:c r="J550" s="23" t="n">
        <x:v>1834</x:v>
      </x:c>
      <x:c r="K550" s="24" t="n">
        <x:v>0.2568157033805889</x:v>
      </x:c>
      <x:c r="L550" s="24" t="n">
        <x:v>0.003816793893129771</x:v>
      </x:c>
    </x:row>
    <x:row r="551">
      <x:c r="G551" t="str">
        <x:v>ATL-TPA</x:v>
      </x:c>
      <x:c r="H551" t="str">
        <x:v>ATL</x:v>
      </x:c>
      <x:c r="I551" t="str">
        <x:v>TPA</x:v>
      </x:c>
      <x:c r="J551" s="23" t="n">
        <x:v>19561</x:v>
      </x:c>
      <x:c r="K551" s="24" t="n">
        <x:v>0.25673534072900156</x:v>
      </x:c>
      <x:c r="L551" s="24" t="n">
        <x:v>0.015183272838811922</x:v>
      </x:c>
    </x:row>
    <x:row r="552">
      <x:c r="G552" t="str">
        <x:v>DCA-SAV</x:v>
      </x:c>
      <x:c r="H552" t="str">
        <x:v>DCA</x:v>
      </x:c>
      <x:c r="I552" t="str">
        <x:v>SAV</x:v>
      </x:c>
      <x:c r="J552" s="23" t="n">
        <x:v>2688</x:v>
      </x:c>
      <x:c r="K552" s="24" t="n">
        <x:v>0.25669642857142855</x:v>
      </x:c>
      <x:c r="L552" s="24" t="n">
        <x:v>0.030133928571428572</x:v>
      </x:c>
    </x:row>
    <x:row r="553">
      <x:c r="G553" t="str">
        <x:v>BWI-SAT</x:v>
      </x:c>
      <x:c r="H553" t="str">
        <x:v>BWI</x:v>
      </x:c>
      <x:c r="I553" t="str">
        <x:v>SAT</x:v>
      </x:c>
      <x:c r="J553" s="23" t="n">
        <x:v>2548</x:v>
      </x:c>
      <x:c r="K553" s="24" t="n">
        <x:v>0.2566718995290424</x:v>
      </x:c>
      <x:c r="L553" s="24" t="n">
        <x:v>0.00706436420722135</x:v>
      </x:c>
    </x:row>
    <x:row r="554">
      <x:c r="G554" t="str">
        <x:v>MSN-DFW</x:v>
      </x:c>
      <x:c r="H554" t="str">
        <x:v>MSN</x:v>
      </x:c>
      <x:c r="I554" t="str">
        <x:v>DFW</x:v>
      </x:c>
      <x:c r="J554" s="23" t="n">
        <x:v>3212</x:v>
      </x:c>
      <x:c r="K554" s="24" t="n">
        <x:v>0.25653798256537985</x:v>
      </x:c>
      <x:c r="L554" s="24" t="n">
        <x:v>0.01805728518057285</x:v>
      </x:c>
    </x:row>
    <x:row r="555">
      <x:c r="G555" t="str">
        <x:v>ORD-DFW</x:v>
      </x:c>
      <x:c r="H555" t="str">
        <x:v>ORD</x:v>
      </x:c>
      <x:c r="I555" t="str">
        <x:v>DFW</x:v>
      </x:c>
      <x:c r="J555" s="23" t="n">
        <x:v>19082</x:v>
      </x:c>
      <x:c r="K555" s="24" t="n">
        <x:v>0.25647206791740906</x:v>
      </x:c>
      <x:c r="L555" s="24" t="n">
        <x:v>0.016874541452677916</x:v>
      </x:c>
    </x:row>
    <x:row r="556">
      <x:c r="G556" t="str">
        <x:v>MCO-MDW</x:v>
      </x:c>
      <x:c r="H556" t="str">
        <x:v>MCO</x:v>
      </x:c>
      <x:c r="I556" t="str">
        <x:v>MDW</x:v>
      </x:c>
      <x:c r="J556" s="23" t="n">
        <x:v>8908</x:v>
      </x:c>
      <x:c r="K556" s="24" t="n">
        <x:v>0.25639874270318813</x:v>
      </x:c>
      <x:c r="L556" s="24" t="n">
        <x:v>0.015042658284687921</x:v>
      </x:c>
    </x:row>
    <x:row r="557">
      <x:c r="G557" t="str">
        <x:v>CLT-IAH</x:v>
      </x:c>
      <x:c r="H557" t="str">
        <x:v>CLT</x:v>
      </x:c>
      <x:c r="I557" t="str">
        <x:v>IAH</x:v>
      </x:c>
      <x:c r="J557" s="23" t="n">
        <x:v>7138</x:v>
      </x:c>
      <x:c r="K557" s="24" t="n">
        <x:v>0.2563743345474923</x:v>
      </x:c>
      <x:c r="L557" s="24" t="n">
        <x:v>0.0163911459792659</x:v>
      </x:c>
    </x:row>
    <x:row r="558">
      <x:c r="G558" t="str">
        <x:v>EWR-FLL</x:v>
      </x:c>
      <x:c r="H558" t="str">
        <x:v>EWR</x:v>
      </x:c>
      <x:c r="I558" t="str">
        <x:v>FLL</x:v>
      </x:c>
      <x:c r="J558" s="23" t="n">
        <x:v>15597</x:v>
      </x:c>
      <x:c r="K558" s="24" t="n">
        <x:v>0.25633134577162275</x:v>
      </x:c>
      <x:c r="L558" s="24" t="n">
        <x:v>0.026543566070398154</x:v>
      </x:c>
    </x:row>
    <x:row r="559">
      <x:c r="G559" t="str">
        <x:v>CLT-XNA</x:v>
      </x:c>
      <x:c r="H559" t="str">
        <x:v>CLT</x:v>
      </x:c>
      <x:c r="I559" t="str">
        <x:v>XNA</x:v>
      </x:c>
      <x:c r="J559" s="23" t="n">
        <x:v>4629</x:v>
      </x:c>
      <x:c r="K559" s="24" t="n">
        <x:v>0.25621084467487576</x:v>
      </x:c>
      <x:c r="L559" s="24" t="n">
        <x:v>0.010153380859796932</x:v>
      </x:c>
    </x:row>
    <x:row r="560">
      <x:c r="G560" t="str">
        <x:v>BWI-MIA</x:v>
      </x:c>
      <x:c r="H560" t="str">
        <x:v>BWI</x:v>
      </x:c>
      <x:c r="I560" t="str">
        <x:v>MIA</x:v>
      </x:c>
      <x:c r="J560" s="23" t="n">
        <x:v>7179</x:v>
      </x:c>
      <x:c r="K560" s="24" t="n">
        <x:v>0.25616381111575426</x:v>
      </x:c>
      <x:c r="L560" s="24" t="n">
        <x:v>0.016854715141384594</x:v>
      </x:c>
    </x:row>
    <x:row r="561">
      <x:c r="G561" t="str">
        <x:v>DEN-AMA</x:v>
      </x:c>
      <x:c r="H561" t="str">
        <x:v>DEN</x:v>
      </x:c>
      <x:c r="I561" t="str">
        <x:v>AMA</x:v>
      </x:c>
      <x:c r="J561" s="23" t="n">
        <x:v>2073</x:v>
      </x:c>
      <x:c r="K561" s="24" t="n">
        <x:v>0.25615050651230103</x:v>
      </x:c>
      <x:c r="L561" s="24" t="n">
        <x:v>0.018330921369995177</x:v>
      </x:c>
    </x:row>
    <x:row r="562">
      <x:c r="G562" t="str">
        <x:v>PHL-CVG</x:v>
      </x:c>
      <x:c r="H562" t="str">
        <x:v>PHL</x:v>
      </x:c>
      <x:c r="I562" t="str">
        <x:v>CVG</x:v>
      </x:c>
      <x:c r="J562" s="23" t="n">
        <x:v>3340</x:v>
      </x:c>
      <x:c r="K562" s="24" t="n">
        <x:v>0.2559880239520958</x:v>
      </x:c>
      <x:c r="L562" s="24" t="n">
        <x:v>0.016167664670658683</x:v>
      </x:c>
    </x:row>
    <x:row r="563">
      <x:c r="G563" t="str">
        <x:v>DCA-XNA</x:v>
      </x:c>
      <x:c r="H563" t="str">
        <x:v>DCA</x:v>
      </x:c>
      <x:c r="I563" t="str">
        <x:v>XNA</x:v>
      </x:c>
      <x:c r="J563" s="23" t="n">
        <x:v>1086</x:v>
      </x:c>
      <x:c r="K563" s="24" t="n">
        <x:v>0.2559852670349908</x:v>
      </x:c>
      <x:c r="L563" s="24" t="n">
        <x:v>0.03406998158379374</x:v>
      </x:c>
    </x:row>
    <x:row r="564">
      <x:c r="G564" t="str">
        <x:v>CLT-SYR</x:v>
      </x:c>
      <x:c r="H564" t="str">
        <x:v>CLT</x:v>
      </x:c>
      <x:c r="I564" t="str">
        <x:v>SYR</x:v>
      </x:c>
      <x:c r="J564" s="23" t="n">
        <x:v>3372</x:v>
      </x:c>
      <x:c r="K564" s="24" t="n">
        <x:v>0.2559311981020166</x:v>
      </x:c>
      <x:c r="L564" s="24" t="n">
        <x:v>0.009193357058125741</x:v>
      </x:c>
    </x:row>
    <x:row r="565">
      <x:c r="G565" t="str">
        <x:v>MIA-PHX</x:v>
      </x:c>
      <x:c r="H565" t="str">
        <x:v>MIA</x:v>
      </x:c>
      <x:c r="I565" t="str">
        <x:v>PHX</x:v>
      </x:c>
      <x:c r="J565" s="23" t="n">
        <x:v>5021</x:v>
      </x:c>
      <x:c r="K565" s="24" t="n">
        <x:v>0.2559251145190201</x:v>
      </x:c>
      <x:c r="L565" s="24" t="n">
        <x:v>0.006771559450308703</x:v>
      </x:c>
    </x:row>
    <x:row r="566">
      <x:c r="G566" t="str">
        <x:v>VPS-DFW</x:v>
      </x:c>
      <x:c r="H566" t="str">
        <x:v>VPS</x:v>
      </x:c>
      <x:c r="I566" t="str">
        <x:v>DFW</x:v>
      </x:c>
      <x:c r="J566" s="23" t="n">
        <x:v>4099</x:v>
      </x:c>
      <x:c r="K566" s="24" t="n">
        <x:v>0.25591607709197367</x:v>
      </x:c>
      <x:c r="L566" s="24" t="n">
        <x:v>0.026103927787265186</x:v>
      </x:c>
    </x:row>
    <x:row r="567">
      <x:c r="G567" t="str">
        <x:v>SLC-EWR</x:v>
      </x:c>
      <x:c r="H567" t="str">
        <x:v>SLC</x:v>
      </x:c>
      <x:c r="I567" t="str">
        <x:v>EWR</x:v>
      </x:c>
      <x:c r="J567" s="23" t="n">
        <x:v>3513</x:v>
      </x:c>
      <x:c r="K567" s="24" t="n">
        <x:v>0.2559066325078281</x:v>
      </x:c>
      <x:c r="L567" s="24" t="n">
        <x:v>0.0148021633931113</x:v>
      </x:c>
    </x:row>
    <x:row r="568">
      <x:c r="G568" t="str">
        <x:v>HNL-ANC</x:v>
      </x:c>
      <x:c r="H568" t="str">
        <x:v>HNL</x:v>
      </x:c>
      <x:c r="I568" t="str">
        <x:v>ANC</x:v>
      </x:c>
      <x:c r="J568" s="23" t="n">
        <x:v>1106</x:v>
      </x:c>
      <x:c r="K568" s="24" t="n">
        <x:v>0.25587703435804704</x:v>
      </x:c>
      <x:c r="L568" s="24" t="n">
        <x:v>0.0162748643761302</x:v>
      </x:c>
    </x:row>
    <x:row r="569">
      <x:c r="G569" t="str">
        <x:v>CLT-DFW</x:v>
      </x:c>
      <x:c r="H569" t="str">
        <x:v>CLT</x:v>
      </x:c>
      <x:c r="I569" t="str">
        <x:v>DFW</x:v>
      </x:c>
      <x:c r="J569" s="23" t="n">
        <x:v>11914</x:v>
      </x:c>
      <x:c r="K569" s="24" t="n">
        <x:v>0.25583347322477756</x:v>
      </x:c>
      <x:c r="L569" s="24" t="n">
        <x:v>0.01645123384253819</x:v>
      </x:c>
    </x:row>
    <x:row r="570">
      <x:c r="G570" t="str">
        <x:v>DEN-LGA</x:v>
      </x:c>
      <x:c r="H570" t="str">
        <x:v>DEN</x:v>
      </x:c>
      <x:c r="I570" t="str">
        <x:v>LGA</x:v>
      </x:c>
      <x:c r="J570" s="23" t="n">
        <x:v>14451</x:v>
      </x:c>
      <x:c r="K570" s="24" t="n">
        <x:v>0.2558300463635735</x:v>
      </x:c>
      <x:c r="L570" s="24" t="n">
        <x:v>0.016953844024634974</x:v>
      </x:c>
    </x:row>
    <x:row r="571">
      <x:c r="G571" t="str">
        <x:v>AUS-BUR</x:v>
      </x:c>
      <x:c r="H571" t="str">
        <x:v>AUS</x:v>
      </x:c>
      <x:c r="I571" t="str">
        <x:v>BUR</x:v>
      </x:c>
      <x:c r="J571" s="23" t="n">
        <x:v>1165</x:v>
      </x:c>
      <x:c r="K571" s="24" t="n">
        <x:v>0.255793991416309</x:v>
      </x:c>
      <x:c r="L571" s="24" t="n">
        <x:v>0.0017167381974248926</x:v>
      </x:c>
    </x:row>
    <x:row r="572">
      <x:c r="G572" t="str">
        <x:v>DEN-HOU</x:v>
      </x:c>
      <x:c r="H572" t="str">
        <x:v>DEN</x:v>
      </x:c>
      <x:c r="I572" t="str">
        <x:v>HOU</x:v>
      </x:c>
      <x:c r="J572" s="23" t="n">
        <x:v>7854</x:v>
      </x:c>
      <x:c r="K572" s="24" t="n">
        <x:v>0.2557932263814617</x:v>
      </x:c>
      <x:c r="L572" s="24" t="n">
        <x:v>0.011713776419658773</x:v>
      </x:c>
    </x:row>
    <x:row r="573">
      <x:c r="G573" t="str">
        <x:v>DFW-PIT</x:v>
      </x:c>
      <x:c r="H573" t="str">
        <x:v>DFW</x:v>
      </x:c>
      <x:c r="I573" t="str">
        <x:v>PIT</x:v>
      </x:c>
      <x:c r="J573" s="23" t="n">
        <x:v>4623</x:v>
      </x:c>
      <x:c r="K573" s="24" t="n">
        <x:v>0.2556781310837119</x:v>
      </x:c>
      <x:c r="L573" s="24" t="n">
        <x:v>0.0136275146009085</x:v>
      </x:c>
    </x:row>
    <x:row r="574">
      <x:c r="G574" t="str">
        <x:v>ORD-TYS</x:v>
      </x:c>
      <x:c r="H574" t="str">
        <x:v>ORD</x:v>
      </x:c>
      <x:c r="I574" t="str">
        <x:v>TYS</x:v>
      </x:c>
      <x:c r="J574" s="23" t="n">
        <x:v>5258</x:v>
      </x:c>
      <x:c r="K574" s="24" t="n">
        <x:v>0.25561049828832255</x:v>
      </x:c>
      <x:c r="L574" s="24" t="n">
        <x:v>0.01502472422974515</x:v>
      </x:c>
    </x:row>
    <x:row r="575">
      <x:c r="G575" t="str">
        <x:v>CLT-RIC</x:v>
      </x:c>
      <x:c r="H575" t="str">
        <x:v>CLT</x:v>
      </x:c>
      <x:c r="I575" t="str">
        <x:v>RIC</x:v>
      </x:c>
      <x:c r="J575" s="23" t="n">
        <x:v>7731</x:v>
      </x:c>
      <x:c r="K575" s="24" t="n">
        <x:v>0.2555943603673522</x:v>
      </x:c>
      <x:c r="L575" s="24" t="n">
        <x:v>0.011900142284309922</x:v>
      </x:c>
    </x:row>
    <x:row r="576">
      <x:c r="G576" t="str">
        <x:v>DFW-OKC</x:v>
      </x:c>
      <x:c r="H576" t="str">
        <x:v>DFW</x:v>
      </x:c>
      <x:c r="I576" t="str">
        <x:v>OKC</x:v>
      </x:c>
      <x:c r="J576" s="23" t="n">
        <x:v>9329</x:v>
      </x:c>
      <x:c r="K576" s="24" t="n">
        <x:v>0.25554721835137745</x:v>
      </x:c>
      <x:c r="L576" s="24" t="n">
        <x:v>0.02486868903419445</x:v>
      </x:c>
    </x:row>
    <x:row r="577">
      <x:c r="G577" t="str">
        <x:v>MCO-ACY</x:v>
      </x:c>
      <x:c r="H577" t="str">
        <x:v>MCO</x:v>
      </x:c>
      <x:c r="I577" t="str">
        <x:v>ACY</x:v>
      </x:c>
      <x:c r="J577" s="23" t="n">
        <x:v>2716</x:v>
      </x:c>
      <x:c r="K577" s="24" t="n">
        <x:v>0.2555228276877761</x:v>
      </x:c>
      <x:c r="L577" s="24" t="n">
        <x:v>0.012518409425625921</x:v>
      </x:c>
    </x:row>
    <x:row r="578">
      <x:c r="G578" t="str">
        <x:v>BWI-PHX</x:v>
      </x:c>
      <x:c r="H578" t="str">
        <x:v>BWI</x:v>
      </x:c>
      <x:c r="I578" t="str">
        <x:v>PHX</x:v>
      </x:c>
      <x:c r="J578" s="23" t="n">
        <x:v>3695</x:v>
      </x:c>
      <x:c r="K578" s="24" t="n">
        <x:v>0.25548037889039243</x:v>
      </x:c>
      <x:c r="L578" s="24" t="n">
        <x:v>0.005953991880920162</x:v>
      </x:c>
    </x:row>
    <x:row r="579">
      <x:c r="G579" t="str">
        <x:v>SEA-PHL</x:v>
      </x:c>
      <x:c r="H579" t="str">
        <x:v>SEA</x:v>
      </x:c>
      <x:c r="I579" t="str">
        <x:v>PHL</x:v>
      </x:c>
      <x:c r="J579" s="23" t="n">
        <x:v>3265</x:v>
      </x:c>
      <x:c r="K579" s="24" t="n">
        <x:v>0.2554364471669219</x:v>
      </x:c>
      <x:c r="L579" s="24" t="n">
        <x:v>0.011944869831546707</x:v>
      </x:c>
    </x:row>
    <x:row r="580">
      <x:c r="G580" t="str">
        <x:v>IAH-CMH</x:v>
      </x:c>
      <x:c r="H580" t="str">
        <x:v>IAH</x:v>
      </x:c>
      <x:c r="I580" t="str">
        <x:v>CMH</x:v>
      </x:c>
      <x:c r="J580" s="23" t="n">
        <x:v>1888</x:v>
      </x:c>
      <x:c r="K580" s="24" t="n">
        <x:v>0.2552966101694915</x:v>
      </x:c>
      <x:c r="L580" s="24" t="n">
        <x:v>0.013241525423728813</x:v>
      </x:c>
    </x:row>
    <x:row r="581">
      <x:c r="G581" t="str">
        <x:v>MIA-JAX</x:v>
      </x:c>
      <x:c r="H581" t="str">
        <x:v>MIA</x:v>
      </x:c>
      <x:c r="I581" t="str">
        <x:v>JAX</x:v>
      </x:c>
      <x:c r="J581" s="23" t="n">
        <x:v>5436</x:v>
      </x:c>
      <x:c r="K581" s="24" t="n">
        <x:v>0.25515084621044887</x:v>
      </x:c>
      <x:c r="L581" s="24" t="n">
        <x:v>0.015636497424576894</x:v>
      </x:c>
    </x:row>
    <x:row r="582">
      <x:c r="G582" t="str">
        <x:v>ORD-CID</x:v>
      </x:c>
      <x:c r="H582" t="str">
        <x:v>ORD</x:v>
      </x:c>
      <x:c r="I582" t="str">
        <x:v>CID</x:v>
      </x:c>
      <x:c r="J582" s="23" t="n">
        <x:v>6260</x:v>
      </x:c>
      <x:c r="K582" s="24" t="n">
        <x:v>0.25511182108626196</x:v>
      </x:c>
      <x:c r="L582" s="24" t="n">
        <x:v>0.021405750798722045</x:v>
      </x:c>
    </x:row>
    <x:row r="583">
      <x:c r="G583" t="str">
        <x:v>DEN-PNS</x:v>
      </x:c>
      <x:c r="H583" t="str">
        <x:v>DEN</x:v>
      </x:c>
      <x:c r="I583" t="str">
        <x:v>PNS</x:v>
      </x:c>
      <x:c r="J583" s="23" t="n">
        <x:v>1239</x:v>
      </x:c>
      <x:c r="K583" s="24" t="n">
        <x:v>0.255044390637611</x:v>
      </x:c>
      <x:c r="L583" s="24" t="n">
        <x:v>0.00887812752219532</x:v>
      </x:c>
    </x:row>
    <x:row r="584">
      <x:c r="G584" t="str">
        <x:v>CLT-MIA</x:v>
      </x:c>
      <x:c r="H584" t="str">
        <x:v>CLT</x:v>
      </x:c>
      <x:c r="I584" t="str">
        <x:v>MIA</x:v>
      </x:c>
      <x:c r="J584" s="23" t="n">
        <x:v>10731</x:v>
      </x:c>
      <x:c r="K584" s="24" t="n">
        <x:v>0.2549622588761532</x:v>
      </x:c>
      <x:c r="L584" s="24" t="n">
        <x:v>0.01183487093467524</x:v>
      </x:c>
    </x:row>
    <x:row r="585">
      <x:c r="G585" t="str">
        <x:v>DAL-LGA</x:v>
      </x:c>
      <x:c r="H585" t="str">
        <x:v>DAL</x:v>
      </x:c>
      <x:c r="I585" t="str">
        <x:v>LGA</x:v>
      </x:c>
      <x:c r="J585" s="23" t="n">
        <x:v>4138</x:v>
      </x:c>
      <x:c r="K585" s="24" t="n">
        <x:v>0.2549540840985984</x:v>
      </x:c>
      <x:c r="L585" s="24" t="n">
        <x:v>0.017399710004833254</x:v>
      </x:c>
    </x:row>
    <x:row r="586">
      <x:c r="G586" t="str">
        <x:v>FLL-CHS</x:v>
      </x:c>
      <x:c r="H586" t="str">
        <x:v>FLL</x:v>
      </x:c>
      <x:c r="I586" t="str">
        <x:v>CHS</x:v>
      </x:c>
      <x:c r="J586" s="23" t="n">
        <x:v>1820</x:v>
      </x:c>
      <x:c r="K586" s="24" t="n">
        <x:v>0.2549450549450549</x:v>
      </x:c>
      <x:c r="L586" s="24" t="n">
        <x:v>0.016483516483516484</x:v>
      </x:c>
    </x:row>
    <x:row r="587">
      <x:c r="G587" t="str">
        <x:v>MIA-DEN</x:v>
      </x:c>
      <x:c r="H587" t="str">
        <x:v>MIA</x:v>
      </x:c>
      <x:c r="I587" t="str">
        <x:v>DEN</x:v>
      </x:c>
      <x:c r="J587" s="23" t="n">
        <x:v>7372</x:v>
      </x:c>
      <x:c r="K587" s="24" t="n">
        <x:v>0.25461204557786216</x:v>
      </x:c>
      <x:c r="L587" s="24" t="n">
        <x:v>0.008681497558328812</x:v>
      </x:c>
    </x:row>
    <x:row r="588">
      <x:c r="G588" t="str">
        <x:v>CLT-PWM</x:v>
      </x:c>
      <x:c r="H588" t="str">
        <x:v>CLT</x:v>
      </x:c>
      <x:c r="I588" t="str">
        <x:v>PWM</x:v>
      </x:c>
      <x:c r="J588" s="23" t="n">
        <x:v>2035</x:v>
      </x:c>
      <x:c r="K588" s="24" t="n">
        <x:v>0.2545454545454545</x:v>
      </x:c>
      <x:c r="L588" s="24" t="n">
        <x:v>0.01425061425061425</x:v>
      </x:c>
    </x:row>
    <x:row r="589">
      <x:c r="G589" t="str">
        <x:v>CLT-SAN</x:v>
      </x:c>
      <x:c r="H589" t="str">
        <x:v>CLT</x:v>
      </x:c>
      <x:c r="I589" t="str">
        <x:v>SAN</x:v>
      </x:c>
      <x:c r="J589" s="23" t="n">
        <x:v>4742</x:v>
      </x:c>
      <x:c r="K589" s="24" t="n">
        <x:v>0.2545339519190215</x:v>
      </x:c>
      <x:c r="L589" s="24" t="n">
        <x:v>0.005904681568958245</x:v>
      </x:c>
    </x:row>
    <x:row r="590">
      <x:c r="G590" t="str">
        <x:v>SAN-MRY</x:v>
      </x:c>
      <x:c r="H590" t="str">
        <x:v>SAN</x:v>
      </x:c>
      <x:c r="I590" t="str">
        <x:v>MRY</x:v>
      </x:c>
      <x:c r="J590" s="23" t="n">
        <x:v>1572</x:v>
      </x:c>
      <x:c r="K590" s="24" t="n">
        <x:v>0.2544529262086514</x:v>
      </x:c>
      <x:c r="L590" s="24" t="n">
        <x:v>0.015267175572519083</x:v>
      </x:c>
    </x:row>
    <x:row r="591">
      <x:c r="G591" t="str">
        <x:v>BWI-ISP</x:v>
      </x:c>
      <x:c r="H591" t="str">
        <x:v>BWI</x:v>
      </x:c>
      <x:c r="I591" t="str">
        <x:v>ISP</x:v>
      </x:c>
      <x:c r="J591" s="23" t="n">
        <x:v>3903</x:v>
      </x:c>
      <x:c r="K591" s="24" t="n">
        <x:v>0.2544196771714066</x:v>
      </x:c>
      <x:c r="L591" s="24" t="n">
        <x:v>0.008711247758134769</x:v>
      </x:c>
    </x:row>
    <x:row r="592">
      <x:c r="G592" t="str">
        <x:v>CLT-BOS</x:v>
      </x:c>
      <x:c r="H592" t="str">
        <x:v>CLT</x:v>
      </x:c>
      <x:c r="I592" t="str">
        <x:v>BOS</x:v>
      </x:c>
      <x:c r="J592" s="23" t="n">
        <x:v>14097</x:v>
      </x:c>
      <x:c r="K592" s="24" t="n">
        <x:v>0.2543803646165851</x:v>
      </x:c>
      <x:c r="L592" s="24" t="n">
        <x:v>0.015038660707952047</x:v>
      </x:c>
    </x:row>
    <x:row r="593">
      <x:c r="G593" t="str">
        <x:v>BWI-FLL</x:v>
      </x:c>
      <x:c r="H593" t="str">
        <x:v>BWI</x:v>
      </x:c>
      <x:c r="I593" t="str">
        <x:v>FLL</x:v>
      </x:c>
      <x:c r="J593" s="23" t="n">
        <x:v>11188</x:v>
      </x:c>
      <x:c r="K593" s="24" t="n">
        <x:v>0.25437969252770826</x:v>
      </x:c>
      <x:c r="L593" s="24" t="n">
        <x:v>0.015105470146585627</x:v>
      </x:c>
    </x:row>
    <x:row r="594">
      <x:c r="G594" t="str">
        <x:v>BWI-RSW</x:v>
      </x:c>
      <x:c r="H594" t="str">
        <x:v>BWI</x:v>
      </x:c>
      <x:c r="I594" t="str">
        <x:v>RSW</x:v>
      </x:c>
      <x:c r="J594" s="23" t="n">
        <x:v>4372</x:v>
      </x:c>
      <x:c r="K594" s="24" t="n">
        <x:v>0.25434583714547115</x:v>
      </x:c>
      <x:c r="L594" s="24" t="n">
        <x:v>0.013723696248856358</x:v>
      </x:c>
    </x:row>
    <x:row r="595">
      <x:c r="G595" t="str">
        <x:v>IAH-JAX</x:v>
      </x:c>
      <x:c r="H595" t="str">
        <x:v>IAH</x:v>
      </x:c>
      <x:c r="I595" t="str">
        <x:v>JAX</x:v>
      </x:c>
      <x:c r="J595" s="23" t="n">
        <x:v>2084</x:v>
      </x:c>
      <x:c r="K595" s="24" t="n">
        <x:v>0.2543186180422265</x:v>
      </x:c>
      <x:c r="L595" s="24" t="n">
        <x:v>0.01199616122840691</x:v>
      </x:c>
    </x:row>
    <x:row r="596">
      <x:c r="G596" t="str">
        <x:v>ALB-DCA</x:v>
      </x:c>
      <x:c r="H596" t="str">
        <x:v>ALB</x:v>
      </x:c>
      <x:c r="I596" t="str">
        <x:v>DCA</x:v>
      </x:c>
      <x:c r="J596" s="23" t="n">
        <x:v>3729</x:v>
      </x:c>
      <x:c r="K596" s="24" t="n">
        <x:v>0.25422365245374096</x:v>
      </x:c>
      <x:c r="L596" s="24" t="n">
        <x:v>0.04129793510324484</x:v>
      </x:c>
    </x:row>
    <x:row r="597">
      <x:c r="G597" t="str">
        <x:v>IAH-SHV</x:v>
      </x:c>
      <x:c r="H597" t="str">
        <x:v>IAH</x:v>
      </x:c>
      <x:c r="I597" t="str">
        <x:v>SHV</x:v>
      </x:c>
      <x:c r="J597" s="23" t="n">
        <x:v>1204</x:v>
      </x:c>
      <x:c r="K597" s="24" t="n">
        <x:v>0.2541528239202658</x:v>
      </x:c>
      <x:c r="L597" s="24" t="n">
        <x:v>0.018272425249169437</x:v>
      </x:c>
    </x:row>
    <x:row r="598">
      <x:c r="G598" t="str">
        <x:v>VPS-CVG</x:v>
      </x:c>
      <x:c r="H598" t="str">
        <x:v>VPS</x:v>
      </x:c>
      <x:c r="I598" t="str">
        <x:v>CVG</x:v>
      </x:c>
      <x:c r="J598" s="23" t="n">
        <x:v>1212</x:v>
      </x:c>
      <x:c r="K598" s="24" t="n">
        <x:v>0.25412541254125415</x:v>
      </x:c>
      <x:c r="L598" s="24" t="n">
        <x:v>0.010726072607260726</x:v>
      </x:c>
    </x:row>
    <x:row r="599">
      <x:c r="G599" t="str">
        <x:v>EUG-LAS</x:v>
      </x:c>
      <x:c r="H599" t="str">
        <x:v>EUG</x:v>
      </x:c>
      <x:c r="I599" t="str">
        <x:v>LAS</x:v>
      </x:c>
      <x:c r="J599" s="23" t="n">
        <x:v>1480</x:v>
      </x:c>
      <x:c r="K599" s="24" t="n">
        <x:v>0.25405405405405407</x:v>
      </x:c>
      <x:c r="L599" s="24" t="n">
        <x:v>0.010135135135135136</x:v>
      </x:c>
    </x:row>
    <x:row r="600">
      <x:c r="G600" t="str">
        <x:v>BWI-MCO</x:v>
      </x:c>
      <x:c r="H600" t="str">
        <x:v>BWI</x:v>
      </x:c>
      <x:c r="I600" t="str">
        <x:v>MCO</x:v>
      </x:c>
      <x:c r="J600" s="23" t="n">
        <x:v>15840</x:v>
      </x:c>
      <x:c r="K600" s="24" t="n">
        <x:v>0.25404040404040407</x:v>
      </x:c>
      <x:c r="L600" s="24" t="n">
        <x:v>0.01672979797979798</x:v>
      </x:c>
    </x:row>
    <x:row r="601">
      <x:c r="G601" t="str">
        <x:v>MIA-SLC</x:v>
      </x:c>
      <x:c r="H601" t="str">
        <x:v>MIA</x:v>
      </x:c>
      <x:c r="I601" t="str">
        <x:v>SLC</x:v>
      </x:c>
      <x:c r="J601" s="23" t="n">
        <x:v>1752</x:v>
      </x:c>
      <x:c r="K601" s="24" t="n">
        <x:v>0.2539954337899543</x:v>
      </x:c>
      <x:c r="L601" s="24" t="n">
        <x:v>0.005707762557077625</x:v>
      </x:c>
    </x:row>
    <x:row r="602">
      <x:c r="G602" t="str">
        <x:v>BWI-SAN</x:v>
      </x:c>
      <x:c r="H602" t="str">
        <x:v>BWI</x:v>
      </x:c>
      <x:c r="I602" t="str">
        <x:v>SAN</x:v>
      </x:c>
      <x:c r="J602" s="23" t="n">
        <x:v>2560</x:v>
      </x:c>
      <x:c r="K602" s="24" t="n">
        <x:v>0.25390625</x:v>
      </x:c>
      <x:c r="L602" s="24" t="n">
        <x:v>0.00859375</x:v>
      </x:c>
    </x:row>
    <x:row r="603">
      <x:c r="G603" t="str">
        <x:v>MDW-MHT</x:v>
      </x:c>
      <x:c r="H603" t="str">
        <x:v>MDW</x:v>
      </x:c>
      <x:c r="I603" t="str">
        <x:v>MHT</x:v>
      </x:c>
      <x:c r="J603" s="23" t="n">
        <x:v>1564</x:v>
      </x:c>
      <x:c r="K603" s="24" t="n">
        <x:v>0.2538363171355499</x:v>
      </x:c>
      <x:c r="L603" s="24" t="n">
        <x:v>0.00959079283887468</x:v>
      </x:c>
    </x:row>
    <x:row r="604">
      <x:c r="G604" t="str">
        <x:v>JFK-TPA</x:v>
      </x:c>
      <x:c r="H604" t="str">
        <x:v>JFK</x:v>
      </x:c>
      <x:c r="I604" t="str">
        <x:v>TPA</x:v>
      </x:c>
      <x:c r="J604" s="23" t="n">
        <x:v>7068</x:v>
      </x:c>
      <x:c r="K604" s="24" t="n">
        <x:v>0.2538200339558574</x:v>
      </x:c>
      <x:c r="L604" s="24" t="n">
        <x:v>0.022071307300509338</x:v>
      </x:c>
    </x:row>
    <x:row r="605">
      <x:c r="G605" t="str">
        <x:v>BNA-SFO</x:v>
      </x:c>
      <x:c r="H605" t="str">
        <x:v>BNA</x:v>
      </x:c>
      <x:c r="I605" t="str">
        <x:v>SFO</x:v>
      </x:c>
      <x:c r="J605" s="23" t="n">
        <x:v>2238</x:v>
      </x:c>
      <x:c r="K605" s="24" t="n">
        <x:v>0.2537980339588919</x:v>
      </x:c>
      <x:c r="L605" s="24" t="n">
        <x:v>0.017873100983020553</x:v>
      </x:c>
    </x:row>
    <x:row r="606">
      <x:c r="G606" t="str">
        <x:v>MKE-ORD</x:v>
      </x:c>
      <x:c r="H606" t="str">
        <x:v>MKE</x:v>
      </x:c>
      <x:c r="I606" t="str">
        <x:v>ORD</x:v>
      </x:c>
      <x:c r="J606" s="23" t="n">
        <x:v>8701</x:v>
      </x:c>
      <x:c r="K606" s="24" t="n">
        <x:v>0.2537639351798644</x:v>
      </x:c>
      <x:c r="L606" s="24" t="n">
        <x:v>0.022066429146075164</x:v>
      </x:c>
    </x:row>
    <x:row r="607">
      <x:c r="G607" t="str">
        <x:v>MDW-CLT</x:v>
      </x:c>
      <x:c r="H607" t="str">
        <x:v>MDW</x:v>
      </x:c>
      <x:c r="I607" t="str">
        <x:v>CLT</x:v>
      </x:c>
      <x:c r="J607" s="23" t="n">
        <x:v>2400</x:v>
      </x:c>
      <x:c r="K607" s="24" t="n">
        <x:v>0.25375</x:v>
      </x:c>
      <x:c r="L607" s="24" t="n">
        <x:v>0.006666666666666667</x:v>
      </x:c>
    </x:row>
    <x:row r="608">
      <x:c r="G608" t="str">
        <x:v>IAH-MEM</x:v>
      </x:c>
      <x:c r="H608" t="str">
        <x:v>IAH</x:v>
      </x:c>
      <x:c r="I608" t="str">
        <x:v>MEM</x:v>
      </x:c>
      <x:c r="J608" s="23" t="n">
        <x:v>1975</x:v>
      </x:c>
      <x:c r="K608" s="24" t="n">
        <x:v>0.25367088607594934</x:v>
      </x:c>
      <x:c r="L608" s="24" t="n">
        <x:v>0.016708860759493672</x:v>
      </x:c>
    </x:row>
    <x:row r="609">
      <x:c r="G609" t="str">
        <x:v>DEN-IAH</x:v>
      </x:c>
      <x:c r="H609" t="str">
        <x:v>DEN</x:v>
      </x:c>
      <x:c r="I609" t="str">
        <x:v>IAH</x:v>
      </x:c>
      <x:c r="J609" s="23" t="n">
        <x:v>14689</x:v>
      </x:c>
      <x:c r="K609" s="24" t="n">
        <x:v>0.25365920076247533</x:v>
      </x:c>
      <x:c r="L609" s="24" t="n">
        <x:v>0.01041595751923208</x:v>
      </x:c>
    </x:row>
    <x:row r="610">
      <x:c r="G610" t="str">
        <x:v>DFW-BZN</x:v>
      </x:c>
      <x:c r="H610" t="str">
        <x:v>DFW</x:v>
      </x:c>
      <x:c r="I610" t="str">
        <x:v>BZN</x:v>
      </x:c>
      <x:c r="J610" s="23" t="n">
        <x:v>1992</x:v>
      </x:c>
      <x:c r="K610" s="24" t="n">
        <x:v>0.2535140562248996</x:v>
      </x:c>
      <x:c r="L610" s="24" t="n">
        <x:v>0.007530120481927711</x:v>
      </x:c>
    </x:row>
    <x:row r="611">
      <x:c r="G611" t="str">
        <x:v>SAN-LAS</x:v>
      </x:c>
      <x:c r="H611" t="str">
        <x:v>SAN</x:v>
      </x:c>
      <x:c r="I611" t="str">
        <x:v>LAS</x:v>
      </x:c>
      <x:c r="J611" s="23" t="n">
        <x:v>20721</x:v>
      </x:c>
      <x:c r="K611" s="24" t="n">
        <x:v>0.2534626707205251</x:v>
      </x:c>
      <x:c r="L611" s="24" t="n">
        <x:v>0.0164567347135756</x:v>
      </x:c>
    </x:row>
    <x:row r="612">
      <x:c r="G612" t="str">
        <x:v>MIA-HOU</x:v>
      </x:c>
      <x:c r="H612" t="str">
        <x:v>MIA</x:v>
      </x:c>
      <x:c r="I612" t="str">
        <x:v>HOU</x:v>
      </x:c>
      <x:c r="J612" s="23" t="n">
        <x:v>1973</x:v>
      </x:c>
      <x:c r="K612" s="24" t="n">
        <x:v>0.25342118601115055</x:v>
      </x:c>
      <x:c r="L612" s="24" t="n">
        <x:v>0.011150532184490624</x:v>
      </x:c>
    </x:row>
    <x:row r="613">
      <x:c r="G613" t="str">
        <x:v>MCO-STL</x:v>
      </x:c>
      <x:c r="H613" t="str">
        <x:v>MCO</x:v>
      </x:c>
      <x:c r="I613" t="str">
        <x:v>STL</x:v>
      </x:c>
      <x:c r="J613" s="23" t="n">
        <x:v>7317</x:v>
      </x:c>
      <x:c r="K613" s="24" t="n">
        <x:v>0.25338253382533826</x:v>
      </x:c>
      <x:c r="L613" s="24" t="n">
        <x:v>0.01079677463441301</x:v>
      </x:c>
    </x:row>
    <x:row r="614">
      <x:c r="G614" t="str">
        <x:v>DCA-OKC</x:v>
      </x:c>
      <x:c r="H614" t="str">
        <x:v>DCA</x:v>
      </x:c>
      <x:c r="I614" t="str">
        <x:v>OKC</x:v>
      </x:c>
      <x:c r="J614" s="23" t="n">
        <x:v>2104</x:v>
      </x:c>
      <x:c r="K614" s="24" t="n">
        <x:v>0.25332699619771865</x:v>
      </x:c>
      <x:c r="L614" s="24" t="n">
        <x:v>0.012832699619771864</x:v>
      </x:c>
    </x:row>
    <x:row r="615">
      <x:c r="G615" t="str">
        <x:v>MCO-BUF</x:v>
      </x:c>
      <x:c r="H615" t="str">
        <x:v>MCO</x:v>
      </x:c>
      <x:c r="I615" t="str">
        <x:v>BUF</x:v>
      </x:c>
      <x:c r="J615" s="23" t="n">
        <x:v>5107</x:v>
      </x:c>
      <x:c r="K615" s="24" t="n">
        <x:v>0.25318190718621497</x:v>
      </x:c>
      <x:c r="L615" s="24" t="n">
        <x:v>0.013315057763853534</x:v>
      </x:c>
    </x:row>
    <x:row r="616">
      <x:c r="G616" t="str">
        <x:v>DEN-TUL</x:v>
      </x:c>
      <x:c r="H616" t="str">
        <x:v>DEN</x:v>
      </x:c>
      <x:c r="I616" t="str">
        <x:v>TUL</x:v>
      </x:c>
      <x:c r="J616" s="23" t="n">
        <x:v>6533</x:v>
      </x:c>
      <x:c r="K616" s="24" t="n">
        <x:v>0.2531761824582887</x:v>
      </x:c>
      <x:c r="L616" s="24" t="n">
        <x:v>0.006888106536047757</x:v>
      </x:c>
    </x:row>
    <x:row r="617">
      <x:c r="G617" t="str">
        <x:v>DCA-FLL</x:v>
      </x:c>
      <x:c r="H617" t="str">
        <x:v>DCA</x:v>
      </x:c>
      <x:c r="I617" t="str">
        <x:v>FLL</x:v>
      </x:c>
      <x:c r="J617" s="23" t="n">
        <x:v>7181</x:v>
      </x:c>
      <x:c r="K617" s="24" t="n">
        <x:v>0.2531680824397716</x:v>
      </x:c>
      <x:c r="L617" s="24" t="n">
        <x:v>0.016710764517476676</x:v>
      </x:c>
    </x:row>
    <x:row r="618">
      <x:c r="G618" t="str">
        <x:v>MCO-ORD</x:v>
      </x:c>
      <x:c r="H618" t="str">
        <x:v>MCO</x:v>
      </x:c>
      <x:c r="I618" t="str">
        <x:v>ORD</x:v>
      </x:c>
      <x:c r="J618" s="23" t="n">
        <x:v>16211</x:v>
      </x:c>
      <x:c r="K618" s="24" t="n">
        <x:v>0.2531614335944729</x:v>
      </x:c>
      <x:c r="L618" s="24" t="n">
        <x:v>0.013509345506137808</x:v>
      </x:c>
    </x:row>
    <x:row r="619">
      <x:c r="G619" t="str">
        <x:v>BZN-LAS</x:v>
      </x:c>
      <x:c r="H619" t="str">
        <x:v>BZN</x:v>
      </x:c>
      <x:c r="I619" t="str">
        <x:v>LAS</x:v>
      </x:c>
      <x:c r="J619" s="23" t="n">
        <x:v>2098</x:v>
      </x:c>
      <x:c r="K619" s="24" t="n">
        <x:v>0.2530981887511916</x:v>
      </x:c>
      <x:c r="L619" s="24" t="n">
        <x:v>0.00667302192564347</x:v>
      </x:c>
    </x:row>
    <x:row r="620">
      <x:c r="G620" t="str">
        <x:v>IAH-COS</x:v>
      </x:c>
      <x:c r="H620" t="str">
        <x:v>IAH</x:v>
      </x:c>
      <x:c r="I620" t="str">
        <x:v>COS</x:v>
      </x:c>
      <x:c r="J620" s="23" t="n">
        <x:v>1059</x:v>
      </x:c>
      <x:c r="K620" s="24" t="n">
        <x:v>0.2530689329556185</x:v>
      </x:c>
      <x:c r="L620" s="24" t="n">
        <x:v>0.014164305949008499</x:v>
      </x:c>
    </x:row>
    <x:row r="621">
      <x:c r="G621" t="str">
        <x:v>JFK-ROC</x:v>
      </x:c>
      <x:c r="H621" t="str">
        <x:v>JFK</x:v>
      </x:c>
      <x:c r="I621" t="str">
        <x:v>ROC</x:v>
      </x:c>
      <x:c r="J621" s="23" t="n">
        <x:v>4489</x:v>
      </x:c>
      <x:c r="K621" s="24" t="n">
        <x:v>0.2530630429939853</x:v>
      </x:c>
      <x:c r="L621" s="24" t="n">
        <x:v>0.034306081532635334</x:v>
      </x:c>
    </x:row>
    <x:row r="622">
      <x:c r="G622" t="str">
        <x:v>MDW-OKC</x:v>
      </x:c>
      <x:c r="H622" t="str">
        <x:v>MDW</x:v>
      </x:c>
      <x:c r="I622" t="str">
        <x:v>OKC</x:v>
      </x:c>
      <x:c r="J622" s="23" t="n">
        <x:v>1569</x:v>
      </x:c>
      <x:c r="K622" s="24" t="n">
        <x:v>0.2530274059910771</x:v>
      </x:c>
      <x:c r="L622" s="24" t="n">
        <x:v>0.008922880815806247</x:v>
      </x:c>
    </x:row>
    <x:row r="623">
      <x:c r="G623" t="str">
        <x:v>BWI-PIT</x:v>
      </x:c>
      <x:c r="H623" t="str">
        <x:v>BWI</x:v>
      </x:c>
      <x:c r="I623" t="str">
        <x:v>PIT</x:v>
      </x:c>
      <x:c r="J623" s="23" t="n">
        <x:v>3170</x:v>
      </x:c>
      <x:c r="K623" s="24" t="n">
        <x:v>0.25299684542586753</x:v>
      </x:c>
      <x:c r="L623" s="24" t="n">
        <x:v>0.008832807570977918</x:v>
      </x:c>
    </x:row>
    <x:row r="624">
      <x:c r="G624" t="str">
        <x:v>LAS-OKC</x:v>
      </x:c>
      <x:c r="H624" t="str">
        <x:v>LAS</x:v>
      </x:c>
      <x:c r="I624" t="str">
        <x:v>OKC</x:v>
      </x:c>
      <x:c r="J624" s="23" t="n">
        <x:v>3313</x:v>
      </x:c>
      <x:c r="K624" s="24" t="n">
        <x:v>0.2529429520072442</x:v>
      </x:c>
      <x:c r="L624" s="24" t="n">
        <x:v>0.005433142167220043</x:v>
      </x:c>
    </x:row>
    <x:row r="625">
      <x:c r="G625" t="str">
        <x:v>BZN-DFW</x:v>
      </x:c>
      <x:c r="H625" t="str">
        <x:v>BZN</x:v>
      </x:c>
      <x:c r="I625" t="str">
        <x:v>DFW</x:v>
      </x:c>
      <x:c r="J625" s="23" t="n">
        <x:v>1993</x:v>
      </x:c>
      <x:c r="K625" s="24" t="n">
        <x:v>0.25288509784244856</x:v>
      </x:c>
      <x:c r="L625" s="24" t="n">
        <x:v>0.008028098344204716</x:v>
      </x:c>
    </x:row>
    <x:row r="626">
      <x:c r="G626" t="str">
        <x:v>AVP-ORD</x:v>
      </x:c>
      <x:c r="H626" t="str">
        <x:v>AVP</x:v>
      </x:c>
      <x:c r="I626" t="str">
        <x:v>ORD</x:v>
      </x:c>
      <x:c r="J626" s="23" t="n">
        <x:v>1926</x:v>
      </x:c>
      <x:c r="K626" s="24" t="n">
        <x:v>0.2528556593977155</x:v>
      </x:c>
      <x:c r="L626" s="24" t="n">
        <x:v>0.017133956386292833</x:v>
      </x:c>
    </x:row>
    <x:row r="627">
      <x:c r="G627" t="str">
        <x:v>DFW-ORD</x:v>
      </x:c>
      <x:c r="H627" t="str">
        <x:v>DFW</x:v>
      </x:c>
      <x:c r="I627" t="str">
        <x:v>ORD</x:v>
      </x:c>
      <x:c r="J627" s="23" t="n">
        <x:v>19090</x:v>
      </x:c>
      <x:c r="K627" s="24" t="n">
        <x:v>0.25285489785227866</x:v>
      </x:c>
      <x:c r="L627" s="24" t="n">
        <x:v>0.01744368779465689</x:v>
      </x:c>
    </x:row>
    <x:row r="628">
      <x:c r="G628" t="str">
        <x:v>EWR-SEA</x:v>
      </x:c>
      <x:c r="H628" t="str">
        <x:v>EWR</x:v>
      </x:c>
      <x:c r="I628" t="str">
        <x:v>SEA</x:v>
      </x:c>
      <x:c r="J628" s="23" t="n">
        <x:v>6127</x:v>
      </x:c>
      <x:c r="K628" s="24" t="n">
        <x:v>0.25281540721397094</x:v>
      </x:c>
      <x:c r="L628" s="24" t="n">
        <x:v>0.018932593438877102</x:v>
      </x:c>
    </x:row>
    <x:row r="629">
      <x:c r="G629" t="str">
        <x:v>DEN-SEA</x:v>
      </x:c>
      <x:c r="H629" t="str">
        <x:v>DEN</x:v>
      </x:c>
      <x:c r="I629" t="str">
        <x:v>SEA</x:v>
      </x:c>
      <x:c r="J629" s="23" t="n">
        <x:v>19774</x:v>
      </x:c>
      <x:c r="K629" s="24" t="n">
        <x:v>0.25280671588955195</x:v>
      </x:c>
      <x:c r="L629" s="24" t="n">
        <x:v>0.007636290077880045</x:v>
      </x:c>
    </x:row>
    <x:row r="630">
      <x:c r="G630" t="str">
        <x:v>PRC-LAX</x:v>
      </x:c>
      <x:c r="H630" t="str">
        <x:v>PRC</x:v>
      </x:c>
      <x:c r="I630" t="str">
        <x:v>LAX</x:v>
      </x:c>
      <x:c r="J630" s="23" t="n">
        <x:v>1088</x:v>
      </x:c>
      <x:c r="K630" s="24" t="n">
        <x:v>0.25275735294117646</x:v>
      </x:c>
      <x:c r="L630" s="24" t="n">
        <x:v>0.012867647058823529</x:v>
      </x:c>
    </x:row>
    <x:row r="631">
      <x:c r="G631" t="str">
        <x:v>DEN-ORD</x:v>
      </x:c>
      <x:c r="H631" t="str">
        <x:v>DEN</x:v>
      </x:c>
      <x:c r="I631" t="str">
        <x:v>ORD</x:v>
      </x:c>
      <x:c r="J631" s="23" t="n">
        <x:v>19058</x:v>
      </x:c>
      <x:c r="K631" s="24" t="n">
        <x:v>0.2527547486619792</x:v>
      </x:c>
      <x:c r="L631" s="24" t="n">
        <x:v>0.010389337810893063</x:v>
      </x:c>
    </x:row>
    <x:row r="632">
      <x:c r="G632" t="str">
        <x:v>MDW-MYR</x:v>
      </x:c>
      <x:c r="H632" t="str">
        <x:v>MDW</x:v>
      </x:c>
      <x:c r="I632" t="str">
        <x:v>MYR</x:v>
      </x:c>
      <x:c r="J632" s="23" t="n">
        <x:v>1306</x:v>
      </x:c>
      <x:c r="K632" s="24" t="n">
        <x:v>0.25267993874425726</x:v>
      </x:c>
      <x:c r="L632" s="24" t="n">
        <x:v>0.007656967840735069</x:v>
      </x:c>
    </x:row>
    <x:row r="633">
      <x:c r="G633" t="str">
        <x:v>SRQ-PHL</x:v>
      </x:c>
      <x:c r="H633" t="str">
        <x:v>SRQ</x:v>
      </x:c>
      <x:c r="I633" t="str">
        <x:v>PHL</x:v>
      </x:c>
      <x:c r="J633" s="23" t="n">
        <x:v>1615</x:v>
      </x:c>
      <x:c r="K633" s="24" t="n">
        <x:v>0.25263157894736843</x:v>
      </x:c>
      <x:c r="L633" s="24" t="n">
        <x:v>0.034055727554179564</x:v>
      </x:c>
    </x:row>
    <x:row r="634">
      <x:c r="G634" t="str">
        <x:v>DEN-MDW</x:v>
      </x:c>
      <x:c r="H634" t="str">
        <x:v>DEN</x:v>
      </x:c>
      <x:c r="I634" t="str">
        <x:v>MDW</x:v>
      </x:c>
      <x:c r="J634" s="23" t="n">
        <x:v>9512</x:v>
      </x:c>
      <x:c r="K634" s="24" t="n">
        <x:v>0.2526282590412111</x:v>
      </x:c>
      <x:c r="L634" s="24" t="n">
        <x:v>0.017451640033641715</x:v>
      </x:c>
    </x:row>
    <x:row r="635">
      <x:c r="G635" t="str">
        <x:v>MCI-DFW</x:v>
      </x:c>
      <x:c r="H635" t="str">
        <x:v>MCI</x:v>
      </x:c>
      <x:c r="I635" t="str">
        <x:v>DFW</x:v>
      </x:c>
      <x:c r="J635" s="23" t="n">
        <x:v>7312</x:v>
      </x:c>
      <x:c r="K635" s="24" t="n">
        <x:v>0.2525984682713348</x:v>
      </x:c>
      <x:c r="L635" s="24" t="n">
        <x:v>0.024480306345733043</x:v>
      </x:c>
    </x:row>
    <x:row r="636">
      <x:c r="G636" t="str">
        <x:v>DEN-OMA</x:v>
      </x:c>
      <x:c r="H636" t="str">
        <x:v>DEN</x:v>
      </x:c>
      <x:c r="I636" t="str">
        <x:v>OMA</x:v>
      </x:c>
      <x:c r="J636" s="23" t="n">
        <x:v>9807</x:v>
      </x:c>
      <x:c r="K636" s="24" t="n">
        <x:v>0.2525746915468543</x:v>
      </x:c>
      <x:c r="L636" s="24" t="n">
        <x:v>0.009992862241256246</x:v>
      </x:c>
    </x:row>
    <x:row r="637">
      <x:c r="G637" t="str">
        <x:v>CLT-ALB</x:v>
      </x:c>
      <x:c r="H637" t="str">
        <x:v>CLT</x:v>
      </x:c>
      <x:c r="I637" t="str">
        <x:v>ALB</x:v>
      </x:c>
      <x:c r="J637" s="23" t="n">
        <x:v>3405</x:v>
      </x:c>
      <x:c r="K637" s="24" t="n">
        <x:v>0.2525697503671072</x:v>
      </x:c>
      <x:c r="L637" s="24" t="n">
        <x:v>0.01145374449339207</x:v>
      </x:c>
    </x:row>
    <x:row r="638">
      <x:c r="G638" t="str">
        <x:v>JFK-MIA</x:v>
      </x:c>
      <x:c r="H638" t="str">
        <x:v>JFK</x:v>
      </x:c>
      <x:c r="I638" t="str">
        <x:v>MIA</x:v>
      </x:c>
      <x:c r="J638" s="23" t="n">
        <x:v>16437</x:v>
      </x:c>
      <x:c r="K638" s="24" t="n">
        <x:v>0.25254000121676706</x:v>
      </x:c>
      <x:c r="L638" s="24" t="n">
        <x:v>0.017643122224250168</x:v>
      </x:c>
    </x:row>
    <x:row r="639">
      <x:c r="G639" t="str">
        <x:v>MIA-DCA</x:v>
      </x:c>
      <x:c r="H639" t="str">
        <x:v>MIA</x:v>
      </x:c>
      <x:c r="I639" t="str">
        <x:v>DCA</x:v>
      </x:c>
      <x:c r="J639" s="23" t="n">
        <x:v>11143</x:v>
      </x:c>
      <x:c r="K639" s="24" t="n">
        <x:v>0.2525352239073858</x:v>
      </x:c>
      <x:c r="L639" s="24" t="n">
        <x:v>0.01714080588710401</x:v>
      </x:c>
    </x:row>
    <x:row r="640">
      <x:c r="G640" t="str">
        <x:v>SAV-DAL</x:v>
      </x:c>
      <x:c r="H640" t="str">
        <x:v>SAV</x:v>
      </x:c>
      <x:c r="I640" t="str">
        <x:v>DAL</x:v>
      </x:c>
      <x:c r="J640" s="23" t="n">
        <x:v>1097</x:v>
      </x:c>
      <x:c r="K640" s="24" t="n">
        <x:v>0.25250683682771197</x:v>
      </x:c>
      <x:c r="L640" s="24" t="n">
        <x:v>0.004557885141294439</x:v>
      </x:c>
    </x:row>
    <x:row r="641">
      <x:c r="G641" t="str">
        <x:v>PBI-EWR</x:v>
      </x:c>
      <x:c r="H641" t="str">
        <x:v>PBI</x:v>
      </x:c>
      <x:c r="I641" t="str">
        <x:v>EWR</x:v>
      </x:c>
      <x:c r="J641" s="23" t="n">
        <x:v>10190</x:v>
      </x:c>
      <x:c r="K641" s="24" t="n">
        <x:v>0.25250245338567223</x:v>
      </x:c>
      <x:c r="L641" s="24" t="n">
        <x:v>0.026005888125613347</x:v>
      </x:c>
    </x:row>
    <x:row r="642">
      <x:c r="G642" t="str">
        <x:v>MCO-MKE</x:v>
      </x:c>
      <x:c r="H642" t="str">
        <x:v>MCO</x:v>
      </x:c>
      <x:c r="I642" t="str">
        <x:v>MKE</x:v>
      </x:c>
      <x:c r="J642" s="23" t="n">
        <x:v>4777</x:v>
      </x:c>
      <x:c r="K642" s="24" t="n">
        <x:v>0.2524597027423069</x:v>
      </x:c>
      <x:c r="L642" s="24" t="n">
        <x:v>0.011722838601632824</x:v>
      </x:c>
    </x:row>
    <x:row r="643">
      <x:c r="G643" t="str">
        <x:v>ISP-PBI</x:v>
      </x:c>
      <x:c r="H643" t="str">
        <x:v>ISP</x:v>
      </x:c>
      <x:c r="I643" t="str">
        <x:v>PBI</x:v>
      </x:c>
      <x:c r="J643" s="23" t="n">
        <x:v>3039</x:v>
      </x:c>
      <x:c r="K643" s="24" t="n">
        <x:v>0.25238565317538664</x:v>
      </x:c>
      <x:c r="L643" s="24" t="n">
        <x:v>0.01085883514313919</x:v>
      </x:c>
    </x:row>
    <x:row r="644">
      <x:c r="G644" t="str">
        <x:v>DEN-MKE</x:v>
      </x:c>
      <x:c r="H644" t="str">
        <x:v>DEN</x:v>
      </x:c>
      <x:c r="I644" t="str">
        <x:v>MKE</x:v>
      </x:c>
      <x:c r="J644" s="23" t="n">
        <x:v>7770</x:v>
      </x:c>
      <x:c r="K644" s="24" t="n">
        <x:v>0.2523809523809524</x:v>
      </x:c>
      <x:c r="L644" s="24" t="n">
        <x:v>0.010167310167310168</x:v>
      </x:c>
    </x:row>
    <x:row r="645">
      <x:c r="G645" t="str">
        <x:v>CLT-JFK</x:v>
      </x:c>
      <x:c r="H645" t="str">
        <x:v>CLT</x:v>
      </x:c>
      <x:c r="I645" t="str">
        <x:v>JFK</x:v>
      </x:c>
      <x:c r="J645" s="23" t="n">
        <x:v>9243</x:v>
      </x:c>
      <x:c r="K645" s="24" t="n">
        <x:v>0.25219084712755596</x:v>
      </x:c>
      <x:c r="L645" s="24" t="n">
        <x:v>0.021854376284756033</x:v>
      </x:c>
    </x:row>
    <x:row r="646">
      <x:c r="G646" t="str">
        <x:v>DEN-SAN</x:v>
      </x:c>
      <x:c r="H646" t="str">
        <x:v>DEN</x:v>
      </x:c>
      <x:c r="I646" t="str">
        <x:v>SAN</x:v>
      </x:c>
      <x:c r="J646" s="23" t="n">
        <x:v>16431</x:v>
      </x:c>
      <x:c r="K646" s="24" t="n">
        <x:v>0.25202361390055383</x:v>
      </x:c>
      <x:c r="L646" s="24" t="n">
        <x:v>0.011380926297851621</x:v>
      </x:c>
    </x:row>
    <x:row r="647">
      <x:c r="G647" t="str">
        <x:v>CLT-LAS</x:v>
      </x:c>
      <x:c r="H647" t="str">
        <x:v>CLT</x:v>
      </x:c>
      <x:c r="I647" t="str">
        <x:v>LAS</x:v>
      </x:c>
      <x:c r="J647" s="23" t="n">
        <x:v>7805</x:v>
      </x:c>
      <x:c r="K647" s="24" t="n">
        <x:v>0.2520179372197309</x:v>
      </x:c>
      <x:c r="L647" s="24" t="n">
        <x:v>0.009096732863549006</x:v>
      </x:c>
    </x:row>
    <x:row r="648">
      <x:c r="G648" t="str">
        <x:v>PHX-CMH</x:v>
      </x:c>
      <x:c r="H648" t="str">
        <x:v>PHX</x:v>
      </x:c>
      <x:c r="I648" t="str">
        <x:v>CMH</x:v>
      </x:c>
      <x:c r="J648" s="23" t="n">
        <x:v>3135</x:v>
      </x:c>
      <x:c r="K648" s="24" t="n">
        <x:v>0.25199362041467305</x:v>
      </x:c>
      <x:c r="L648" s="24" t="n">
        <x:v>0.0022328548644338117</x:v>
      </x:c>
    </x:row>
    <x:row r="649">
      <x:c r="G649" t="str">
        <x:v>MIA-PHL</x:v>
      </x:c>
      <x:c r="H649" t="str">
        <x:v>MIA</x:v>
      </x:c>
      <x:c r="I649" t="str">
        <x:v>PHL</x:v>
      </x:c>
      <x:c r="J649" s="23" t="n">
        <x:v>9406</x:v>
      </x:c>
      <x:c r="K649" s="24" t="n">
        <x:v>0.25196682968318096</x:v>
      </x:c>
      <x:c r="L649" s="24" t="n">
        <x:v>0.015628322347437804</x:v>
      </x:c>
    </x:row>
    <x:row r="650">
      <x:c r="G650" t="str">
        <x:v>DEN-SMF</x:v>
      </x:c>
      <x:c r="H650" t="str">
        <x:v>DEN</x:v>
      </x:c>
      <x:c r="I650" t="str">
        <x:v>SMF</x:v>
      </x:c>
      <x:c r="J650" s="23" t="n">
        <x:v>11921</x:v>
      </x:c>
      <x:c r="K650" s="24" t="n">
        <x:v>0.25190839694656486</x:v>
      </x:c>
      <x:c r="L650" s="24" t="n">
        <x:v>0.0078852445264659</x:v>
      </x:c>
    </x:row>
    <x:row r="651">
      <x:c r="G651" t="str">
        <x:v>LAS-PIT</x:v>
      </x:c>
      <x:c r="H651" t="str">
        <x:v>LAS</x:v>
      </x:c>
      <x:c r="I651" t="str">
        <x:v>PIT</x:v>
      </x:c>
      <x:c r="J651" s="23" t="n">
        <x:v>2617</x:v>
      </x:c>
      <x:c r="K651" s="24" t="n">
        <x:v>0.25181505540695454</x:v>
      </x:c>
      <x:c r="L651" s="24" t="n">
        <x:v>0.0038211692777990066</x:v>
      </x:c>
    </x:row>
    <x:row r="652">
      <x:c r="G652" t="str">
        <x:v>CLT-DAL</x:v>
      </x:c>
      <x:c r="H652" t="str">
        <x:v>CLT</x:v>
      </x:c>
      <x:c r="I652" t="str">
        <x:v>DAL</x:v>
      </x:c>
      <x:c r="J652" s="23" t="n">
        <x:v>1128</x:v>
      </x:c>
      <x:c r="K652" s="24" t="n">
        <x:v>0.25177304964539005</x:v>
      </x:c>
      <x:c r="L652" s="24" t="n">
        <x:v>0.005319148936170213</x:v>
      </x:c>
    </x:row>
    <x:row r="653">
      <x:c r="G653" t="str">
        <x:v>RDU-DCA</x:v>
      </x:c>
      <x:c r="H653" t="str">
        <x:v>RDU</x:v>
      </x:c>
      <x:c r="I653" t="str">
        <x:v>DCA</x:v>
      </x:c>
      <x:c r="J653" s="23" t="n">
        <x:v>7537</x:v>
      </x:c>
      <x:c r="K653" s="24" t="n">
        <x:v>0.25169165450444475</x:v>
      </x:c>
      <x:c r="L653" s="24" t="n">
        <x:v>0.021759320684622527</x:v>
      </x:c>
    </x:row>
    <x:row r="654">
      <x:c r="G654" t="str">
        <x:v>DEN-MSY</x:v>
      </x:c>
      <x:c r="H654" t="str">
        <x:v>DEN</x:v>
      </x:c>
      <x:c r="I654" t="str">
        <x:v>MSY</x:v>
      </x:c>
      <x:c r="J654" s="23" t="n">
        <x:v>6799</x:v>
      </x:c>
      <x:c r="K654" s="24" t="n">
        <x:v>0.2516546550963377</x:v>
      </x:c>
      <x:c r="L654" s="24" t="n">
        <x:v>0.01117811442859244</x:v>
      </x:c>
    </x:row>
    <x:row r="655">
      <x:c r="G655" t="str">
        <x:v>TPA-DFW</x:v>
      </x:c>
      <x:c r="H655" t="str">
        <x:v>TPA</x:v>
      </x:c>
      <x:c r="I655" t="str">
        <x:v>DFW</x:v>
      </x:c>
      <x:c r="J655" s="23" t="n">
        <x:v>8643</x:v>
      </x:c>
      <x:c r="K655" s="24" t="n">
        <x:v>0.2516487330787921</x:v>
      </x:c>
      <x:c r="L655" s="24" t="n">
        <x:v>0.027768136063866713</x:v>
      </x:c>
    </x:row>
    <x:row r="656">
      <x:c r="G656" t="str">
        <x:v>EWR-LAX</x:v>
      </x:c>
      <x:c r="H656" t="str">
        <x:v>EWR</x:v>
      </x:c>
      <x:c r="I656" t="str">
        <x:v>LAX</x:v>
      </x:c>
      <x:c r="J656" s="23" t="n">
        <x:v>16690</x:v>
      </x:c>
      <x:c r="K656" s="24" t="n">
        <x:v>0.2516476932294787</x:v>
      </x:c>
      <x:c r="L656" s="24" t="n">
        <x:v>0.018933493109646496</x:v>
      </x:c>
    </x:row>
    <x:row r="657">
      <x:c r="G657" t="str">
        <x:v>SFO-EWR</x:v>
      </x:c>
      <x:c r="H657" t="str">
        <x:v>SFO</x:v>
      </x:c>
      <x:c r="I657" t="str">
        <x:v>EWR</x:v>
      </x:c>
      <x:c r="J657" s="23" t="n">
        <x:v>12627</x:v>
      </x:c>
      <x:c r="K657" s="24" t="n">
        <x:v>0.25160370634354956</x:v>
      </x:c>
      <x:c r="L657" s="24" t="n">
        <x:v>0.016868614872891423</x:v>
      </x:c>
    </x:row>
    <x:row r="658">
      <x:c r="G658" t="str">
        <x:v>DAL-BUR</x:v>
      </x:c>
      <x:c r="H658" t="str">
        <x:v>DAL</x:v>
      </x:c>
      <x:c r="I658" t="str">
        <x:v>BUR</x:v>
      </x:c>
      <x:c r="J658" s="23" t="n">
        <x:v>1272</x:v>
      </x:c>
      <x:c r="K658" s="24" t="n">
        <x:v>0.25157232704402516</x:v>
      </x:c>
      <x:c r="L658" s="24" t="n">
        <x:v>0.01179245283018868</x:v>
      </x:c>
    </x:row>
    <x:row r="659">
      <x:c r="G659" t="str">
        <x:v>DEN-IND</x:v>
      </x:c>
      <x:c r="H659" t="str">
        <x:v>DEN</x:v>
      </x:c>
      <x:c r="I659" t="str">
        <x:v>IND</x:v>
      </x:c>
      <x:c r="J659" s="23" t="n">
        <x:v>7748</x:v>
      </x:c>
      <x:c r="K659" s="24" t="n">
        <x:v>0.25154878678368614</x:v>
      </x:c>
      <x:c r="L659" s="24" t="n">
        <x:v>0.008002065049044915</x:v>
      </x:c>
    </x:row>
    <x:row r="660">
      <x:c r="G660" t="str">
        <x:v>PHL-FLL</x:v>
      </x:c>
      <x:c r="H660" t="str">
        <x:v>PHL</x:v>
      </x:c>
      <x:c r="I660" t="str">
        <x:v>FLL</x:v>
      </x:c>
      <x:c r="J660" s="23" t="n">
        <x:v>7927</x:v>
      </x:c>
      <x:c r="K660" s="24" t="n">
        <x:v>0.2515453513308944</x:v>
      </x:c>
      <x:c r="L660" s="24" t="n">
        <x:v>0.016525797905891256</x:v>
      </x:c>
    </x:row>
    <x:row r="661">
      <x:c r="G661" t="str">
        <x:v>PHL-ORF</x:v>
      </x:c>
      <x:c r="H661" t="str">
        <x:v>PHL</x:v>
      </x:c>
      <x:c r="I661" t="str">
        <x:v>ORF</x:v>
      </x:c>
      <x:c r="J661" s="23" t="n">
        <x:v>2505</x:v>
      </x:c>
      <x:c r="K661" s="24" t="n">
        <x:v>0.25149700598802394</x:v>
      </x:c>
      <x:c r="L661" s="24" t="n">
        <x:v>0.021157684630738523</x:v>
      </x:c>
    </x:row>
    <x:row r="662">
      <x:c r="G662" t="str">
        <x:v>ORD-MSP</x:v>
      </x:c>
      <x:c r="H662" t="str">
        <x:v>ORD</x:v>
      </x:c>
      <x:c r="I662" t="str">
        <x:v>MSP</x:v>
      </x:c>
      <x:c r="J662" s="23" t="n">
        <x:v>17128</x:v>
      </x:c>
      <x:c r="K662" s="24" t="n">
        <x:v>0.25145959831854275</x:v>
      </x:c>
      <x:c r="L662" s="24" t="n">
        <x:v>0.01226062587575899</x:v>
      </x:c>
    </x:row>
    <x:row r="663">
      <x:c r="G663" t="str">
        <x:v>DAL-DCA</x:v>
      </x:c>
      <x:c r="H663" t="str">
        <x:v>DAL</x:v>
      </x:c>
      <x:c r="I663" t="str">
        <x:v>DCA</x:v>
      </x:c>
      <x:c r="J663" s="23" t="n">
        <x:v>5131</x:v>
      </x:c>
      <x:c r="K663" s="24" t="n">
        <x:v>0.25141297992594036</x:v>
      </x:c>
      <x:c r="L663" s="24" t="n">
        <x:v>0.015006821282401092</x:v>
      </x:c>
    </x:row>
    <x:row r="664">
      <x:c r="G664" t="str">
        <x:v>ORD-LNK</x:v>
      </x:c>
      <x:c r="H664" t="str">
        <x:v>ORD</x:v>
      </x:c>
      <x:c r="I664" t="str">
        <x:v>LNK</x:v>
      </x:c>
      <x:c r="J664" s="23" t="n">
        <x:v>3099</x:v>
      </x:c>
      <x:c r="K664" s="24" t="n">
        <x:v>0.25137141013230074</x:v>
      </x:c>
      <x:c r="L664" s="24" t="n">
        <x:v>0.013230074217489512</x:v>
      </x:c>
    </x:row>
    <x:row r="665">
      <x:c r="G665" t="str">
        <x:v>MDW-BDL</x:v>
      </x:c>
      <x:c r="H665" t="str">
        <x:v>MDW</x:v>
      </x:c>
      <x:c r="I665" t="str">
        <x:v>BDL</x:v>
      </x:c>
      <x:c r="J665" s="23" t="n">
        <x:v>2224</x:v>
      </x:c>
      <x:c r="K665" s="24" t="n">
        <x:v>0.25134892086330934</x:v>
      </x:c>
      <x:c r="L665" s="24" t="n">
        <x:v>0.009892086330935251</x:v>
      </x:c>
    </x:row>
    <x:row r="666">
      <x:c r="G666" t="str">
        <x:v>SLC-LAS</x:v>
      </x:c>
      <x:c r="H666" t="str">
        <x:v>SLC</x:v>
      </x:c>
      <x:c r="I666" t="str">
        <x:v>LAS</x:v>
      </x:c>
      <x:c r="J666" s="23" t="n">
        <x:v>12816</x:v>
      </x:c>
      <x:c r="K666" s="24" t="n">
        <x:v>0.2513264669163546</x:v>
      </x:c>
      <x:c r="L666" s="24" t="n">
        <x:v>0.00749063670411985</x:v>
      </x:c>
    </x:row>
    <x:row r="667">
      <x:c r="G667" t="str">
        <x:v>LAS-DCA</x:v>
      </x:c>
      <x:c r="H667" t="str">
        <x:v>LAS</x:v>
      </x:c>
      <x:c r="I667" t="str">
        <x:v>DCA</x:v>
      </x:c>
      <x:c r="J667" s="23" t="n">
        <x:v>1409</x:v>
      </x:c>
      <x:c r="K667" s="24" t="n">
        <x:v>0.2512420156139106</x:v>
      </x:c>
      <x:c r="L667" s="24" t="n">
        <x:v>0.0042583392476933995</x:v>
      </x:c>
    </x:row>
    <x:row r="668">
      <x:c r="G668" t="str">
        <x:v>MDW-MIA</x:v>
      </x:c>
      <x:c r="H668" t="str">
        <x:v>MDW</x:v>
      </x:c>
      <x:c r="I668" t="str">
        <x:v>MIA</x:v>
      </x:c>
      <x:c r="J668" s="23" t="n">
        <x:v>2476</x:v>
      </x:c>
      <x:c r="K668" s="24" t="n">
        <x:v>0.25121163166397414</x:v>
      </x:c>
      <x:c r="L668" s="24" t="n">
        <x:v>0.018578352180936994</x:v>
      </x:c>
    </x:row>
    <x:row r="669">
      <x:c r="G669" t="str">
        <x:v>PDX-BOS</x:v>
      </x:c>
      <x:c r="H669" t="str">
        <x:v>PDX</x:v>
      </x:c>
      <x:c r="I669" t="str">
        <x:v>BOS</x:v>
      </x:c>
      <x:c r="J669" s="23" t="n">
        <x:v>1871</x:v>
      </x:c>
      <x:c r="K669" s="24" t="n">
        <x:v>0.25120256547300907</x:v>
      </x:c>
      <x:c r="L669" s="24" t="n">
        <x:v>0.00694815606627472</x:v>
      </x:c>
    </x:row>
    <x:row r="670">
      <x:c r="G670" t="str">
        <x:v>CLT-PIT</x:v>
      </x:c>
      <x:c r="H670" t="str">
        <x:v>CLT</x:v>
      </x:c>
      <x:c r="I670" t="str">
        <x:v>PIT</x:v>
      </x:c>
      <x:c r="J670" s="23" t="n">
        <x:v>5697</x:v>
      </x:c>
      <x:c r="K670" s="24" t="n">
        <x:v>0.25118483412322273</x:v>
      </x:c>
      <x:c r="L670" s="24" t="n">
        <x:v>0.007196770229945585</x:v>
      </x:c>
    </x:row>
    <x:row r="671">
      <x:c r="G671" t="str">
        <x:v>TPA-SAT</x:v>
      </x:c>
      <x:c r="H671" t="str">
        <x:v>TPA</x:v>
      </x:c>
      <x:c r="I671" t="str">
        <x:v>SAT</x:v>
      </x:c>
      <x:c r="J671" s="23" t="n">
        <x:v>1318</x:v>
      </x:c>
      <x:c r="K671" s="24" t="n">
        <x:v>0.2511380880121396</x:v>
      </x:c>
      <x:c r="L671" s="24" t="n">
        <x:v>0.009863429438543247</x:v>
      </x:c>
    </x:row>
    <x:row r="672">
      <x:c r="G672" t="str">
        <x:v>CMX-ORD</x:v>
      </x:c>
      <x:c r="H672" t="str">
        <x:v>CMX</x:v>
      </x:c>
      <x:c r="I672" t="str">
        <x:v>ORD</x:v>
      </x:c>
      <x:c r="J672" s="23" t="n">
        <x:v>2230</x:v>
      </x:c>
      <x:c r="K672" s="24" t="n">
        <x:v>0.25112107623318386</x:v>
      </x:c>
      <x:c r="L672" s="24" t="n">
        <x:v>0.0484304932735426</x:v>
      </x:c>
    </x:row>
    <x:row r="673">
      <x:c r="G673" t="str">
        <x:v>DAL-SAN</x:v>
      </x:c>
      <x:c r="H673" t="str">
        <x:v>DAL</x:v>
      </x:c>
      <x:c r="I673" t="str">
        <x:v>SAN</x:v>
      </x:c>
      <x:c r="J673" s="23" t="n">
        <x:v>4480</x:v>
      </x:c>
      <x:c r="K673" s="24" t="n">
        <x:v>0.25111607142857145</x:v>
      </x:c>
      <x:c r="L673" s="24" t="n">
        <x:v>0.013169642857142857</x:v>
      </x:c>
    </x:row>
    <x:row r="674">
      <x:c r="G674" t="str">
        <x:v>CLT-RDU</x:v>
      </x:c>
      <x:c r="H674" t="str">
        <x:v>CLT</x:v>
      </x:c>
      <x:c r="I674" t="str">
        <x:v>RDU</x:v>
      </x:c>
      <x:c r="J674" s="23" t="n">
        <x:v>10216</x:v>
      </x:c>
      <x:c r="K674" s="24" t="n">
        <x:v>0.2510767423649178</x:v>
      </x:c>
      <x:c r="L674" s="24" t="n">
        <x:v>0.011942051683633517</x:v>
      </x:c>
    </x:row>
    <x:row r="675">
      <x:c r="G675" t="str">
        <x:v>PHX-TPA</x:v>
      </x:c>
      <x:c r="H675" t="str">
        <x:v>PHX</x:v>
      </x:c>
      <x:c r="I675" t="str">
        <x:v>TPA</x:v>
      </x:c>
      <x:c r="J675" s="23" t="n">
        <x:v>3398</x:v>
      </x:c>
      <x:c r="K675" s="24" t="n">
        <x:v>0.25103001765744554</x:v>
      </x:c>
      <x:c r="L675" s="24" t="n">
        <x:v>0.008828722778104767</x:v>
      </x:c>
    </x:row>
    <x:row r="676">
      <x:c r="G676" t="str">
        <x:v>ORD-PIA</x:v>
      </x:c>
      <x:c r="H676" t="str">
        <x:v>ORD</x:v>
      </x:c>
      <x:c r="I676" t="str">
        <x:v>PIA</x:v>
      </x:c>
      <x:c r="J676" s="23" t="n">
        <x:v>4223</x:v>
      </x:c>
      <x:c r="K676" s="24" t="n">
        <x:v>0.2510063935590812</x:v>
      </x:c>
      <x:c r="L676" s="24" t="n">
        <x:v>0.02249585602652143</x:v>
      </x:c>
    </x:row>
    <x:row r="677">
      <x:c r="G677" t="str">
        <x:v>ORD-ABE</x:v>
      </x:c>
      <x:c r="H677" t="str">
        <x:v>ORD</x:v>
      </x:c>
      <x:c r="I677" t="str">
        <x:v>ABE</x:v>
      </x:c>
      <x:c r="J677" s="23" t="n">
        <x:v>1076</x:v>
      </x:c>
      <x:c r="K677" s="24" t="n">
        <x:v>0.25092936802973975</x:v>
      </x:c>
      <x:c r="L677" s="24" t="n">
        <x:v>0.020446096654275093</x:v>
      </x:c>
    </x:row>
    <x:row r="678">
      <x:c r="G678" t="str">
        <x:v>EWR-BOS</x:v>
      </x:c>
      <x:c r="H678" t="str">
        <x:v>EWR</x:v>
      </x:c>
      <x:c r="I678" t="str">
        <x:v>BOS</x:v>
      </x:c>
      <x:c r="J678" s="23" t="n">
        <x:v>12478</x:v>
      </x:c>
      <x:c r="K678" s="24" t="n">
        <x:v>0.2509216220548165</x:v>
      </x:c>
      <x:c r="L678" s="24" t="n">
        <x:v>0.03518192017951595</x:v>
      </x:c>
    </x:row>
    <x:row r="679">
      <x:c r="G679" t="str">
        <x:v>LAS-DAL</x:v>
      </x:c>
      <x:c r="H679" t="str">
        <x:v>LAS</x:v>
      </x:c>
      <x:c r="I679" t="str">
        <x:v>DAL</x:v>
      </x:c>
      <x:c r="J679" s="23" t="n">
        <x:v>8724</x:v>
      </x:c>
      <x:c r="K679" s="24" t="n">
        <x:v>0.25080238422741863</x:v>
      </x:c>
      <x:c r="L679" s="24" t="n">
        <x:v>0.013067400275103164</x:v>
      </x:c>
    </x:row>
    <x:row r="680">
      <x:c r="G680" t="str">
        <x:v>IAH-ABQ</x:v>
      </x:c>
      <x:c r="H680" t="str">
        <x:v>IAH</x:v>
      </x:c>
      <x:c r="I680" t="str">
        <x:v>ABQ</x:v>
      </x:c>
      <x:c r="J680" s="23" t="n">
        <x:v>1579</x:v>
      </x:c>
      <x:c r="K680" s="24" t="n">
        <x:v>0.25079164027865736</x:v>
      </x:c>
      <x:c r="L680" s="24" t="n">
        <x:v>0.013299556681443952</x:v>
      </x:c>
    </x:row>
    <x:row r="681">
      <x:c r="G681" t="str">
        <x:v>PHL-TPA</x:v>
      </x:c>
      <x:c r="H681" t="str">
        <x:v>PHL</x:v>
      </x:c>
      <x:c r="I681" t="str">
        <x:v>TPA</x:v>
      </x:c>
      <x:c r="J681" s="23" t="n">
        <x:v>7736</x:v>
      </x:c>
      <x:c r="K681" s="24" t="n">
        <x:v>0.25077559462254395</x:v>
      </x:c>
      <x:c r="L681" s="24" t="n">
        <x:v>0.017450879007238882</x:v>
      </x:c>
    </x:row>
    <x:row r="682">
      <x:c r="G682" t="str">
        <x:v>SNA-SFO</x:v>
      </x:c>
      <x:c r="H682" t="str">
        <x:v>SNA</x:v>
      </x:c>
      <x:c r="I682" t="str">
        <x:v>SFO</x:v>
      </x:c>
      <x:c r="J682" s="23" t="n">
        <x:v>13210</x:v>
      </x:c>
      <x:c r="K682" s="24" t="n">
        <x:v>0.2507191521574565</x:v>
      </x:c>
      <x:c r="L682" s="24" t="n">
        <x:v>0.012036336109008327</x:v>
      </x:c>
    </x:row>
    <x:row r="683">
      <x:c r="G683" t="str">
        <x:v>CLT-LAX</x:v>
      </x:c>
      <x:c r="H683" t="str">
        <x:v>CLT</x:v>
      </x:c>
      <x:c r="I683" t="str">
        <x:v>LAX</x:v>
      </x:c>
      <x:c r="J683" s="23" t="n">
        <x:v>8032</x:v>
      </x:c>
      <x:c r="K683" s="24" t="n">
        <x:v>0.2506225099601594</x:v>
      </x:c>
      <x:c r="L683" s="24" t="n">
        <x:v>0.008839641434262949</x:v>
      </x:c>
    </x:row>
    <x:row r="684">
      <x:c r="G684" t="str">
        <x:v>PHL-RDU</x:v>
      </x:c>
      <x:c r="H684" t="str">
        <x:v>PHL</x:v>
      </x:c>
      <x:c r="I684" t="str">
        <x:v>RDU</x:v>
      </x:c>
      <x:c r="J684" s="23" t="n">
        <x:v>6828</x:v>
      </x:c>
      <x:c r="K684" s="24" t="n">
        <x:v>0.2505858230814294</x:v>
      </x:c>
      <x:c r="L684" s="24" t="n">
        <x:v>0.018599882835383715</x:v>
      </x:c>
    </x:row>
    <x:row r="685">
      <x:c r="G685" t="str">
        <x:v>LAS-BOS</x:v>
      </x:c>
      <x:c r="H685" t="str">
        <x:v>LAS</x:v>
      </x:c>
      <x:c r="I685" t="str">
        <x:v>BOS</x:v>
      </x:c>
      <x:c r="J685" s="23" t="n">
        <x:v>4881</x:v>
      </x:c>
      <x:c r="K685" s="24" t="n">
        <x:v>0.2505634091374718</x:v>
      </x:c>
      <x:c r="L685" s="24" t="n">
        <x:v>0.008809670149559516</x:v>
      </x:c>
    </x:row>
    <x:row r="686">
      <x:c r="G686" t="str">
        <x:v>DAL-MIA</x:v>
      </x:c>
      <x:c r="H686" t="str">
        <x:v>DAL</x:v>
      </x:c>
      <x:c r="I686" t="str">
        <x:v>MIA</x:v>
      </x:c>
      <x:c r="J686" s="23" t="n">
        <x:v>1389</x:v>
      </x:c>
      <x:c r="K686" s="24" t="n">
        <x:v>0.2505399568034557</x:v>
      </x:c>
      <x:c r="L686" s="24" t="n">
        <x:v>0.01511879049676026</x:v>
      </x:c>
    </x:row>
    <x:row r="687">
      <x:c r="G687" t="str">
        <x:v>FLL-LAX</x:v>
      </x:c>
      <x:c r="H687" t="str">
        <x:v>FLL</x:v>
      </x:c>
      <x:c r="I687" t="str">
        <x:v>LAX</x:v>
      </x:c>
      <x:c r="J687" s="23" t="n">
        <x:v>6145</x:v>
      </x:c>
      <x:c r="K687" s="24" t="n">
        <x:v>0.2504475183075671</x:v>
      </x:c>
      <x:c r="L687" s="24" t="n">
        <x:v>0.010089503661513425</x:v>
      </x:c>
    </x:row>
    <x:row r="688">
      <x:c r="G688" t="str">
        <x:v>LAS-COS</x:v>
      </x:c>
      <x:c r="H688" t="str">
        <x:v>LAS</x:v>
      </x:c>
      <x:c r="I688" t="str">
        <x:v>COS</x:v>
      </x:c>
      <x:c r="J688" s="23" t="n">
        <x:v>2843</x:v>
      </x:c>
      <x:c r="K688" s="24" t="n">
        <x:v>0.25043967639817094</x:v>
      </x:c>
      <x:c r="L688" s="24" t="n">
        <x:v>0.005979599015124868</x:v>
      </x:c>
    </x:row>
    <x:row r="689">
      <x:c r="G689" t="str">
        <x:v>LAS-MSY</x:v>
      </x:c>
      <x:c r="H689" t="str">
        <x:v>LAS</x:v>
      </x:c>
      <x:c r="I689" t="str">
        <x:v>MSY</x:v>
      </x:c>
      <x:c r="J689" s="23" t="n">
        <x:v>3039</x:v>
      </x:c>
      <x:c r="K689" s="24" t="n">
        <x:v>0.2504113195129977</x:v>
      </x:c>
      <x:c r="L689" s="24" t="n">
        <x:v>0.007897334649555774</x:v>
      </x:c>
    </x:row>
    <x:row r="690">
      <x:c r="G690" t="str">
        <x:v>DAL-MCO</x:v>
      </x:c>
      <x:c r="H690" t="str">
        <x:v>DAL</x:v>
      </x:c>
      <x:c r="I690" t="str">
        <x:v>MCO</x:v>
      </x:c>
      <x:c r="J690" s="23" t="n">
        <x:v>7869</x:v>
      </x:c>
      <x:c r="K690" s="24" t="n">
        <x:v>0.25034947261405516</x:v>
      </x:c>
      <x:c r="L690" s="24" t="n">
        <x:v>0.015376795018426738</x:v>
      </x:c>
    </x:row>
    <x:row r="691">
      <x:c r="G691" t="str">
        <x:v>MDW-PHL</x:v>
      </x:c>
      <x:c r="H691" t="str">
        <x:v>MDW</x:v>
      </x:c>
      <x:c r="I691" t="str">
        <x:v>PHL</x:v>
      </x:c>
      <x:c r="J691" s="23" t="n">
        <x:v>5087</x:v>
      </x:c>
      <x:c r="K691" s="24" t="n">
        <x:v>0.250245724395518</x:v>
      </x:c>
      <x:c r="L691" s="24" t="n">
        <x:v>0.013170827599764104</x:v>
      </x:c>
    </x:row>
    <x:row r="692">
      <x:c r="G692" t="str">
        <x:v>CVG-SFB</x:v>
      </x:c>
      <x:c r="H692" t="str">
        <x:v>CVG</x:v>
      </x:c>
      <x:c r="I692" t="str">
        <x:v>SFB</x:v>
      </x:c>
      <x:c r="J692" s="23" t="n">
        <x:v>1035</x:v>
      </x:c>
      <x:c r="K692" s="24" t="n">
        <x:v>0.25024154589371983</x:v>
      </x:c>
      <x:c r="L692" s="24" t="n">
        <x:v>0.005797101449275362</x:v>
      </x:c>
    </x:row>
    <x:row r="693">
      <x:c r="G693" t="str">
        <x:v>MCO-SFO</x:v>
      </x:c>
      <x:c r="H693" t="str">
        <x:v>MCO</x:v>
      </x:c>
      <x:c r="I693" t="str">
        <x:v>SFO</x:v>
      </x:c>
      <x:c r="J693" s="23" t="n">
        <x:v>3861</x:v>
      </x:c>
      <x:c r="K693" s="24" t="n">
        <x:v>0.2501942501942502</x:v>
      </x:c>
      <x:c r="L693" s="24" t="n">
        <x:v>0.01554001554001554</x:v>
      </x:c>
    </x:row>
    <x:row r="694">
      <x:c r="G694" t="str">
        <x:v>SEA-OAK</x:v>
      </x:c>
      <x:c r="H694" t="str">
        <x:v>SEA</x:v>
      </x:c>
      <x:c r="I694" t="str">
        <x:v>OAK</x:v>
      </x:c>
      <x:c r="J694" s="23" t="n">
        <x:v>6719</x:v>
      </x:c>
      <x:c r="K694" s="24" t="n">
        <x:v>0.2501860395892246</x:v>
      </x:c>
      <x:c r="L694" s="24" t="n">
        <x:v>0.0055067718410477745</x:v>
      </x:c>
    </x:row>
    <x:row r="695">
      <x:c r="G695" t="str">
        <x:v>CLE-PHX</x:v>
      </x:c>
      <x:c r="H695" t="str">
        <x:v>CLE</x:v>
      </x:c>
      <x:c r="I695" t="str">
        <x:v>PHX</x:v>
      </x:c>
      <x:c r="J695" s="23" t="n">
        <x:v>2447</x:v>
      </x:c>
      <x:c r="K695" s="24" t="n">
        <x:v>0.25010216591744994</x:v>
      </x:c>
      <x:c r="L695" s="24" t="n">
        <x:v>0.010625255414793625</x:v>
      </x:c>
    </x:row>
    <x:row r="696">
      <x:c r="G696" t="str">
        <x:v>ACV-SFO</x:v>
      </x:c>
      <x:c r="H696" t="str">
        <x:v>ACV</x:v>
      </x:c>
      <x:c r="I696" t="str">
        <x:v>SFO</x:v>
      </x:c>
      <x:c r="J696" s="23" t="n">
        <x:v>3307</x:v>
      </x:c>
      <x:c r="K696" s="24" t="n">
        <x:v>0.25007559721802236</x:v>
      </x:c>
      <x:c r="L696" s="24" t="n">
        <x:v>0.020260054429996975</x:v>
      </x:c>
    </x:row>
    <x:row r="697">
      <x:c r="G697" t="str">
        <x:v>DAL-DEN</x:v>
      </x:c>
      <x:c r="H697" t="str">
        <x:v>DAL</x:v>
      </x:c>
      <x:c r="I697" t="str">
        <x:v>DEN</x:v>
      </x:c>
      <x:c r="J697" s="23" t="n">
        <x:v>9767</x:v>
      </x:c>
      <x:c r="K697" s="24" t="n">
        <x:v>0.25002559639602745</x:v>
      </x:c>
      <x:c r="L697" s="24" t="n">
        <x:v>0.016688850209890447</x:v>
      </x:c>
    </x:row>
    <x:row r="698">
      <x:c r="G698" t="str">
        <x:v>CLT-SGF</x:v>
      </x:c>
      <x:c r="H698" t="str">
        <x:v>CLT</x:v>
      </x:c>
      <x:c r="I698" t="str">
        <x:v>SGF</x:v>
      </x:c>
      <x:c r="J698" s="23" t="n">
        <x:v>3644</x:v>
      </x:c>
      <x:c r="K698" s="24" t="n">
        <x:v>0.25</x:v>
      </x:c>
      <x:c r="L698" s="24" t="n">
        <x:v>0.012897914379802415</x:v>
      </x:c>
    </x:row>
    <x:row r="699">
      <x:c r="G699" t="str">
        <x:v>MSP-SNA</x:v>
      </x:c>
      <x:c r="H699" t="str">
        <x:v>MSP</x:v>
      </x:c>
      <x:c r="I699" t="str">
        <x:v>SNA</x:v>
      </x:c>
      <x:c r="J699" s="23" t="n">
        <x:v>1736</x:v>
      </x:c>
      <x:c r="K699" s="24" t="n">
        <x:v>0.25</x:v>
      </x:c>
      <x:c r="L699" s="24" t="n">
        <x:v>0.005184331797235023</x:v>
      </x:c>
    </x:row>
    <x:row r="700">
      <x:c r="G700" t="str">
        <x:v>CAK-ORD</x:v>
      </x:c>
      <x:c r="H700" t="str">
        <x:v>CAK</x:v>
      </x:c>
      <x:c r="I700" t="str">
        <x:v>ORD</x:v>
      </x:c>
      <x:c r="J700" s="23" t="n">
        <x:v>3408</x:v>
      </x:c>
      <x:c r="K700" s="24" t="n">
        <x:v>0.25</x:v>
      </x:c>
      <x:c r="L700" s="24" t="n">
        <x:v>0.01965962441314554</x:v>
      </x:c>
    </x:row>
    <x:row r="701">
      <x:c r="G701" t="str">
        <x:v>PGD-CVG</x:v>
      </x:c>
      <x:c r="H701" t="str">
        <x:v>PGD</x:v>
      </x:c>
      <x:c r="I701" t="str">
        <x:v>CVG</x:v>
      </x:c>
      <x:c r="J701" s="23" t="n">
        <x:v>1008</x:v>
      </x:c>
      <x:c r="K701" s="24" t="n">
        <x:v>0.25</x:v>
      </x:c>
      <x:c r="L701" s="24" t="n">
        <x:v>0.00496031746031746</x:v>
      </x:c>
    </x:row>
    <x:row r="702">
      <x:c r="G702" t="str">
        <x:v>SAN-AUS</x:v>
      </x:c>
      <x:c r="H702" t="str">
        <x:v>SAN</x:v>
      </x:c>
      <x:c r="I702" t="str">
        <x:v>AUS</x:v>
      </x:c>
      <x:c r="J702" s="23" t="n">
        <x:v>6254</x:v>
      </x:c>
      <x:c r="K702" s="24" t="n">
        <x:v>0.24992005116725297</x:v>
      </x:c>
      <x:c r="L702" s="24" t="n">
        <x:v>0.011512631915574032</x:v>
      </x:c>
    </x:row>
    <x:row r="703">
      <x:c r="G703" t="str">
        <x:v>SBP-SFO</x:v>
      </x:c>
      <x:c r="H703" t="str">
        <x:v>SBP</x:v>
      </x:c>
      <x:c r="I703" t="str">
        <x:v>SFO</x:v>
      </x:c>
      <x:c r="J703" s="23" t="n">
        <x:v>3330</x:v>
      </x:c>
      <x:c r="K703" s="24" t="n">
        <x:v>0.24984984984984984</x:v>
      </x:c>
      <x:c r="L703" s="24" t="n">
        <x:v>0.011411411411411412</x:v>
      </x:c>
    </x:row>
    <x:row r="704">
      <x:c r="G704" t="str">
        <x:v>LAS-DSM</x:v>
      </x:c>
      <x:c r="H704" t="str">
        <x:v>LAS</x:v>
      </x:c>
      <x:c r="I704" t="str">
        <x:v>DSM</x:v>
      </x:c>
      <x:c r="J704" s="23" t="n">
        <x:v>1581</x:v>
      </x:c>
      <x:c r="K704" s="24" t="n">
        <x:v>0.24984187223276408</x:v>
      </x:c>
      <x:c r="L704" s="24" t="n">
        <x:v>0.006957621758380772</x:v>
      </x:c>
    </x:row>
    <x:row r="705">
      <x:c r="G705" t="str">
        <x:v>SEA-CLE</x:v>
      </x:c>
      <x:c r="H705" t="str">
        <x:v>SEA</x:v>
      </x:c>
      <x:c r="I705" t="str">
        <x:v>CLE</x:v>
      </x:c>
      <x:c r="J705" s="23" t="n">
        <x:v>1417</x:v>
      </x:c>
      <x:c r="K705" s="24" t="n">
        <x:v>0.24982357092448837</x:v>
      </x:c>
      <x:c r="L705" s="24" t="n">
        <x:v>0.006351446718419196</x:v>
      </x:c>
    </x:row>
    <x:row r="706">
      <x:c r="G706" t="str">
        <x:v>LAS-SBA</x:v>
      </x:c>
      <x:c r="H706" t="str">
        <x:v>LAS</x:v>
      </x:c>
      <x:c r="I706" t="str">
        <x:v>SBA</x:v>
      </x:c>
      <x:c r="J706" s="23" t="n">
        <x:v>2718</x:v>
      </x:c>
      <x:c r="K706" s="24" t="n">
        <x:v>0.24981604120676967</x:v>
      </x:c>
      <x:c r="L706" s="24" t="n">
        <x:v>0.016188373804267846</x:v>
      </x:c>
    </x:row>
    <x:row r="707">
      <x:c r="G707" t="str">
        <x:v>CLT-TUL</x:v>
      </x:c>
      <x:c r="H707" t="str">
        <x:v>CLT</x:v>
      </x:c>
      <x:c r="I707" t="str">
        <x:v>TUL</x:v>
      </x:c>
      <x:c r="J707" s="23" t="n">
        <x:v>2302</x:v>
      </x:c>
      <x:c r="K707" s="24" t="n">
        <x:v>0.24978279756733276</x:v>
      </x:c>
      <x:c r="L707" s="24" t="n">
        <x:v>0.013032145960034752</x:v>
      </x:c>
    </x:row>
    <x:row r="708">
      <x:c r="G708" t="str">
        <x:v>DAL-ECP</x:v>
      </x:c>
      <x:c r="H708" t="str">
        <x:v>DAL</x:v>
      </x:c>
      <x:c r="I708" t="str">
        <x:v>ECP</x:v>
      </x:c>
      <x:c r="J708" s="23" t="n">
        <x:v>1990</x:v>
      </x:c>
      <x:c r="K708" s="24" t="n">
        <x:v>0.24974874371859296</x:v>
      </x:c>
      <x:c r="L708" s="24" t="n">
        <x:v>0.005025125628140704</x:v>
      </x:c>
    </x:row>
    <x:row r="709">
      <x:c r="G709" t="str">
        <x:v>CMH-IAH</x:v>
      </x:c>
      <x:c r="H709" t="str">
        <x:v>CMH</x:v>
      </x:c>
      <x:c r="I709" t="str">
        <x:v>IAH</x:v>
      </x:c>
      <x:c r="J709" s="23" t="n">
        <x:v>1890</x:v>
      </x:c>
      <x:c r="K709" s="24" t="n">
        <x:v>0.24973544973544973</x:v>
      </x:c>
      <x:c r="L709" s="24" t="n">
        <x:v>0.015873015873015872</x:v>
      </x:c>
    </x:row>
    <x:row r="710">
      <x:c r="G710" t="str">
        <x:v>RDU-EWR</x:v>
      </x:c>
      <x:c r="H710" t="str">
        <x:v>RDU</x:v>
      </x:c>
      <x:c r="I710" t="str">
        <x:v>EWR</x:v>
      </x:c>
      <x:c r="J710" s="23" t="n">
        <x:v>7305</x:v>
      </x:c>
      <x:c r="K710" s="24" t="n">
        <x:v>0.24969199178644763</x:v>
      </x:c>
      <x:c r="L710" s="24" t="n">
        <x:v>0.0324435318275154</x:v>
      </x:c>
    </x:row>
    <x:row r="711">
      <x:c r="G711" t="str">
        <x:v>FLL-STL</x:v>
      </x:c>
      <x:c r="H711" t="str">
        <x:v>FLL</x:v>
      </x:c>
      <x:c r="I711" t="str">
        <x:v>STL</x:v>
      </x:c>
      <x:c r="J711" s="23" t="n">
        <x:v>2403</x:v>
      </x:c>
      <x:c r="K711" s="24" t="n">
        <x:v>0.24968789013732834</x:v>
      </x:c>
      <x:c r="L711" s="24" t="n">
        <x:v>0.011652101539741989</x:v>
      </x:c>
    </x:row>
    <x:row r="712">
      <x:c r="G712" t="str">
        <x:v>ATL-IAH</x:v>
      </x:c>
      <x:c r="H712" t="str">
        <x:v>ATL</x:v>
      </x:c>
      <x:c r="I712" t="str">
        <x:v>IAH</x:v>
      </x:c>
      <x:c r="J712" s="23" t="n">
        <x:v>13839</x:v>
      </x:c>
      <x:c r="K712" s="24" t="n">
        <x:v>0.24965676710744997</x:v>
      </x:c>
      <x:c r="L712" s="24" t="n">
        <x:v>0.015246766384854397</x:v>
      </x:c>
    </x:row>
    <x:row r="713">
      <x:c r="G713" t="str">
        <x:v>LAS-MKE</x:v>
      </x:c>
      <x:c r="H713" t="str">
        <x:v>LAS</x:v>
      </x:c>
      <x:c r="I713" t="str">
        <x:v>MKE</x:v>
      </x:c>
      <x:c r="J713" s="23" t="n">
        <x:v>3810</x:v>
      </x:c>
      <x:c r="K713" s="24" t="n">
        <x:v>0.24960629921259841</x:v>
      </x:c>
      <x:c r="L713" s="24" t="n">
        <x:v>0.009973753280839895</x:v>
      </x:c>
    </x:row>
    <x:row r="714">
      <x:c r="G714" t="str">
        <x:v>ANC-ORD</x:v>
      </x:c>
      <x:c r="H714" t="str">
        <x:v>ANC</x:v>
      </x:c>
      <x:c r="I714" t="str">
        <x:v>ORD</x:v>
      </x:c>
      <x:c r="J714" s="23" t="n">
        <x:v>2328</x:v>
      </x:c>
      <x:c r="K714" s="24" t="n">
        <x:v>0.2495704467353952</x:v>
      </x:c>
      <x:c r="L714" s="24" t="n">
        <x:v>0.007731958762886598</x:v>
      </x:c>
    </x:row>
    <x:row r="715">
      <x:c r="G715" t="str">
        <x:v>BWI-RIC</x:v>
      </x:c>
      <x:c r="H715" t="str">
        <x:v>BWI</x:v>
      </x:c>
      <x:c r="I715" t="str">
        <x:v>RIC</x:v>
      </x:c>
      <x:c r="J715" s="23" t="n">
        <x:v>1150</x:v>
      </x:c>
      <x:c r="K715" s="24" t="n">
        <x:v>0.24956521739130436</x:v>
      </x:c>
      <x:c r="L715" s="24" t="n">
        <x:v>0.008695652173913044</x:v>
      </x:c>
    </x:row>
    <x:row r="716">
      <x:c r="G716" t="str">
        <x:v>MCO-BNA</x:v>
      </x:c>
      <x:c r="H716" t="str">
        <x:v>MCO</x:v>
      </x:c>
      <x:c r="I716" t="str">
        <x:v>BNA</x:v>
      </x:c>
      <x:c r="J716" s="23" t="n">
        <x:v>9370</x:v>
      </x:c>
      <x:c r="K716" s="24" t="n">
        <x:v>0.24951974386339382</x:v>
      </x:c>
      <x:c r="L716" s="24" t="n">
        <x:v>0.013127001067235858</x:v>
      </x:c>
    </x:row>
    <x:row r="717">
      <x:c r="G717" t="str">
        <x:v>ATL-PBI</x:v>
      </x:c>
      <x:c r="H717" t="str">
        <x:v>ATL</x:v>
      </x:c>
      <x:c r="I717" t="str">
        <x:v>PBI</x:v>
      </x:c>
      <x:c r="J717" s="23" t="n">
        <x:v>12096</x:v>
      </x:c>
      <x:c r="K717" s="24" t="n">
        <x:v>0.24950396825396826</x:v>
      </x:c>
      <x:c r="L717" s="24" t="n">
        <x:v>0.01025132275132275</x:v>
      </x:c>
    </x:row>
    <x:row r="718">
      <x:c r="G718" t="str">
        <x:v>BWI-PVD</x:v>
      </x:c>
      <x:c r="H718" t="str">
        <x:v>BWI</x:v>
      </x:c>
      <x:c r="I718" t="str">
        <x:v>PVD</x:v>
      </x:c>
      <x:c r="J718" s="23" t="n">
        <x:v>5519</x:v>
      </x:c>
      <x:c r="K718" s="24" t="n">
        <x:v>0.24950172132632722</x:v>
      </x:c>
      <x:c r="L718" s="24" t="n">
        <x:v>0.011052726943286828</x:v>
      </x:c>
    </x:row>
    <x:row r="719">
      <x:c r="G719" t="str">
        <x:v>ORD-MLI</x:v>
      </x:c>
      <x:c r="H719" t="str">
        <x:v>ORD</x:v>
      </x:c>
      <x:c r="I719" t="str">
        <x:v>MLI</x:v>
      </x:c>
      <x:c r="J719" s="23" t="n">
        <x:v>4133</x:v>
      </x:c>
      <x:c r="K719" s="24" t="n">
        <x:v>0.249455601258166</x:v>
      </x:c>
      <x:c r="L719" s="24" t="n">
        <x:v>0.02395354464069683</x:v>
      </x:c>
    </x:row>
    <x:row r="720">
      <x:c r="G720" t="str">
        <x:v>MCO-IND</x:v>
      </x:c>
      <x:c r="H720" t="str">
        <x:v>MCO</x:v>
      </x:c>
      <x:c r="I720" t="str">
        <x:v>IND</x:v>
      </x:c>
      <x:c r="J720" s="23" t="n">
        <x:v>7137</x:v>
      </x:c>
      <x:c r="K720" s="24" t="n">
        <x:v>0.24940451169959366</x:v>
      </x:c>
      <x:c r="L720" s="24" t="n">
        <x:v>0.014712063892391762</x:v>
      </x:c>
    </x:row>
    <x:row r="721">
      <x:c r="G721" t="str">
        <x:v>BWI-ALB</x:v>
      </x:c>
      <x:c r="H721" t="str">
        <x:v>BWI</x:v>
      </x:c>
      <x:c r="I721" t="str">
        <x:v>ALB</x:v>
      </x:c>
      <x:c r="J721" s="23" t="n">
        <x:v>4966</x:v>
      </x:c>
      <x:c r="K721" s="24" t="n">
        <x:v>0.24929520741039066</x:v>
      </x:c>
      <x:c r="L721" s="24" t="n">
        <x:v>0.009464357631896899</x:v>
      </x:c>
    </x:row>
    <x:row r="722">
      <x:c r="G722" t="str">
        <x:v>SJU-DFW</x:v>
      </x:c>
      <x:c r="H722" t="str">
        <x:v>SJU</x:v>
      </x:c>
      <x:c r="I722" t="str">
        <x:v>DFW</x:v>
      </x:c>
      <x:c r="J722" s="23" t="n">
        <x:v>2673</x:v>
      </x:c>
      <x:c r="K722" s="24" t="n">
        <x:v>0.24915824915824916</x:v>
      </x:c>
      <x:c r="L722" s="24" t="n">
        <x:v>0.00823045267489712</x:v>
      </x:c>
    </x:row>
    <x:row r="723">
      <x:c r="G723" t="str">
        <x:v>CLT-BDL</x:v>
      </x:c>
      <x:c r="H723" t="str">
        <x:v>CLT</x:v>
      </x:c>
      <x:c r="I723" t="str">
        <x:v>BDL</x:v>
      </x:c>
      <x:c r="J723" s="23" t="n">
        <x:v>5246</x:v>
      </x:c>
      <x:c r="K723" s="24" t="n">
        <x:v>0.2491422035836828</x:v>
      </x:c>
      <x:c r="L723" s="24" t="n">
        <x:v>0.009149828440716736</x:v>
      </x:c>
    </x:row>
    <x:row r="724">
      <x:c r="G724" t="str">
        <x:v>AUS-SAN</x:v>
      </x:c>
      <x:c r="H724" t="str">
        <x:v>AUS</x:v>
      </x:c>
      <x:c r="I724" t="str">
        <x:v>SAN</x:v>
      </x:c>
      <x:c r="J724" s="23" t="n">
        <x:v>6262</x:v>
      </x:c>
      <x:c r="K724" s="24" t="n">
        <x:v>0.2491216863621846</x:v>
      </x:c>
      <x:c r="L724" s="24" t="n">
        <x:v>0.01006068348770361</x:v>
      </x:c>
    </x:row>
    <x:row r="725">
      <x:c r="G725" t="str">
        <x:v>MDW-PVD</x:v>
      </x:c>
      <x:c r="H725" t="str">
        <x:v>MDW</x:v>
      </x:c>
      <x:c r="I725" t="str">
        <x:v>PVD</x:v>
      </x:c>
      <x:c r="J725" s="23" t="n">
        <x:v>1963</x:v>
      </x:c>
      <x:c r="K725" s="24" t="n">
        <x:v>0.24910850738665308</x:v>
      </x:c>
      <x:c r="L725" s="24" t="n">
        <x:v>0.007641365257259297</x:v>
      </x:c>
    </x:row>
    <x:row r="726">
      <x:c r="G726" t="str">
        <x:v>AUS-SNA</x:v>
      </x:c>
      <x:c r="H726" t="str">
        <x:v>AUS</x:v>
      </x:c>
      <x:c r="I726" t="str">
        <x:v>SNA</x:v>
      </x:c>
      <x:c r="J726" s="23" t="n">
        <x:v>1903</x:v>
      </x:c>
      <x:c r="K726" s="24" t="n">
        <x:v>0.2490803993694167</x:v>
      </x:c>
      <x:c r="L726" s="24" t="n">
        <x:v>0.007356805044666317</x:v>
      </x:c>
    </x:row>
    <x:row r="727">
      <x:c r="G727" t="str">
        <x:v>RSW-DCA</x:v>
      </x:c>
      <x:c r="H727" t="str">
        <x:v>RSW</x:v>
      </x:c>
      <x:c r="I727" t="str">
        <x:v>DCA</x:v>
      </x:c>
      <x:c r="J727" s="23" t="n">
        <x:v>2618</x:v>
      </x:c>
      <x:c r="K727" s="24" t="n">
        <x:v>0.24904507257448433</x:v>
      </x:c>
      <x:c r="L727" s="24" t="n">
        <x:v>0.02291825821237586</x:v>
      </x:c>
    </x:row>
    <x:row r="728">
      <x:c r="G728" t="str">
        <x:v>ORD-JAC</x:v>
      </x:c>
      <x:c r="H728" t="str">
        <x:v>ORD</x:v>
      </x:c>
      <x:c r="I728" t="str">
        <x:v>JAC</x:v>
      </x:c>
      <x:c r="J728" s="23" t="n">
        <x:v>2076</x:v>
      </x:c>
      <x:c r="K728" s="24" t="n">
        <x:v>0.24903660886319845</x:v>
      </x:c>
      <x:c r="L728" s="24" t="n">
        <x:v>0.007707129094412331</x:v>
      </x:c>
    </x:row>
    <x:row r="729">
      <x:c r="G729" t="str">
        <x:v>MDW-LGA</x:v>
      </x:c>
      <x:c r="H729" t="str">
        <x:v>MDW</x:v>
      </x:c>
      <x:c r="I729" t="str">
        <x:v>LGA</x:v>
      </x:c>
      <x:c r="J729" s="23" t="n">
        <x:v>7377</x:v>
      </x:c>
      <x:c r="K729" s="24" t="n">
        <x:v>0.2488816592110614</x:v>
      </x:c>
      <x:c r="L729" s="24" t="n">
        <x:v>0.025891283719669242</x:v>
      </x:c>
    </x:row>
    <x:row r="730">
      <x:c r="G730" t="str">
        <x:v>BWI-ORF</x:v>
      </x:c>
      <x:c r="H730" t="str">
        <x:v>BWI</x:v>
      </x:c>
      <x:c r="I730" t="str">
        <x:v>ORF</x:v>
      </x:c>
      <x:c r="J730" s="23" t="n">
        <x:v>4629</x:v>
      </x:c>
      <x:c r="K730" s="24" t="n">
        <x:v>0.24886584575502269</x:v>
      </x:c>
      <x:c r="L730" s="24" t="n">
        <x:v>0.007993087059840137</x:v>
      </x:c>
    </x:row>
    <x:row r="731">
      <x:c r="G731" t="str">
        <x:v>CLT-LIT</x:v>
      </x:c>
      <x:c r="H731" t="str">
        <x:v>CLT</x:v>
      </x:c>
      <x:c r="I731" t="str">
        <x:v>LIT</x:v>
      </x:c>
      <x:c r="J731" s="23" t="n">
        <x:v>3496</x:v>
      </x:c>
      <x:c r="K731" s="24" t="n">
        <x:v>0.2488558352402746</x:v>
      </x:c>
      <x:c r="L731" s="24" t="n">
        <x:v>0.016018306636155607</x:v>
      </x:c>
    </x:row>
    <x:row r="732">
      <x:c r="G732" t="str">
        <x:v>FLL-BNA</x:v>
      </x:c>
      <x:c r="H732" t="str">
        <x:v>FLL</x:v>
      </x:c>
      <x:c r="I732" t="str">
        <x:v>BNA</x:v>
      </x:c>
      <x:c r="J732" s="23" t="n">
        <x:v>6261</x:v>
      </x:c>
      <x:c r="K732" s="24" t="n">
        <x:v>0.24884203801309696</x:v>
      </x:c>
      <x:c r="L732" s="24" t="n">
        <x:v>0.013895543842836608</x:v>
      </x:c>
    </x:row>
    <x:row r="733">
      <x:c r="G733" t="str">
        <x:v>MSY-PHX</x:v>
      </x:c>
      <x:c r="H733" t="str">
        <x:v>MSY</x:v>
      </x:c>
      <x:c r="I733" t="str">
        <x:v>PHX</x:v>
      </x:c>
      <x:c r="J733" s="23" t="n">
        <x:v>2287</x:v>
      </x:c>
      <x:c r="K733" s="24" t="n">
        <x:v>0.24879755137735024</x:v>
      </x:c>
      <x:c r="L733" s="24" t="n">
        <x:v>0.005684302579798863</x:v>
      </x:c>
    </x:row>
    <x:row r="734">
      <x:c r="G734" t="str">
        <x:v>DEN-LGB</x:v>
      </x:c>
      <x:c r="H734" t="str">
        <x:v>DEN</x:v>
      </x:c>
      <x:c r="I734" t="str">
        <x:v>LGB</x:v>
      </x:c>
      <x:c r="J734" s="23" t="n">
        <x:v>3212</x:v>
      </x:c>
      <x:c r="K734" s="24" t="n">
        <x:v>0.2487546699875467</x:v>
      </x:c>
      <x:c r="L734" s="24" t="n">
        <x:v>0.007160647571606476</x:v>
      </x:c>
    </x:row>
    <x:row r="735">
      <x:c r="G735" t="str">
        <x:v>DEN-MCO</x:v>
      </x:c>
      <x:c r="H735" t="str">
        <x:v>DEN</x:v>
      </x:c>
      <x:c r="I735" t="str">
        <x:v>MCO</x:v>
      </x:c>
      <x:c r="J735" s="23" t="n">
        <x:v>13863</x:v>
      </x:c>
      <x:c r="K735" s="24" t="n">
        <x:v>0.24871961335930173</x:v>
      </x:c>
      <x:c r="L735" s="24" t="n">
        <x:v>0.013489143763976051</x:v>
      </x:c>
    </x:row>
    <x:row r="736">
      <x:c r="G736" t="str">
        <x:v>CAE-DFW</x:v>
      </x:c>
      <x:c r="H736" t="str">
        <x:v>CAE</x:v>
      </x:c>
      <x:c r="I736" t="str">
        <x:v>DFW</x:v>
      </x:c>
      <x:c r="J736" s="23" t="n">
        <x:v>2300</x:v>
      </x:c>
      <x:c r="K736" s="24" t="n">
        <x:v>0.24869565217391304</x:v>
      </x:c>
      <x:c r="L736" s="24" t="n">
        <x:v>0.026521739130434784</x:v>
      </x:c>
    </x:row>
    <x:row r="737">
      <x:c r="G737" t="str">
        <x:v>DEN-OKC</x:v>
      </x:c>
      <x:c r="H737" t="str">
        <x:v>DEN</x:v>
      </x:c>
      <x:c r="I737" t="str">
        <x:v>OKC</x:v>
      </x:c>
      <x:c r="J737" s="23" t="n">
        <x:v>8987</x:v>
      </x:c>
      <x:c r="K737" s="24" t="n">
        <x:v>0.24869255591409814</x:v>
      </x:c>
      <x:c r="L737" s="24" t="n">
        <x:v>0.007900300433960165</x:v>
      </x:c>
    </x:row>
    <x:row r="738">
      <x:c r="G738" t="str">
        <x:v>SAN-BOS</x:v>
      </x:c>
      <x:c r="H738" t="str">
        <x:v>SAN</x:v>
      </x:c>
      <x:c r="I738" t="str">
        <x:v>BOS</x:v>
      </x:c>
      <x:c r="J738" s="23" t="n">
        <x:v>4746</x:v>
      </x:c>
      <x:c r="K738" s="24" t="n">
        <x:v>0.24863042562157606</x:v>
      </x:c>
      <x:c r="L738" s="24" t="n">
        <x:v>0.006531816266329541</x:v>
      </x:c>
    </x:row>
    <x:row r="739">
      <x:c r="G739" t="str">
        <x:v>CLT-ROC</x:v>
      </x:c>
      <x:c r="H739" t="str">
        <x:v>CLT</x:v>
      </x:c>
      <x:c r="I739" t="str">
        <x:v>ROC</x:v>
      </x:c>
      <x:c r="J739" s="23" t="n">
        <x:v>3162</x:v>
      </x:c>
      <x:c r="K739" s="24" t="n">
        <x:v>0.24857685009487665</x:v>
      </x:c>
      <x:c r="L739" s="24" t="n">
        <x:v>0.007906388361796331</x:v>
      </x:c>
    </x:row>
    <x:row r="740">
      <x:c r="G740" t="str">
        <x:v>BWI-PWM</x:v>
      </x:c>
      <x:c r="H740" t="str">
        <x:v>BWI</x:v>
      </x:c>
      <x:c r="I740" t="str">
        <x:v>PWM</x:v>
      </x:c>
      <x:c r="J740" s="23" t="n">
        <x:v>3858</x:v>
      </x:c>
      <x:c r="K740" s="24" t="n">
        <x:v>0.24857439087610161</x:v>
      </x:c>
      <x:c r="L740" s="24" t="n">
        <x:v>0.012182477967858995</x:v>
      </x:c>
    </x:row>
    <x:row r="741">
      <x:c r="G741" t="str">
        <x:v>CLT-PNS</x:v>
      </x:c>
      <x:c r="H741" t="str">
        <x:v>CLT</x:v>
      </x:c>
      <x:c r="I741" t="str">
        <x:v>PNS</x:v>
      </x:c>
      <x:c r="J741" s="23" t="n">
        <x:v>5910</x:v>
      </x:c>
      <x:c r="K741" s="24" t="n">
        <x:v>0.2485617597292724</x:v>
      </x:c>
      <x:c r="L741" s="24" t="n">
        <x:v>0.011336717428087987</x:v>
      </x:c>
    </x:row>
    <x:row r="742">
      <x:c r="G742" t="str">
        <x:v>SUX-DEN</x:v>
      </x:c>
      <x:c r="H742" t="str">
        <x:v>SUX</x:v>
      </x:c>
      <x:c r="I742" t="str">
        <x:v>DEN</x:v>
      </x:c>
      <x:c r="J742" s="23" t="n">
        <x:v>1034</x:v>
      </x:c>
      <x:c r="K742" s="24" t="n">
        <x:v>0.24854932301740812</x:v>
      </x:c>
      <x:c r="L742" s="24" t="n">
        <x:v>0.015473887814313346</x:v>
      </x:c>
    </x:row>
    <x:row r="743">
      <x:c r="G743" t="str">
        <x:v>SBA-DFW</x:v>
      </x:c>
      <x:c r="H743" t="str">
        <x:v>SBA</x:v>
      </x:c>
      <x:c r="I743" t="str">
        <x:v>DFW</x:v>
      </x:c>
      <x:c r="J743" s="23" t="n">
        <x:v>1493</x:v>
      </x:c>
      <x:c r="K743" s="24" t="n">
        <x:v>0.24849296718017413</x:v>
      </x:c>
      <x:c r="L743" s="24" t="n">
        <x:v>0.021433355659745478</x:v>
      </x:c>
    </x:row>
    <x:row r="744">
      <x:c r="G744" t="str">
        <x:v>MCO-PVD</x:v>
      </x:c>
      <x:c r="H744" t="str">
        <x:v>MCO</x:v>
      </x:c>
      <x:c r="I744" t="str">
        <x:v>PVD</x:v>
      </x:c>
      <x:c r="J744" s="23" t="n">
        <x:v>4777</x:v>
      </x:c>
      <x:c r="K744" s="24" t="n">
        <x:v>0.24848231107389576</x:v>
      </x:c>
      <x:c r="L744" s="24" t="n">
        <x:v>0.009001465354825204</x:v>
      </x:c>
    </x:row>
    <x:row r="745">
      <x:c r="G745" t="str">
        <x:v>IAH-AUS</x:v>
      </x:c>
      <x:c r="H745" t="str">
        <x:v>IAH</x:v>
      </x:c>
      <x:c r="I745" t="str">
        <x:v>AUS</x:v>
      </x:c>
      <x:c r="J745" s="23" t="n">
        <x:v>7140</x:v>
      </x:c>
      <x:c r="K745" s="24" t="n">
        <x:v>0.2484593837535014</x:v>
      </x:c>
      <x:c r="L745" s="24" t="n">
        <x:v>0.01484593837535014</x:v>
      </x:c>
    </x:row>
    <x:row r="746">
      <x:c r="G746" t="str">
        <x:v>GRR-SFB</x:v>
      </x:c>
      <x:c r="H746" t="str">
        <x:v>GRR</x:v>
      </x:c>
      <x:c r="I746" t="str">
        <x:v>SFB</x:v>
      </x:c>
      <x:c r="J746" s="23" t="n">
        <x:v>1135</x:v>
      </x:c>
      <x:c r="K746" s="24" t="n">
        <x:v>0.24845814977973568</x:v>
      </x:c>
      <x:c r="L746" s="24" t="n">
        <x:v>0.003524229074889868</x:v>
      </x:c>
    </x:row>
    <x:row r="747">
      <x:c r="G747" t="str">
        <x:v>ATL-PHL</x:v>
      </x:c>
      <x:c r="H747" t="str">
        <x:v>ATL</x:v>
      </x:c>
      <x:c r="I747" t="str">
        <x:v>PHL</x:v>
      </x:c>
      <x:c r="J747" s="23" t="n">
        <x:v>17275</x:v>
      </x:c>
      <x:c r="K747" s="24" t="n">
        <x:v>0.2482778581765557</x:v>
      </x:c>
      <x:c r="L747" s="24" t="n">
        <x:v>0.013198263386396528</x:v>
      </x:c>
    </x:row>
    <x:row r="748">
      <x:c r="G748" t="str">
        <x:v>CLT-MLI</x:v>
      </x:c>
      <x:c r="H748" t="str">
        <x:v>CLT</x:v>
      </x:c>
      <x:c r="I748" t="str">
        <x:v>MLI</x:v>
      </x:c>
      <x:c r="J748" s="23" t="n">
        <x:v>1281</x:v>
      </x:c>
      <x:c r="K748" s="24" t="n">
        <x:v>0.24824355971896955</x:v>
      </x:c>
      <x:c r="L748" s="24" t="n">
        <x:v>0.02107728337236534</x:v>
      </x:c>
    </x:row>
    <x:row r="749">
      <x:c r="G749" t="str">
        <x:v>EYW-CLT</x:v>
      </x:c>
      <x:c r="H749" t="str">
        <x:v>EYW</x:v>
      </x:c>
      <x:c r="I749" t="str">
        <x:v>CLT</x:v>
      </x:c>
      <x:c r="J749" s="23" t="n">
        <x:v>3940</x:v>
      </x:c>
      <x:c r="K749" s="24" t="n">
        <x:v>0.2482233502538071</x:v>
      </x:c>
      <x:c r="L749" s="24" t="n">
        <x:v>0.01751269035532995</x:v>
      </x:c>
    </x:row>
    <x:row r="750">
      <x:c r="G750" t="str">
        <x:v>HDN-DEN</x:v>
      </x:c>
      <x:c r="H750" t="str">
        <x:v>HDN</x:v>
      </x:c>
      <x:c r="I750" t="str">
        <x:v>DEN</x:v>
      </x:c>
      <x:c r="J750" s="23" t="n">
        <x:v>4501</x:v>
      </x:c>
      <x:c r="K750" s="24" t="n">
        <x:v>0.24816707398355922</x:v>
      </x:c>
      <x:c r="L750" s="24" t="n">
        <x:v>0.01777382803821373</x:v>
      </x:c>
    </x:row>
    <x:row r="751">
      <x:c r="G751" t="str">
        <x:v>ONT-SFO</x:v>
      </x:c>
      <x:c r="H751" t="str">
        <x:v>ONT</x:v>
      </x:c>
      <x:c r="I751" t="str">
        <x:v>SFO</x:v>
      </x:c>
      <x:c r="J751" s="23" t="n">
        <x:v>4257</x:v>
      </x:c>
      <x:c r="K751" s="24" t="n">
        <x:v>0.24806201550387597</x:v>
      </x:c>
      <x:c r="L751" s="24" t="n">
        <x:v>0.013389711064129669</x:v>
      </x:c>
    </x:row>
    <x:row r="752">
      <x:c r="G752" t="str">
        <x:v>FLL-PNS</x:v>
      </x:c>
      <x:c r="H752" t="str">
        <x:v>FLL</x:v>
      </x:c>
      <x:c r="I752" t="str">
        <x:v>PNS</x:v>
      </x:c>
      <x:c r="J752" s="23" t="n">
        <x:v>1153</x:v>
      </x:c>
      <x:c r="K752" s="24" t="n">
        <x:v>0.24804856895056374</x:v>
      </x:c>
      <x:c r="L752" s="24" t="n">
        <x:v>0.0199479618386817</x:v>
      </x:c>
    </x:row>
    <x:row r="753">
      <x:c r="G753" t="str">
        <x:v>CLT-ORF</x:v>
      </x:c>
      <x:c r="H753" t="str">
        <x:v>CLT</x:v>
      </x:c>
      <x:c r="I753" t="str">
        <x:v>ORF</x:v>
      </x:c>
      <x:c r="J753" s="23" t="n">
        <x:v>7582</x:v>
      </x:c>
      <x:c r="K753" s="24" t="n">
        <x:v>0.24795568451595884</x:v>
      </x:c>
      <x:c r="L753" s="24" t="n">
        <x:v>0.011870218939593774</x:v>
      </x:c>
    </x:row>
    <x:row r="754">
      <x:c r="G754" t="str">
        <x:v>HOU-OAK</x:v>
      </x:c>
      <x:c r="H754" t="str">
        <x:v>HOU</x:v>
      </x:c>
      <x:c r="I754" t="str">
        <x:v>OAK</x:v>
      </x:c>
      <x:c r="J754" s="23" t="n">
        <x:v>1331</x:v>
      </x:c>
      <x:c r="K754" s="24" t="n">
        <x:v>0.24793388429752067</x:v>
      </x:c>
      <x:c r="L754" s="24" t="n">
        <x:v>0.008264462809917356</x:v>
      </x:c>
    </x:row>
    <x:row r="755">
      <x:c r="G755" t="str">
        <x:v>DEN-SGF</x:v>
      </x:c>
      <x:c r="H755" t="str">
        <x:v>DEN</x:v>
      </x:c>
      <x:c r="I755" t="str">
        <x:v>SGF</x:v>
      </x:c>
      <x:c r="J755" s="23" t="n">
        <x:v>2642</x:v>
      </x:c>
      <x:c r="K755" s="24" t="n">
        <x:v>0.24791824375473126</x:v>
      </x:c>
      <x:c r="L755" s="24" t="n">
        <x:v>0.00984102952308857</x:v>
      </x:c>
    </x:row>
    <x:row r="756">
      <x:c r="G756" t="str">
        <x:v>ORD-DCA</x:v>
      </x:c>
      <x:c r="H756" t="str">
        <x:v>ORD</x:v>
      </x:c>
      <x:c r="I756" t="str">
        <x:v>DCA</x:v>
      </x:c>
      <x:c r="J756" s="23" t="n">
        <x:v>19245</x:v>
      </x:c>
      <x:c r="K756" s="24" t="n">
        <x:v>0.2479085476747207</x:v>
      </x:c>
      <x:c r="L756" s="24" t="n">
        <x:v>0.018446349701221096</x:v>
      </x:c>
    </x:row>
    <x:row r="757">
      <x:c r="G757" t="str">
        <x:v>BWI-DFW</x:v>
      </x:c>
      <x:c r="H757" t="str">
        <x:v>BWI</x:v>
      </x:c>
      <x:c r="I757" t="str">
        <x:v>DFW</x:v>
      </x:c>
      <x:c r="J757" s="23" t="n">
        <x:v>4607</x:v>
      </x:c>
      <x:c r="K757" s="24" t="n">
        <x:v>0.2478836553071413</x:v>
      </x:c>
      <x:c r="L757" s="24" t="n">
        <x:v>0.023008465378771433</x:v>
      </x:c>
    </x:row>
    <x:row r="758">
      <x:c r="G758" t="str">
        <x:v>CLT-PBI</x:v>
      </x:c>
      <x:c r="H758" t="str">
        <x:v>CLT</x:v>
      </x:c>
      <x:c r="I758" t="str">
        <x:v>PBI</x:v>
      </x:c>
      <x:c r="J758" s="23" t="n">
        <x:v>5702</x:v>
      </x:c>
      <x:c r="K758" s="24" t="n">
        <x:v>0.2478077867414942</x:v>
      </x:c>
      <x:c r="L758" s="24" t="n">
        <x:v>0.01104875482286917</x:v>
      </x:c>
    </x:row>
    <x:row r="759">
      <x:c r="G759" t="str">
        <x:v>TYS-SFB</x:v>
      </x:c>
      <x:c r="H759" t="str">
        <x:v>TYS</x:v>
      </x:c>
      <x:c r="I759" t="str">
        <x:v>SFB</x:v>
      </x:c>
      <x:c r="J759" s="23" t="n">
        <x:v>1816</x:v>
      </x:c>
      <x:c r="K759" s="24" t="n">
        <x:v>0.24779735682819384</x:v>
      </x:c>
      <x:c r="L759" s="24" t="n">
        <x:v>0.009361233480176211</x:v>
      </x:c>
    </x:row>
    <x:row r="760">
      <x:c r="G760" t="str">
        <x:v>ORD-ANC</x:v>
      </x:c>
      <x:c r="H760" t="str">
        <x:v>ORD</x:v>
      </x:c>
      <x:c r="I760" t="str">
        <x:v>ANC</x:v>
      </x:c>
      <x:c r="J760" s="23" t="n">
        <x:v>2325</x:v>
      </x:c>
      <x:c r="K760" s="24" t="n">
        <x:v>0.24774193548387097</x:v>
      </x:c>
      <x:c r="L760" s="24" t="n">
        <x:v>0.004301075268817204</x:v>
      </x:c>
    </x:row>
    <x:row r="761">
      <x:c r="G761" t="str">
        <x:v>MCO-RDU</x:v>
      </x:c>
      <x:c r="H761" t="str">
        <x:v>MCO</x:v>
      </x:c>
      <x:c r="I761" t="str">
        <x:v>RDU</x:v>
      </x:c>
      <x:c r="J761" s="23" t="n">
        <x:v>8154</x:v>
      </x:c>
      <x:c r="K761" s="24" t="n">
        <x:v>0.24773117488349278</x:v>
      </x:c>
      <x:c r="L761" s="24" t="n">
        <x:v>0.012509197939661517</x:v>
      </x:c>
    </x:row>
    <x:row r="762">
      <x:c r="G762" t="str">
        <x:v>CVG-PIE</x:v>
      </x:c>
      <x:c r="H762" t="str">
        <x:v>CVG</x:v>
      </x:c>
      <x:c r="I762" t="str">
        <x:v>PIE</x:v>
      </x:c>
      <x:c r="J762" s="23" t="n">
        <x:v>1086</x:v>
      </x:c>
      <x:c r="K762" s="24" t="n">
        <x:v>0.24769797421731124</x:v>
      </x:c>
      <x:c r="L762" s="24" t="n">
        <x:v>0.009208103130755065</x:v>
      </x:c>
    </x:row>
    <x:row r="763">
      <x:c r="G763" t="str">
        <x:v>CLT-STL</x:v>
      </x:c>
      <x:c r="H763" t="str">
        <x:v>CLT</x:v>
      </x:c>
      <x:c r="I763" t="str">
        <x:v>STL</x:v>
      </x:c>
      <x:c r="J763" s="23" t="n">
        <x:v>5873</x:v>
      </x:c>
      <x:c r="K763" s="24" t="n">
        <x:v>0.24757364209092458</x:v>
      </x:c>
      <x:c r="L763" s="24" t="n">
        <x:v>0.008683807253533118</x:v>
      </x:c>
    </x:row>
    <x:row r="764">
      <x:c r="G764" t="str">
        <x:v>RNO-SFO</x:v>
      </x:c>
      <x:c r="H764" t="str">
        <x:v>RNO</x:v>
      </x:c>
      <x:c r="I764" t="str">
        <x:v>SFO</x:v>
      </x:c>
      <x:c r="J764" s="23" t="n">
        <x:v>4609</x:v>
      </x:c>
      <x:c r="K764" s="24" t="n">
        <x:v>0.24755912345411152</x:v>
      </x:c>
      <x:c r="L764" s="24" t="n">
        <x:v>0.013451941852896507</x:v>
      </x:c>
    </x:row>
    <x:row r="765">
      <x:c r="G765" t="str">
        <x:v>SJU-FLL</x:v>
      </x:c>
      <x:c r="H765" t="str">
        <x:v>SJU</x:v>
      </x:c>
      <x:c r="I765" t="str">
        <x:v>FLL</x:v>
      </x:c>
      <x:c r="J765" s="23" t="n">
        <x:v>7053</x:v>
      </x:c>
      <x:c r="K765" s="24" t="n">
        <x:v>0.2475542322415993</x:v>
      </x:c>
      <x:c r="L765" s="24" t="n">
        <x:v>0.009357720119098255</x:v>
      </x:c>
    </x:row>
    <x:row r="766">
      <x:c r="G766" t="str">
        <x:v>LGA-HOU</x:v>
      </x:c>
      <x:c r="H766" t="str">
        <x:v>LGA</x:v>
      </x:c>
      <x:c r="I766" t="str">
        <x:v>HOU</x:v>
      </x:c>
      <x:c r="J766" s="23" t="n">
        <x:v>3600</x:v>
      </x:c>
      <x:c r="K766" s="24" t="n">
        <x:v>0.2475</x:v>
      </x:c>
      <x:c r="L766" s="24" t="n">
        <x:v>0.015277777777777777</x:v>
      </x:c>
    </x:row>
    <x:row r="767">
      <x:c r="G767" t="str">
        <x:v>IAH-MIA</x:v>
      </x:c>
      <x:c r="H767" t="str">
        <x:v>IAH</x:v>
      </x:c>
      <x:c r="I767" t="str">
        <x:v>MIA</x:v>
      </x:c>
      <x:c r="J767" s="23" t="n">
        <x:v>10029</x:v>
      </x:c>
      <x:c r="K767" s="24" t="n">
        <x:v>0.24748230132615415</x:v>
      </x:c>
      <x:c r="L767" s="24" t="n">
        <x:v>0.018346794296540035</x:v>
      </x:c>
    </x:row>
    <x:row r="768">
      <x:c r="G768" t="str">
        <x:v>STL-BOS</x:v>
      </x:c>
      <x:c r="H768" t="str">
        <x:v>STL</x:v>
      </x:c>
      <x:c r="I768" t="str">
        <x:v>BOS</x:v>
      </x:c>
      <x:c r="J768" s="23" t="n">
        <x:v>4649</x:v>
      </x:c>
      <x:c r="K768" s="24" t="n">
        <x:v>0.2473650247365025</x:v>
      </x:c>
      <x:c r="L768" s="24" t="n">
        <x:v>0.011615401161540116</x:v>
      </x:c>
    </x:row>
    <x:row r="769">
      <x:c r="G769" t="str">
        <x:v>DCA-GRR</x:v>
      </x:c>
      <x:c r="H769" t="str">
        <x:v>DCA</x:v>
      </x:c>
      <x:c r="I769" t="str">
        <x:v>GRR</x:v>
      </x:c>
      <x:c r="J769" s="23" t="n">
        <x:v>2070</x:v>
      </x:c>
      <x:c r="K769" s="24" t="n">
        <x:v>0.24734299516908212</x:v>
      </x:c>
      <x:c r="L769" s="24" t="n">
        <x:v>0.03864734299516908</x:v>
      </x:c>
    </x:row>
    <x:row r="770">
      <x:c r="G770" t="str">
        <x:v>DFW-TUL</x:v>
      </x:c>
      <x:c r="H770" t="str">
        <x:v>DFW</x:v>
      </x:c>
      <x:c r="I770" t="str">
        <x:v>TUL</x:v>
      </x:c>
      <x:c r="J770" s="23" t="n">
        <x:v>8890</x:v>
      </x:c>
      <x:c r="K770" s="24" t="n">
        <x:v>0.247244094488189</x:v>
      </x:c>
      <x:c r="L770" s="24" t="n">
        <x:v>0.024859392575928008</x:v>
      </x:c>
    </x:row>
    <x:row r="771">
      <x:c r="G771" t="str">
        <x:v>MIA-MSP</x:v>
      </x:c>
      <x:c r="H771" t="str">
        <x:v>MIA</x:v>
      </x:c>
      <x:c r="I771" t="str">
        <x:v>MSP</x:v>
      </x:c>
      <x:c r="J771" s="23" t="n">
        <x:v>3460</x:v>
      </x:c>
      <x:c r="K771" s="24" t="n">
        <x:v>0.24710982658959538</x:v>
      </x:c>
      <x:c r="L771" s="24" t="n">
        <x:v>0.006936416184971098</x:v>
      </x:c>
    </x:row>
    <x:row r="772">
      <x:c r="G772" t="str">
        <x:v>DFW-BHM</x:v>
      </x:c>
      <x:c r="H772" t="str">
        <x:v>DFW</x:v>
      </x:c>
      <x:c r="I772" t="str">
        <x:v>BHM</x:v>
      </x:c>
      <x:c r="J772" s="23" t="n">
        <x:v>6440</x:v>
      </x:c>
      <x:c r="K772" s="24" t="n">
        <x:v>0.24704968944099379</x:v>
      </x:c>
      <x:c r="L772" s="24" t="n">
        <x:v>0.01987577639751553</x:v>
      </x:c>
    </x:row>
    <x:row r="773">
      <x:c r="G773" t="str">
        <x:v>PHL-SAN</x:v>
      </x:c>
      <x:c r="H773" t="str">
        <x:v>PHL</x:v>
      </x:c>
      <x:c r="I773" t="str">
        <x:v>SAN</x:v>
      </x:c>
      <x:c r="J773" s="23" t="n">
        <x:v>2862</x:v>
      </x:c>
      <x:c r="K773" s="24" t="n">
        <x:v>0.24703004891684138</x:v>
      </x:c>
      <x:c r="L773" s="24" t="n">
        <x:v>0.011180992313067784</x:v>
      </x:c>
    </x:row>
    <x:row r="774">
      <x:c r="G774" t="str">
        <x:v>DFW-ATL</x:v>
      </x:c>
      <x:c r="H774" t="str">
        <x:v>DFW</x:v>
      </x:c>
      <x:c r="I774" t="str">
        <x:v>ATL</x:v>
      </x:c>
      <x:c r="J774" s="23" t="n">
        <x:v>19520</x:v>
      </x:c>
      <x:c r="K774" s="24" t="n">
        <x:v>0.24702868852459017</x:v>
      </x:c>
      <x:c r="L774" s="24" t="n">
        <x:v>0.01839139344262295</x:v>
      </x:c>
    </x:row>
    <x:row r="775">
      <x:c r="G775" t="str">
        <x:v>BWI-BOS</x:v>
      </x:c>
      <x:c r="H775" t="str">
        <x:v>BWI</x:v>
      </x:c>
      <x:c r="I775" t="str">
        <x:v>BOS</x:v>
      </x:c>
      <x:c r="J775" s="23" t="n">
        <x:v>12254</x:v>
      </x:c>
      <x:c r="K775" s="24" t="n">
        <x:v>0.24702138077362493</x:v>
      </x:c>
      <x:c r="L775" s="24" t="n">
        <x:v>0.016729231271421577</x:v>
      </x:c>
    </x:row>
    <x:row r="776">
      <x:c r="G776" t="str">
        <x:v>DEN-BWI</x:v>
      </x:c>
      <x:c r="H776" t="str">
        <x:v>DEN</x:v>
      </x:c>
      <x:c r="I776" t="str">
        <x:v>BWI</x:v>
      </x:c>
      <x:c r="J776" s="23" t="n">
        <x:v>9120</x:v>
      </x:c>
      <x:c r="K776" s="24" t="n">
        <x:v>0.2469298245614035</x:v>
      </x:c>
      <x:c r="L776" s="24" t="n">
        <x:v>0.011074561403508772</x:v>
      </x:c>
    </x:row>
    <x:row r="777">
      <x:c r="G777" t="str">
        <x:v>DFW-DCA</x:v>
      </x:c>
      <x:c r="H777" t="str">
        <x:v>DFW</x:v>
      </x:c>
      <x:c r="I777" t="str">
        <x:v>DCA</x:v>
      </x:c>
      <x:c r="J777" s="23" t="n">
        <x:v>9914</x:v>
      </x:c>
      <x:c r="K777" s="24" t="n">
        <x:v>0.24692354246520073</x:v>
      </x:c>
      <x:c r="L777" s="24" t="n">
        <x:v>0.02239257615493242</x:v>
      </x:c>
    </x:row>
    <x:row r="778">
      <x:c r="G778" t="str">
        <x:v>AGS-CLT</x:v>
      </x:c>
      <x:c r="H778" t="str">
        <x:v>AGS</x:v>
      </x:c>
      <x:c r="I778" t="str">
        <x:v>CLT</x:v>
      </x:c>
      <x:c r="J778" s="23" t="n">
        <x:v>2337</x:v>
      </x:c>
      <x:c r="K778" s="24" t="n">
        <x:v>0.2468977321352161</x:v>
      </x:c>
      <x:c r="L778" s="24" t="n">
        <x:v>0.018827556696619598</x:v>
      </x:c>
    </x:row>
    <x:row r="779">
      <x:c r="G779" t="str">
        <x:v>CLT-SJU</x:v>
      </x:c>
      <x:c r="H779" t="str">
        <x:v>CLT</x:v>
      </x:c>
      <x:c r="I779" t="str">
        <x:v>SJU</x:v>
      </x:c>
      <x:c r="J779" s="23" t="n">
        <x:v>2969</x:v>
      </x:c>
      <x:c r="K779" s="24" t="n">
        <x:v>0.24688447288649376</x:v>
      </x:c>
      <x:c r="L779" s="24" t="n">
        <x:v>0.005052206130010104</x:v>
      </x:c>
    </x:row>
    <x:row r="780">
      <x:c r="G780" t="str">
        <x:v>LGA-MIA</x:v>
      </x:c>
      <x:c r="H780" t="str">
        <x:v>LGA</x:v>
      </x:c>
      <x:c r="I780" t="str">
        <x:v>MIA</x:v>
      </x:c>
      <x:c r="J780" s="23" t="n">
        <x:v>17221</x:v>
      </x:c>
      <x:c r="K780" s="24" t="n">
        <x:v>0.24679170779861798</x:v>
      </x:c>
      <x:c r="L780" s="24" t="n">
        <x:v>0.020091748446663955</x:v>
      </x:c>
    </x:row>
    <x:row r="781">
      <x:c r="G781" t="str">
        <x:v>CLT-CMH</x:v>
      </x:c>
      <x:c r="H781" t="str">
        <x:v>CLT</x:v>
      </x:c>
      <x:c r="I781" t="str">
        <x:v>CMH</x:v>
      </x:c>
      <x:c r="J781" s="23" t="n">
        <x:v>5872</x:v>
      </x:c>
      <x:c r="K781" s="24" t="n">
        <x:v>0.2467643051771117</x:v>
      </x:c>
      <x:c r="L781" s="24" t="n">
        <x:v>0.009536784741144414</x:v>
      </x:c>
    </x:row>
    <x:row r="782">
      <x:c r="G782" t="str">
        <x:v>AUS-TUL</x:v>
      </x:c>
      <x:c r="H782" t="str">
        <x:v>AUS</x:v>
      </x:c>
      <x:c r="I782" t="str">
        <x:v>TUL</x:v>
      </x:c>
      <x:c r="J782" s="23" t="n">
        <x:v>1313</x:v>
      </x:c>
      <x:c r="K782" s="24" t="n">
        <x:v>0.24676313785224677</x:v>
      </x:c>
      <x:c r="L782" s="24" t="n">
        <x:v>0.006092916984006093</x:v>
      </x:c>
    </x:row>
    <x:row r="783">
      <x:c r="G783" t="str">
        <x:v>RNO-SAN</x:v>
      </x:c>
      <x:c r="H783" t="str">
        <x:v>RNO</x:v>
      </x:c>
      <x:c r="I783" t="str">
        <x:v>SAN</x:v>
      </x:c>
      <x:c r="J783" s="23" t="n">
        <x:v>2768</x:v>
      </x:c>
      <x:c r="K783" s="24" t="n">
        <x:v>0.2467485549132948</x:v>
      </x:c>
      <x:c r="L783" s="24" t="n">
        <x:v>0.01300578034682081</x:v>
      </x:c>
    </x:row>
    <x:row r="784">
      <x:c r="G784" t="str">
        <x:v>PHX-MSY</x:v>
      </x:c>
      <x:c r="H784" t="str">
        <x:v>PHX</x:v>
      </x:c>
      <x:c r="I784" t="str">
        <x:v>MSY</x:v>
      </x:c>
      <x:c r="J784" s="23" t="n">
        <x:v>2286</x:v>
      </x:c>
      <x:c r="K784" s="24" t="n">
        <x:v>0.24671916010498687</x:v>
      </x:c>
      <x:c r="L784" s="24" t="n">
        <x:v>0.005249343832020997</x:v>
      </x:c>
    </x:row>
    <x:row r="785">
      <x:c r="G785" t="str">
        <x:v>ORD-AUS</x:v>
      </x:c>
      <x:c r="H785" t="str">
        <x:v>ORD</x:v>
      </x:c>
      <x:c r="I785" t="str">
        <x:v>AUS</x:v>
      </x:c>
      <x:c r="J785" s="23" t="n">
        <x:v>9386</x:v>
      </x:c>
      <x:c r="K785" s="24" t="n">
        <x:v>0.24664393777967186</x:v>
      </x:c>
      <x:c r="L785" s="24" t="n">
        <x:v>0.011613040698913274</x:v>
      </x:c>
    </x:row>
    <x:row r="786">
      <x:c r="G786" t="str">
        <x:v>JAC-DEN</x:v>
      </x:c>
      <x:c r="H786" t="str">
        <x:v>JAC</x:v>
      </x:c>
      <x:c r="I786" t="str">
        <x:v>DEN</x:v>
      </x:c>
      <x:c r="J786" s="23" t="n">
        <x:v>4489</x:v>
      </x:c>
      <x:c r="K786" s="24" t="n">
        <x:v>0.2466028068612163</x:v>
      </x:c>
      <x:c r="L786" s="24" t="n">
        <x:v>0.011138338159946536</x:v>
      </x:c>
    </x:row>
    <x:row r="787">
      <x:c r="G787" t="str">
        <x:v>DAL-CMH</x:v>
      </x:c>
      <x:c r="H787" t="str">
        <x:v>DAL</x:v>
      </x:c>
      <x:c r="I787" t="str">
        <x:v>CMH</x:v>
      </x:c>
      <x:c r="J787" s="23" t="n">
        <x:v>1249</x:v>
      </x:c>
      <x:c r="K787" s="24" t="n">
        <x:v>0.2465972778222578</x:v>
      </x:c>
      <x:c r="L787" s="24" t="n">
        <x:v>0.004803843074459567</x:v>
      </x:c>
    </x:row>
    <x:row r="788">
      <x:c r="G788" t="str">
        <x:v>CLT-ORD</x:v>
      </x:c>
      <x:c r="H788" t="str">
        <x:v>CLT</x:v>
      </x:c>
      <x:c r="I788" t="str">
        <x:v>ORD</x:v>
      </x:c>
      <x:c r="J788" s="23" t="n">
        <x:v>13086</x:v>
      </x:c>
      <x:c r="K788" s="24" t="n">
        <x:v>0.246523001681186</x:v>
      </x:c>
      <x:c r="L788" s="24" t="n">
        <x:v>0.011386214274797494</x:v>
      </x:c>
    </x:row>
    <x:row r="789">
      <x:c r="G789" t="str">
        <x:v>DCA-BGR</x:v>
      </x:c>
      <x:c r="H789" t="str">
        <x:v>DCA</x:v>
      </x:c>
      <x:c r="I789" t="str">
        <x:v>BGR</x:v>
      </x:c>
      <x:c r="J789" s="23" t="n">
        <x:v>2982</x:v>
      </x:c>
      <x:c r="K789" s="24" t="n">
        <x:v>0.24647887323943662</x:v>
      </x:c>
      <x:c r="L789" s="24" t="n">
        <x:v>0.043594902749832326</x:v>
      </x:c>
    </x:row>
    <x:row r="790">
      <x:c r="G790" t="str">
        <x:v>EWR-MCO</x:v>
      </x:c>
      <x:c r="H790" t="str">
        <x:v>EWR</x:v>
      </x:c>
      <x:c r="I790" t="str">
        <x:v>MCO</x:v>
      </x:c>
      <x:c r="J790" s="23" t="n">
        <x:v>20404</x:v>
      </x:c>
      <x:c r="K790" s="24" t="n">
        <x:v>0.2464222701431092</x:v>
      </x:c>
      <x:c r="L790" s="24" t="n">
        <x:v>0.024455989021760438</x:v>
      </x:c>
    </x:row>
    <x:row r="791">
      <x:c r="G791" t="str">
        <x:v>IAH-EWR</x:v>
      </x:c>
      <x:c r="H791" t="str">
        <x:v>IAH</x:v>
      </x:c>
      <x:c r="I791" t="str">
        <x:v>EWR</x:v>
      </x:c>
      <x:c r="J791" s="23" t="n">
        <x:v>11116</x:v>
      </x:c>
      <x:c r="K791" s="24" t="n">
        <x:v>0.24640158330334652</x:v>
      </x:c>
      <x:c r="L791" s="24" t="n">
        <x:v>0.019341489744512413</x:v>
      </x:c>
    </x:row>
    <x:row r="792">
      <x:c r="G792" t="str">
        <x:v>AUS-TPA</x:v>
      </x:c>
      <x:c r="H792" t="str">
        <x:v>AUS</x:v>
      </x:c>
      <x:c r="I792" t="str">
        <x:v>TPA</x:v>
      </x:c>
      <x:c r="J792" s="23" t="n">
        <x:v>3704</x:v>
      </x:c>
      <x:c r="K792" s="24" t="n">
        <x:v>0.24622030237580994</x:v>
      </x:c>
      <x:c r="L792" s="24" t="n">
        <x:v>0.009449244060475162</x:v>
      </x:c>
    </x:row>
    <x:row r="793">
      <x:c r="G793" t="str">
        <x:v>BWI-IND</x:v>
      </x:c>
      <x:c r="H793" t="str">
        <x:v>BWI</x:v>
      </x:c>
      <x:c r="I793" t="str">
        <x:v>IND</x:v>
      </x:c>
      <x:c r="J793" s="23" t="n">
        <x:v>3544</x:v>
      </x:c>
      <x:c r="K793" s="24" t="n">
        <x:v>0.24604966139954854</x:v>
      </x:c>
      <x:c r="L793" s="24" t="n">
        <x:v>0.008182844243792325</x:v>
      </x:c>
    </x:row>
    <x:row r="794">
      <x:c r="G794" t="str">
        <x:v>DCA-CAE</x:v>
      </x:c>
      <x:c r="H794" t="str">
        <x:v>DCA</x:v>
      </x:c>
      <x:c r="I794" t="str">
        <x:v>CAE</x:v>
      </x:c>
      <x:c r="J794" s="23" t="n">
        <x:v>3175</x:v>
      </x:c>
      <x:c r="K794" s="24" t="n">
        <x:v>0.24598425196850393</x:v>
      </x:c>
      <x:c r="L794" s="24" t="n">
        <x:v>0.03779527559055118</x:v>
      </x:c>
    </x:row>
    <x:row r="795">
      <x:c r="G795" t="str">
        <x:v>DEN-PHX</x:v>
      </x:c>
      <x:c r="H795" t="str">
        <x:v>DEN</x:v>
      </x:c>
      <x:c r="I795" t="str">
        <x:v>PHX</x:v>
      </x:c>
      <x:c r="J795" s="23" t="n">
        <x:v>27611</x:v>
      </x:c>
      <x:c r="K795" s="24" t="n">
        <x:v>0.24595270001086522</x:v>
      </x:c>
      <x:c r="L795" s="24" t="n">
        <x:v>0.010611712723190033</x:v>
      </x:c>
    </x:row>
    <x:row r="796">
      <x:c r="G796" t="str">
        <x:v>BNA-MIA</x:v>
      </x:c>
      <x:c r="H796" t="str">
        <x:v>BNA</x:v>
      </x:c>
      <x:c r="I796" t="str">
        <x:v>MIA</x:v>
      </x:c>
      <x:c r="J796" s="23" t="n">
        <x:v>7140</x:v>
      </x:c>
      <x:c r="K796" s="24" t="n">
        <x:v>0.24593837535014004</x:v>
      </x:c>
      <x:c r="L796" s="24" t="n">
        <x:v>0.011764705882352941</x:v>
      </x:c>
    </x:row>
    <x:row r="797">
      <x:c r="G797" t="str">
        <x:v>BWI-BDL</x:v>
      </x:c>
      <x:c r="H797" t="str">
        <x:v>BWI</x:v>
      </x:c>
      <x:c r="I797" t="str">
        <x:v>BDL</x:v>
      </x:c>
      <x:c r="J797" s="23" t="n">
        <x:v>5104</x:v>
      </x:c>
      <x:c r="K797" s="24" t="n">
        <x:v>0.2458855799373041</x:v>
      </x:c>
      <x:c r="L797" s="24" t="n">
        <x:v>0.01018808777429467</x:v>
      </x:c>
    </x:row>
    <x:row r="798">
      <x:c r="G798" t="str">
        <x:v>HSV-DCA</x:v>
      </x:c>
      <x:c r="H798" t="str">
        <x:v>HSV</x:v>
      </x:c>
      <x:c r="I798" t="str">
        <x:v>DCA</x:v>
      </x:c>
      <x:c r="J798" s="23" t="n">
        <x:v>4067</x:v>
      </x:c>
      <x:c r="K798" s="24" t="n">
        <x:v>0.24588148512417016</x:v>
      </x:c>
      <x:c r="L798" s="24" t="n">
        <x:v>0.03147283009589378</x:v>
      </x:c>
    </x:row>
    <x:row r="799">
      <x:c r="G799" t="str">
        <x:v>DFW-LGA</x:v>
      </x:c>
      <x:c r="H799" t="str">
        <x:v>DFW</x:v>
      </x:c>
      <x:c r="I799" t="str">
        <x:v>LGA</x:v>
      </x:c>
      <x:c r="J799" s="23" t="n">
        <x:v>19409</x:v>
      </x:c>
      <x:c r="K799" s="24" t="n">
        <x:v>0.24586532021227267</x:v>
      </x:c>
      <x:c r="L799" s="24" t="n">
        <x:v>0.02581276727291463</x:v>
      </x:c>
    </x:row>
    <x:row r="800">
      <x:c r="G800" t="str">
        <x:v>ORD-OKC</x:v>
      </x:c>
      <x:c r="H800" t="str">
        <x:v>ORD</x:v>
      </x:c>
      <x:c r="I800" t="str">
        <x:v>OKC</x:v>
      </x:c>
      <x:c r="J800" s="23" t="n">
        <x:v>6286</x:v>
      </x:c>
      <x:c r="K800" s="24" t="n">
        <x:v>0.24578428253261214</x:v>
      </x:c>
      <x:c r="L800" s="24" t="n">
        <x:v>0.013203945275214762</x:v>
      </x:c>
    </x:row>
    <x:row r="801">
      <x:c r="G801" t="str">
        <x:v>MBS-ORD</x:v>
      </x:c>
      <x:c r="H801" t="str">
        <x:v>MBS</x:v>
      </x:c>
      <x:c r="I801" t="str">
        <x:v>ORD</x:v>
      </x:c>
      <x:c r="J801" s="23" t="n">
        <x:v>2832</x:v>
      </x:c>
      <x:c r="K801" s="24" t="n">
        <x:v>0.2457627118644068</x:v>
      </x:c>
      <x:c r="L801" s="24" t="n">
        <x:v>0.0211864406779661</x:v>
      </x:c>
    </x:row>
    <x:row r="802">
      <x:c r="G802" t="str">
        <x:v>EWR-PBI</x:v>
      </x:c>
      <x:c r="H802" t="str">
        <x:v>EWR</x:v>
      </x:c>
      <x:c r="I802" t="str">
        <x:v>PBI</x:v>
      </x:c>
      <x:c r="J802" s="23" t="n">
        <x:v>10194</x:v>
      </x:c>
      <x:c r="K802" s="24" t="n">
        <x:v>0.2457327839905827</x:v>
      </x:c>
      <x:c r="L802" s="24" t="n">
        <x:v>0.023347066902099273</x:v>
      </x:c>
    </x:row>
    <x:row r="803">
      <x:c r="G803" t="str">
        <x:v>MIA-ORD</x:v>
      </x:c>
      <x:c r="H803" t="str">
        <x:v>MIA</x:v>
      </x:c>
      <x:c r="I803" t="str">
        <x:v>ORD</x:v>
      </x:c>
      <x:c r="J803" s="23" t="n">
        <x:v>12800</x:v>
      </x:c>
      <x:c r="K803" s="24" t="n">
        <x:v>0.245703125</x:v>
      </x:c>
      <x:c r="L803" s="24" t="n">
        <x:v>0.010546875</x:v>
      </x:c>
    </x:row>
    <x:row r="804">
      <x:c r="G804" t="str">
        <x:v>FLL-MDW</x:v>
      </x:c>
      <x:c r="H804" t="str">
        <x:v>FLL</x:v>
      </x:c>
      <x:c r="I804" t="str">
        <x:v>MDW</x:v>
      </x:c>
      <x:c r="J804" s="23" t="n">
        <x:v>3672</x:v>
      </x:c>
      <x:c r="K804" s="24" t="n">
        <x:v>0.24564270152505446</x:v>
      </x:c>
      <x:c r="L804" s="24" t="n">
        <x:v>0.014978213507625272</x:v>
      </x:c>
    </x:row>
    <x:row r="805">
      <x:c r="G805" t="str">
        <x:v>ORD-LGA</x:v>
      </x:c>
      <x:c r="H805" t="str">
        <x:v>ORD</x:v>
      </x:c>
      <x:c r="I805" t="str">
        <x:v>LGA</x:v>
      </x:c>
      <x:c r="J805" s="23" t="n">
        <x:v>32434</x:v>
      </x:c>
      <x:c r="K805" s="24" t="n">
        <x:v>0.24557563051119197</x:v>
      </x:c>
      <x:c r="L805" s="24" t="n">
        <x:v>0.024233828698279582</x:v>
      </x:c>
    </x:row>
    <x:row r="806">
      <x:c r="G806" t="str">
        <x:v>EWR-ATL</x:v>
      </x:c>
      <x:c r="H806" t="str">
        <x:v>EWR</x:v>
      </x:c>
      <x:c r="I806" t="str">
        <x:v>ATL</x:v>
      </x:c>
      <x:c r="J806" s="23" t="n">
        <x:v>18072</x:v>
      </x:c>
      <x:c r="K806" s="24" t="n">
        <x:v>0.24557326250553344</x:v>
      </x:c>
      <x:c r="L806" s="24" t="n">
        <x:v>0.021469676848162905</x:v>
      </x:c>
    </x:row>
    <x:row r="807">
      <x:c r="G807" t="str">
        <x:v>TYS-PIE</x:v>
      </x:c>
      <x:c r="H807" t="str">
        <x:v>TYS</x:v>
      </x:c>
      <x:c r="I807" t="str">
        <x:v>PIE</x:v>
      </x:c>
      <x:c r="J807" s="23" t="n">
        <x:v>1352</x:v>
      </x:c>
      <x:c r="K807" s="24" t="n">
        <x:v>0.2455621301775148</x:v>
      </x:c>
      <x:c r="L807" s="24" t="n">
        <x:v>0.014053254437869823</x:v>
      </x:c>
    </x:row>
    <x:row r="808">
      <x:c r="G808" t="str">
        <x:v>DFW-SDF</x:v>
      </x:c>
      <x:c r="H808" t="str">
        <x:v>DFW</x:v>
      </x:c>
      <x:c r="I808" t="str">
        <x:v>SDF</x:v>
      </x:c>
      <x:c r="J808" s="23" t="n">
        <x:v>6134</x:v>
      </x:c>
      <x:c r="K808" s="24" t="n">
        <x:v>0.24551679165308118</x:v>
      </x:c>
      <x:c r="L808" s="24" t="n">
        <x:v>0.02363873492011738</x:v>
      </x:c>
    </x:row>
    <x:row r="809">
      <x:c r="G809" t="str">
        <x:v>STL-LGB</x:v>
      </x:c>
      <x:c r="H809" t="str">
        <x:v>STL</x:v>
      </x:c>
      <x:c r="I809" t="str">
        <x:v>LGB</x:v>
      </x:c>
      <x:c r="J809" s="23" t="n">
        <x:v>1002</x:v>
      </x:c>
      <x:c r="K809" s="24" t="n">
        <x:v>0.24550898203592814</x:v>
      </x:c>
      <x:c r="L809" s="24" t="n">
        <x:v>0.003992015968063872</x:v>
      </x:c>
    </x:row>
    <x:row r="810">
      <x:c r="G810" t="str">
        <x:v>LAS-DEN</x:v>
      </x:c>
      <x:c r="H810" t="str">
        <x:v>LAS</x:v>
      </x:c>
      <x:c r="I810" t="str">
        <x:v>DEN</x:v>
      </x:c>
      <x:c r="J810" s="23" t="n">
        <x:v>24780</x:v>
      </x:c>
      <x:c r="K810" s="24" t="n">
        <x:v>0.24543987086359967</x:v>
      </x:c>
      <x:c r="L810" s="24" t="n">
        <x:v>0.013882163034705408</x:v>
      </x:c>
    </x:row>
    <x:row r="811">
      <x:c r="G811" t="str">
        <x:v>KTN-SIT</x:v>
      </x:c>
      <x:c r="H811" t="str">
        <x:v>KTN</x:v>
      </x:c>
      <x:c r="I811" t="str">
        <x:v>SIT</x:v>
      </x:c>
      <x:c r="J811" s="23" t="n">
        <x:v>1096</x:v>
      </x:c>
      <x:c r="K811" s="24" t="n">
        <x:v>0.24543795620437955</x:v>
      </x:c>
      <x:c r="L811" s="24" t="n">
        <x:v>0.020985401459854013</x:v>
      </x:c>
    </x:row>
    <x:row r="812">
      <x:c r="G812" t="str">
        <x:v>JFK-BUF</x:v>
      </x:c>
      <x:c r="H812" t="str">
        <x:v>JFK</x:v>
      </x:c>
      <x:c r="I812" t="str">
        <x:v>BUF</x:v>
      </x:c>
      <x:c r="J812" s="23" t="n">
        <x:v>7278</x:v>
      </x:c>
      <x:c r="K812" s="24" t="n">
        <x:v>0.2453970871118439</x:v>
      </x:c>
      <x:c r="L812" s="24" t="n">
        <x:v>0.031739488870568835</x:v>
      </x:c>
    </x:row>
    <x:row r="813">
      <x:c r="G813" t="str">
        <x:v>DAL-LAX</x:v>
      </x:c>
      <x:c r="H813" t="str">
        <x:v>DAL</x:v>
      </x:c>
      <x:c r="I813" t="str">
        <x:v>LAX</x:v>
      </x:c>
      <x:c r="J813" s="23" t="n">
        <x:v>5522</x:v>
      </x:c>
      <x:c r="K813" s="24" t="n">
        <x:v>0.24538210793190873</x:v>
      </x:c>
      <x:c r="L813" s="24" t="n">
        <x:v>0.010503440782325244</x:v>
      </x:c>
    </x:row>
    <x:row r="814">
      <x:c r="G814" t="str">
        <x:v>FLL-BWI</x:v>
      </x:c>
      <x:c r="H814" t="str">
        <x:v>FLL</x:v>
      </x:c>
      <x:c r="I814" t="str">
        <x:v>BWI</x:v>
      </x:c>
      <x:c r="J814" s="23" t="n">
        <x:v>11192</x:v>
      </x:c>
      <x:c r="K814" s="24" t="n">
        <x:v>0.24535382416011436</x:v>
      </x:c>
      <x:c r="L814" s="24" t="n">
        <x:v>0.017869907076483203</x:v>
      </x:c>
    </x:row>
    <x:row r="815">
      <x:c r="G815" t="str">
        <x:v>ORD-SAN</x:v>
      </x:c>
      <x:c r="H815" t="str">
        <x:v>ORD</x:v>
      </x:c>
      <x:c r="I815" t="str">
        <x:v>SAN</x:v>
      </x:c>
      <x:c r="J815" s="23" t="n">
        <x:v>8853</x:v>
      </x:c>
      <x:c r="K815" s="24" t="n">
        <x:v>0.24534056252117925</x:v>
      </x:c>
      <x:c r="L815" s="24" t="n">
        <x:v>0.00994013328815091</x:v>
      </x:c>
    </x:row>
    <x:row r="816">
      <x:c r="G816" t="str">
        <x:v>FSD-DFW</x:v>
      </x:c>
      <x:c r="H816" t="str">
        <x:v>FSD</x:v>
      </x:c>
      <x:c r="I816" t="str">
        <x:v>DFW</x:v>
      </x:c>
      <x:c r="J816" s="23" t="n">
        <x:v>2727</x:v>
      </x:c>
      <x:c r="K816" s="24" t="n">
        <x:v>0.24532453245324531</x:v>
      </x:c>
      <x:c r="L816" s="24" t="n">
        <x:v>0.02016868353502017</x:v>
      </x:c>
    </x:row>
    <x:row r="817">
      <x:c r="G817" t="str">
        <x:v>BNA-CLT</x:v>
      </x:c>
      <x:c r="H817" t="str">
        <x:v>BNA</x:v>
      </x:c>
      <x:c r="I817" t="str">
        <x:v>CLT</x:v>
      </x:c>
      <x:c r="J817" s="23" t="n">
        <x:v>11668</x:v>
      </x:c>
      <x:c r="K817" s="24" t="n">
        <x:v>0.24520054850874184</x:v>
      </x:c>
      <x:c r="L817" s="24" t="n">
        <x:v>0.013027082619129242</x:v>
      </x:c>
    </x:row>
    <x:row r="818">
      <x:c r="G818" t="str">
        <x:v>DEN-LIT</x:v>
      </x:c>
      <x:c r="H818" t="str">
        <x:v>DEN</x:v>
      </x:c>
      <x:c r="I818" t="str">
        <x:v>LIT</x:v>
      </x:c>
      <x:c r="J818" s="23" t="n">
        <x:v>3921</x:v>
      </x:c>
      <x:c r="K818" s="24" t="n">
        <x:v>0.24509053812802856</x:v>
      </x:c>
      <x:c r="L818" s="24" t="n">
        <x:v>0.0066309614894159655</x:v>
      </x:c>
    </x:row>
    <x:row r="819">
      <x:c r="G819" t="str">
        <x:v>BQN-FLL</x:v>
      </x:c>
      <x:c r="H819" t="str">
        <x:v>BQN</x:v>
      </x:c>
      <x:c r="I819" t="str">
        <x:v>FLL</x:v>
      </x:c>
      <x:c r="J819" s="23" t="n">
        <x:v>1118</x:v>
      </x:c>
      <x:c r="K819" s="24" t="n">
        <x:v>0.24508050089445438</x:v>
      </x:c>
      <x:c r="L819" s="24" t="n">
        <x:v>0.013416815742397137</x:v>
      </x:c>
    </x:row>
    <x:row r="820">
      <x:c r="G820" t="str">
        <x:v>DEN-ELP</x:v>
      </x:c>
      <x:c r="H820" t="str">
        <x:v>DEN</x:v>
      </x:c>
      <x:c r="I820" t="str">
        <x:v>ELP</x:v>
      </x:c>
      <x:c r="J820" s="23" t="n">
        <x:v>5281</x:v>
      </x:c>
      <x:c r="K820" s="24" t="n">
        <x:v>0.24502935050179891</x:v>
      </x:c>
      <x:c r="L820" s="24" t="n">
        <x:v>0.0071956068926339704</x:v>
      </x:c>
    </x:row>
    <x:row r="821">
      <x:c r="G821" t="str">
        <x:v>LAS-BOI</x:v>
      </x:c>
      <x:c r="H821" t="str">
        <x:v>LAS</x:v>
      </x:c>
      <x:c r="I821" t="str">
        <x:v>BOI</x:v>
      </x:c>
      <x:c r="J821" s="23" t="n">
        <x:v>4731</x:v>
      </x:c>
      <x:c r="K821" s="24" t="n">
        <x:v>0.24497991967871485</x:v>
      </x:c>
      <x:c r="L821" s="24" t="n">
        <x:v>0.008032128514056224</x:v>
      </x:c>
    </x:row>
    <x:row r="822">
      <x:c r="G822" t="str">
        <x:v>LAS-HOU</x:v>
      </x:c>
      <x:c r="H822" t="str">
        <x:v>LAS</x:v>
      </x:c>
      <x:c r="I822" t="str">
        <x:v>HOU</x:v>
      </x:c>
      <x:c r="J822" s="23" t="n">
        <x:v>6222</x:v>
      </x:c>
      <x:c r="K822" s="24" t="n">
        <x:v>0.24493731918997108</x:v>
      </x:c>
      <x:c r="L822" s="24" t="n">
        <x:v>0.006589521054323369</x:v>
      </x:c>
    </x:row>
    <x:row r="823">
      <x:c r="G823" t="str">
        <x:v>LAS-AUS</x:v>
      </x:c>
      <x:c r="H823" t="str">
        <x:v>LAS</x:v>
      </x:c>
      <x:c r="I823" t="str">
        <x:v>AUS</x:v>
      </x:c>
      <x:c r="J823" s="23" t="n">
        <x:v>9657</x:v>
      </x:c>
      <x:c r="K823" s="24" t="n">
        <x:v>0.24490007248627937</x:v>
      </x:c>
      <x:c r="L823" s="24" t="n">
        <x:v>0.006937972455213834</x:v>
      </x:c>
    </x:row>
    <x:row r="824">
      <x:c r="G824" t="str">
        <x:v>RSW-PHL</x:v>
      </x:c>
      <x:c r="H824" t="str">
        <x:v>RSW</x:v>
      </x:c>
      <x:c r="I824" t="str">
        <x:v>PHL</x:v>
      </x:c>
      <x:c r="J824" s="23" t="n">
        <x:v>4207</x:v>
      </x:c>
      <x:c r="K824" s="24" t="n">
        <x:v>0.24483004516282386</x:v>
      </x:c>
      <x:c r="L824" s="24" t="n">
        <x:v>0.019253624910862847</x:v>
      </x:c>
    </x:row>
    <x:row r="825">
      <x:c r="G825" t="str">
        <x:v>FLL-ACY</x:v>
      </x:c>
      <x:c r="H825" t="str">
        <x:v>FLL</x:v>
      </x:c>
      <x:c r="I825" t="str">
        <x:v>ACY</x:v>
      </x:c>
      <x:c r="J825" s="23" t="n">
        <x:v>1638</x:v>
      </x:c>
      <x:c r="K825" s="24" t="n">
        <x:v>0.2448107448107448</x:v>
      </x:c>
      <x:c r="L825" s="24" t="n">
        <x:v>0.014041514041514042</x:v>
      </x:c>
    </x:row>
    <x:row r="826">
      <x:c r="G826" t="str">
        <x:v>ORD-SAT</x:v>
      </x:c>
      <x:c r="H826" t="str">
        <x:v>ORD</x:v>
      </x:c>
      <x:c r="I826" t="str">
        <x:v>SAT</x:v>
      </x:c>
      <x:c r="J826" s="23" t="n">
        <x:v>4636</x:v>
      </x:c>
      <x:c r="K826" s="24" t="n">
        <x:v>0.24460742018981882</x:v>
      </x:c>
      <x:c r="L826" s="24" t="n">
        <x:v>0.012295081967213115</x:v>
      </x:c>
    </x:row>
    <x:row r="827">
      <x:c r="G827" t="str">
        <x:v>MDW-HOU</x:v>
      </x:c>
      <x:c r="H827" t="str">
        <x:v>MDW</x:v>
      </x:c>
      <x:c r="I827" t="str">
        <x:v>HOU</x:v>
      </x:c>
      <x:c r="J827" s="23" t="n">
        <x:v>5368</x:v>
      </x:c>
      <x:c r="K827" s="24" t="n">
        <x:v>0.24459761549925485</x:v>
      </x:c>
      <x:c r="L827" s="24" t="n">
        <x:v>0.012667660208643815</x:v>
      </x:c>
    </x:row>
    <x:row r="828">
      <x:c r="G828" t="str">
        <x:v>MIA-CLT</x:v>
      </x:c>
      <x:c r="H828" t="str">
        <x:v>MIA</x:v>
      </x:c>
      <x:c r="I828" t="str">
        <x:v>CLT</x:v>
      </x:c>
      <x:c r="J828" s="23" t="n">
        <x:v>10741</x:v>
      </x:c>
      <x:c r="K828" s="24" t="n">
        <x:v>0.24448375384042453</x:v>
      </x:c>
      <x:c r="L828" s="24" t="n">
        <x:v>0.01126524532166465</x:v>
      </x:c>
    </x:row>
    <x:row r="829">
      <x:c r="G829" t="str">
        <x:v>EWR-SLC</x:v>
      </x:c>
      <x:c r="H829" t="str">
        <x:v>EWR</x:v>
      </x:c>
      <x:c r="I829" t="str">
        <x:v>SLC</x:v>
      </x:c>
      <x:c r="J829" s="23" t="n">
        <x:v>3514</x:v>
      </x:c>
      <x:c r="K829" s="24" t="n">
        <x:v>0.24445076835515084</x:v>
      </x:c>
      <x:c r="L829" s="24" t="n">
        <x:v>0.01508252703471827</x:v>
      </x:c>
    </x:row>
    <x:row r="830">
      <x:c r="G830" t="str">
        <x:v>DAL-SAV</x:v>
      </x:c>
      <x:c r="H830" t="str">
        <x:v>DAL</x:v>
      </x:c>
      <x:c r="I830" t="str">
        <x:v>SAV</x:v>
      </x:c>
      <x:c r="J830" s="23" t="n">
        <x:v>1097</x:v>
      </x:c>
      <x:c r="K830" s="24" t="n">
        <x:v>0.24430264357338194</x:v>
      </x:c>
      <x:c r="L830" s="24" t="n">
        <x:v>0.0036463081130355514</x:v>
      </x:c>
    </x:row>
    <x:row r="831">
      <x:c r="G831" t="str">
        <x:v>DAL-BHM</x:v>
      </x:c>
      <x:c r="H831" t="str">
        <x:v>DAL</x:v>
      </x:c>
      <x:c r="I831" t="str">
        <x:v>BHM</x:v>
      </x:c>
      <x:c r="J831" s="23" t="n">
        <x:v>2624</x:v>
      </x:c>
      <x:c r="K831" s="24" t="n">
        <x:v>0.24428353658536586</x:v>
      </x:c>
      <x:c r="L831" s="24" t="n">
        <x:v>0.010289634146341464</x:v>
      </x:c>
    </x:row>
    <x:row r="832">
      <x:c r="G832" t="str">
        <x:v>ATL-ORD</x:v>
      </x:c>
      <x:c r="H832" t="str">
        <x:v>ATL</x:v>
      </x:c>
      <x:c r="I832" t="str">
        <x:v>ORD</x:v>
      </x:c>
      <x:c r="J832" s="23" t="n">
        <x:v>18035</x:v>
      </x:c>
      <x:c r="K832" s="24" t="n">
        <x:v>0.2442472969226504</x:v>
      </x:c>
      <x:c r="L832" s="24" t="n">
        <x:v>0.013972830607152759</x:v>
      </x:c>
    </x:row>
    <x:row r="833">
      <x:c r="G833" t="str">
        <x:v>BTV-ORD</x:v>
      </x:c>
      <x:c r="H833" t="str">
        <x:v>BTV</x:v>
      </x:c>
      <x:c r="I833" t="str">
        <x:v>ORD</x:v>
      </x:c>
      <x:c r="J833" s="23" t="n">
        <x:v>3006</x:v>
      </x:c>
      <x:c r="K833" s="24" t="n">
        <x:v>0.24417831004657353</x:v>
      </x:c>
      <x:c r="L833" s="24" t="n">
        <x:v>0.012308715901530274</x:v>
      </x:c>
    </x:row>
    <x:row r="834">
      <x:c r="G834" t="str">
        <x:v>STS-SAN</x:v>
      </x:c>
      <x:c r="H834" t="str">
        <x:v>STS</x:v>
      </x:c>
      <x:c r="I834" t="str">
        <x:v>SAN</x:v>
      </x:c>
      <x:c r="J834" s="23" t="n">
        <x:v>2052</x:v>
      </x:c>
      <x:c r="K834" s="24" t="n">
        <x:v>0.24415204678362573</x:v>
      </x:c>
      <x:c r="L834" s="24" t="n">
        <x:v>0.01949317738791423</x:v>
      </x:c>
    </x:row>
    <x:row r="835">
      <x:c r="G835" t="str">
        <x:v>STL-LAX</x:v>
      </x:c>
      <x:c r="H835" t="str">
        <x:v>STL</x:v>
      </x:c>
      <x:c r="I835" t="str">
        <x:v>LAX</x:v>
      </x:c>
      <x:c r="J835" s="23" t="n">
        <x:v>3302</x:v>
      </x:c>
      <x:c r="K835" s="24" t="n">
        <x:v>0.2440944881889764</x:v>
      </x:c>
      <x:c r="L835" s="24" t="n">
        <x:v>0.005754088431253785</x:v>
      </x:c>
    </x:row>
    <x:row r="836">
      <x:c r="G836" t="str">
        <x:v>PSE-MCO</x:v>
      </x:c>
      <x:c r="H836" t="str">
        <x:v>PSE</x:v>
      </x:c>
      <x:c r="I836" t="str">
        <x:v>MCO</x:v>
      </x:c>
      <x:c r="J836" s="23" t="n">
        <x:v>2032</x:v>
      </x:c>
      <x:c r="K836" s="24" t="n">
        <x:v>0.2440944881889764</x:v>
      </x:c>
      <x:c r="L836" s="24" t="n">
        <x:v>0.014763779527559055</x:v>
      </x:c>
    </x:row>
    <x:row r="837">
      <x:c r="G837" t="str">
        <x:v>DFW-AVL</x:v>
      </x:c>
      <x:c r="H837" t="str">
        <x:v>DFW</x:v>
      </x:c>
      <x:c r="I837" t="str">
        <x:v>AVL</x:v>
      </x:c>
      <x:c r="J837" s="23" t="n">
        <x:v>1885</x:v>
      </x:c>
      <x:c r="K837" s="24" t="n">
        <x:v>0.2440318302387268</x:v>
      </x:c>
      <x:c r="L837" s="24" t="n">
        <x:v>0.01909814323607427</x:v>
      </x:c>
    </x:row>
    <x:row r="838">
      <x:c r="G838" t="str">
        <x:v>AUS-PHL</x:v>
      </x:c>
      <x:c r="H838" t="str">
        <x:v>AUS</x:v>
      </x:c>
      <x:c r="I838" t="str">
        <x:v>PHL</x:v>
      </x:c>
      <x:c r="J838" s="23" t="n">
        <x:v>2980</x:v>
      </x:c>
      <x:c r="K838" s="24" t="n">
        <x:v>0.24395973154362416</x:v>
      </x:c>
      <x:c r="L838" s="24" t="n">
        <x:v>0.014429530201342283</x:v>
      </x:c>
    </x:row>
    <x:row r="839">
      <x:c r="G839" t="str">
        <x:v>FLL-TPA</x:v>
      </x:c>
      <x:c r="H839" t="str">
        <x:v>FLL</x:v>
      </x:c>
      <x:c r="I839" t="str">
        <x:v>TPA</x:v>
      </x:c>
      <x:c r="J839" s="23" t="n">
        <x:v>3854</x:v>
      </x:c>
      <x:c r="K839" s="24" t="n">
        <x:v>0.24364296834457708</x:v>
      </x:c>
      <x:c r="L839" s="24" t="n">
        <x:v>0.01582771146860405</x:v>
      </x:c>
    </x:row>
    <x:row r="840">
      <x:c r="G840" t="str">
        <x:v>DAL-SMF</x:v>
      </x:c>
      <x:c r="H840" t="str">
        <x:v>DAL</x:v>
      </x:c>
      <x:c r="I840" t="str">
        <x:v>SMF</x:v>
      </x:c>
      <x:c r="J840" s="23" t="n">
        <x:v>1683</x:v>
      </x:c>
      <x:c r="K840" s="24" t="n">
        <x:v>0.24361259655377301</x:v>
      </x:c>
      <x:c r="L840" s="24" t="n">
        <x:v>0.008318478906714201</x:v>
      </x:c>
    </x:row>
    <x:row r="841">
      <x:c r="G841" t="str">
        <x:v>STL-DFW</x:v>
      </x:c>
      <x:c r="H841" t="str">
        <x:v>STL</x:v>
      </x:c>
      <x:c r="I841" t="str">
        <x:v>DFW</x:v>
      </x:c>
      <x:c r="J841" s="23" t="n">
        <x:v>6700</x:v>
      </x:c>
      <x:c r="K841" s="24" t="n">
        <x:v>0.2435820895522388</x:v>
      </x:c>
      <x:c r="L841" s="24" t="n">
        <x:v>0.024328358208955222</x:v>
      </x:c>
    </x:row>
    <x:row r="842">
      <x:c r="G842" t="str">
        <x:v>DEN-COS</x:v>
      </x:c>
      <x:c r="H842" t="str">
        <x:v>DEN</x:v>
      </x:c>
      <x:c r="I842" t="str">
        <x:v>COS</x:v>
      </x:c>
      <x:c r="J842" s="23" t="n">
        <x:v>14561</x:v>
      </x:c>
      <x:c r="K842" s="24" t="n">
        <x:v>0.2435272302726461</x:v>
      </x:c>
      <x:c r="L842" s="24" t="n">
        <x:v>0.01675709085914429</x:v>
      </x:c>
    </x:row>
    <x:row r="843">
      <x:c r="G843" t="str">
        <x:v>CLT-MCI</x:v>
      </x:c>
      <x:c r="H843" t="str">
        <x:v>CLT</x:v>
      </x:c>
      <x:c r="I843" t="str">
        <x:v>MCI</x:v>
      </x:c>
      <x:c r="J843" s="23" t="n">
        <x:v>4037</x:v>
      </x:c>
      <x:c r="K843" s="24" t="n">
        <x:v>0.24349764676740154</x:v>
      </x:c>
      <x:c r="L843" s="24" t="n">
        <x:v>0.009908347783007183</x:v>
      </x:c>
    </x:row>
    <x:row r="844">
      <x:c r="G844" t="str">
        <x:v>DEN-CLE</x:v>
      </x:c>
      <x:c r="H844" t="str">
        <x:v>DEN</x:v>
      </x:c>
      <x:c r="I844" t="str">
        <x:v>CLE</x:v>
      </x:c>
      <x:c r="J844" s="23" t="n">
        <x:v>5528</x:v>
      </x:c>
      <x:c r="K844" s="24" t="n">
        <x:v>0.2434876989869754</x:v>
      </x:c>
      <x:c r="L844" s="24" t="n">
        <x:v>0.005065123010130246</x:v>
      </x:c>
    </x:row>
    <x:row r="845">
      <x:c r="G845" t="str">
        <x:v>MIA-ORF</x:v>
      </x:c>
      <x:c r="H845" t="str">
        <x:v>MIA</x:v>
      </x:c>
      <x:c r="I845" t="str">
        <x:v>ORF</x:v>
      </x:c>
      <x:c r="J845" s="23" t="n">
        <x:v>1454</x:v>
      </x:c>
      <x:c r="K845" s="24" t="n">
        <x:v>0.24346629986244842</x:v>
      </x:c>
      <x:c r="L845" s="24" t="n">
        <x:v>0.016506189821182942</x:v>
      </x:c>
    </x:row>
    <x:row r="846">
      <x:c r="G846" t="str">
        <x:v>DEN-MAF</x:v>
      </x:c>
      <x:c r="H846" t="str">
        <x:v>DEN</x:v>
      </x:c>
      <x:c r="I846" t="str">
        <x:v>MAF</x:v>
      </x:c>
      <x:c r="J846" s="23" t="n">
        <x:v>3784</x:v>
      </x:c>
      <x:c r="K846" s="24" t="n">
        <x:v>0.24339323467230445</x:v>
      </x:c>
      <x:c r="L846" s="24" t="n">
        <x:v>0.011627906976744186</x:v>
      </x:c>
    </x:row>
    <x:row r="847">
      <x:c r="G847" t="str">
        <x:v>ORD-MSN</x:v>
      </x:c>
      <x:c r="H847" t="str">
        <x:v>ORD</x:v>
      </x:c>
      <x:c r="I847" t="str">
        <x:v>MSN</x:v>
      </x:c>
      <x:c r="J847" s="23" t="n">
        <x:v>7368</x:v>
      </x:c>
      <x:c r="K847" s="24" t="n">
        <x:v>0.24334961997828447</x:v>
      </x:c>
      <x:c r="L847" s="24" t="n">
        <x:v>0.02049402823018458</x:v>
      </x:c>
    </x:row>
    <x:row r="848">
      <x:c r="G848" t="str">
        <x:v>BNA-BOS</x:v>
      </x:c>
      <x:c r="H848" t="str">
        <x:v>BNA</x:v>
      </x:c>
      <x:c r="I848" t="str">
        <x:v>BOS</x:v>
      </x:c>
      <x:c r="J848" s="23" t="n">
        <x:v>8027</x:v>
      </x:c>
      <x:c r="K848" s="24" t="n">
        <x:v>0.2433038495079108</x:v>
      </x:c>
      <x:c r="L848" s="24" t="n">
        <x:v>0.013080852124081227</x:v>
      </x:c>
    </x:row>
    <x:row r="849">
      <x:c r="G849" t="str">
        <x:v>SAV-DFW</x:v>
      </x:c>
      <x:c r="H849" t="str">
        <x:v>SAV</x:v>
      </x:c>
      <x:c r="I849" t="str">
        <x:v>DFW</x:v>
      </x:c>
      <x:c r="J849" s="23" t="n">
        <x:v>3013</x:v>
      </x:c>
      <x:c r="K849" s="24" t="n">
        <x:v>0.2432791237968802</x:v>
      </x:c>
      <x:c r="L849" s="24" t="n">
        <x:v>0.02456023896448722</x:v>
      </x:c>
    </x:row>
    <x:row r="850">
      <x:c r="G850" t="str">
        <x:v>LAS-GRR</x:v>
      </x:c>
      <x:c r="H850" t="str">
        <x:v>LAS</x:v>
      </x:c>
      <x:c r="I850" t="str">
        <x:v>GRR</x:v>
      </x:c>
      <x:c r="J850" s="23" t="n">
        <x:v>1003</x:v>
      </x:c>
      <x:c r="K850" s="24" t="n">
        <x:v>0.2432701894317049</x:v>
      </x:c>
      <x:c r="L850" s="24" t="n">
        <x:v>0.0009970089730807576</x:v>
      </x:c>
    </x:row>
    <x:row r="851">
      <x:c r="G851" t="str">
        <x:v>DFW-COS</x:v>
      </x:c>
      <x:c r="H851" t="str">
        <x:v>DFW</x:v>
      </x:c>
      <x:c r="I851" t="str">
        <x:v>COS</x:v>
      </x:c>
      <x:c r="J851" s="23" t="n">
        <x:v>5785</x:v>
      </x:c>
      <x:c r="K851" s="24" t="n">
        <x:v>0.24321521175453759</x:v>
      </x:c>
      <x:c r="L851" s="24" t="n">
        <x:v>0.021261884183232497</x:v>
      </x:c>
    </x:row>
    <x:row r="852">
      <x:c r="G852" t="str">
        <x:v>ORD-ORF</x:v>
      </x:c>
      <x:c r="H852" t="str">
        <x:v>ORD</x:v>
      </x:c>
      <x:c r="I852" t="str">
        <x:v>ORF</x:v>
      </x:c>
      <x:c r="J852" s="23" t="n">
        <x:v>3783</x:v>
      </x:c>
      <x:c r="K852" s="24" t="n">
        <x:v>0.24319323288395453</x:v>
      </x:c>
      <x:c r="L852" s="24" t="n">
        <x:v>0.011366640232619614</x:v>
      </x:c>
    </x:row>
    <x:row r="853">
      <x:c r="G853" t="str">
        <x:v>HSV-DFW</x:v>
      </x:c>
      <x:c r="H853" t="str">
        <x:v>HSV</x:v>
      </x:c>
      <x:c r="I853" t="str">
        <x:v>DFW</x:v>
      </x:c>
      <x:c r="J853" s="23" t="n">
        <x:v>5983</x:v>
      </x:c>
      <x:c r="K853" s="24" t="n">
        <x:v>0.24318903560086913</x:v>
      </x:c>
      <x:c r="L853" s="24" t="n">
        <x:v>0.02657529667390941</x:v>
      </x:c>
    </x:row>
    <x:row r="854">
      <x:c r="G854" t="str">
        <x:v>ATL-SAN</x:v>
      </x:c>
      <x:c r="H854" t="str">
        <x:v>ATL</x:v>
      </x:c>
      <x:c r="I854" t="str">
        <x:v>SAN</x:v>
      </x:c>
      <x:c r="J854" s="23" t="n">
        <x:v>7111</x:v>
      </x:c>
      <x:c r="K854" s="24" t="n">
        <x:v>0.24314442413162707</x:v>
      </x:c>
      <x:c r="L854" s="24" t="n">
        <x:v>0.007312614259597806</x:v>
      </x:c>
    </x:row>
    <x:row r="855">
      <x:c r="G855" t="str">
        <x:v>PBI-LGA</x:v>
      </x:c>
      <x:c r="H855" t="str">
        <x:v>PBI</x:v>
      </x:c>
      <x:c r="I855" t="str">
        <x:v>LGA</x:v>
      </x:c>
      <x:c r="J855" s="23" t="n">
        <x:v>8688</x:v>
      </x:c>
      <x:c r="K855" s="24" t="n">
        <x:v>0.2430939226519337</x:v>
      </x:c>
      <x:c r="L855" s="24" t="n">
        <x:v>0.02255985267034991</x:v>
      </x:c>
    </x:row>
    <x:row r="856">
      <x:c r="G856" t="str">
        <x:v>FLL-SDF</x:v>
      </x:c>
      <x:c r="H856" t="str">
        <x:v>FLL</x:v>
      </x:c>
      <x:c r="I856" t="str">
        <x:v>SDF</x:v>
      </x:c>
      <x:c r="J856" s="23" t="n">
        <x:v>1230</x:v>
      </x:c>
      <x:c r="K856" s="24" t="n">
        <x:v>0.24308943089430896</x:v>
      </x:c>
      <x:c r="L856" s="24" t="n">
        <x:v>0.015447154471544716</x:v>
      </x:c>
    </x:row>
    <x:row r="857">
      <x:c r="G857" t="str">
        <x:v>ORD-MCI</x:v>
      </x:c>
      <x:c r="H857" t="str">
        <x:v>ORD</x:v>
      </x:c>
      <x:c r="I857" t="str">
        <x:v>MCI</x:v>
      </x:c>
      <x:c r="J857" s="23" t="n">
        <x:v>9721</x:v>
      </x:c>
      <x:c r="K857" s="24" t="n">
        <x:v>0.24308198744985085</x:v>
      </x:c>
      <x:c r="L857" s="24" t="n">
        <x:v>0.013681719987655591</x:v>
      </x:c>
    </x:row>
    <x:row r="858">
      <x:c r="G858" t="str">
        <x:v>BWI-LAS</x:v>
      </x:c>
      <x:c r="H858" t="str">
        <x:v>BWI</x:v>
      </x:c>
      <x:c r="I858" t="str">
        <x:v>LAS</x:v>
      </x:c>
      <x:c r="J858" s="23" t="n">
        <x:v>5830</x:v>
      </x:c>
      <x:c r="K858" s="24" t="n">
        <x:v>0.2430531732418525</x:v>
      </x:c>
      <x:c r="L858" s="24" t="n">
        <x:v>0.007032590051457976</x:v>
      </x:c>
    </x:row>
    <x:row r="859">
      <x:c r="G859" t="str">
        <x:v>MCO-SAT</x:v>
      </x:c>
      <x:c r="H859" t="str">
        <x:v>MCO</x:v>
      </x:c>
      <x:c r="I859" t="str">
        <x:v>SAT</x:v>
      </x:c>
      <x:c r="J859" s="23" t="n">
        <x:v>3568</x:v>
      </x:c>
      <x:c r="K859" s="24" t="n">
        <x:v>0.2429932735426009</x:v>
      </x:c>
      <x:c r="L859" s="24" t="n">
        <x:v>0.00952914798206278</x:v>
      </x:c>
    </x:row>
    <x:row r="860">
      <x:c r="G860" t="str">
        <x:v>MQT-ORD</x:v>
      </x:c>
      <x:c r="H860" t="str">
        <x:v>MQT</x:v>
      </x:c>
      <x:c r="I860" t="str">
        <x:v>ORD</x:v>
      </x:c>
      <x:c r="J860" s="23" t="n">
        <x:v>1354</x:v>
      </x:c>
      <x:c r="K860" s="24" t="n">
        <x:v>0.2429837518463811</x:v>
      </x:c>
      <x:c r="L860" s="24" t="n">
        <x:v>0.026587887740029542</x:v>
      </x:c>
    </x:row>
    <x:row r="861">
      <x:c r="G861" t="str">
        <x:v>LAS-TUS</x:v>
      </x:c>
      <x:c r="H861" t="str">
        <x:v>LAS</x:v>
      </x:c>
      <x:c r="I861" t="str">
        <x:v>TUS</x:v>
      </x:c>
      <x:c r="J861" s="23" t="n">
        <x:v>3784</x:v>
      </x:c>
      <x:c r="K861" s="24" t="n">
        <x:v>0.2428646934460888</x:v>
      </x:c>
      <x:c r="L861" s="24" t="n">
        <x:v>0.0023784355179704017</x:v>
      </x:c>
    </x:row>
    <x:row r="862">
      <x:c r="G862" t="str">
        <x:v>IAH-MCO</x:v>
      </x:c>
      <x:c r="H862" t="str">
        <x:v>IAH</x:v>
      </x:c>
      <x:c r="I862" t="str">
        <x:v>MCO</x:v>
      </x:c>
      <x:c r="J862" s="23" t="n">
        <x:v>11184</x:v>
      </x:c>
      <x:c r="K862" s="24" t="n">
        <x:v>0.24284692417739628</x:v>
      </x:c>
      <x:c r="L862" s="24" t="n">
        <x:v>0.01350143061516452</x:v>
      </x:c>
    </x:row>
    <x:row r="863">
      <x:c r="G863" t="str">
        <x:v>PDX-AUS</x:v>
      </x:c>
      <x:c r="H863" t="str">
        <x:v>PDX</x:v>
      </x:c>
      <x:c r="I863" t="str">
        <x:v>AUS</x:v>
      </x:c>
      <x:c r="J863" s="23" t="n">
        <x:v>1248</x:v>
      </x:c>
      <x:c r="K863" s="24" t="n">
        <x:v>0.24278846153846154</x:v>
      </x:c>
      <x:c r="L863" s="24" t="n">
        <x:v>0.01282051282051282</x:v>
      </x:c>
    </x:row>
    <x:row r="864">
      <x:c r="G864" t="str">
        <x:v>MIA-CVG</x:v>
      </x:c>
      <x:c r="H864" t="str">
        <x:v>MIA</x:v>
      </x:c>
      <x:c r="I864" t="str">
        <x:v>CVG</x:v>
      </x:c>
      <x:c r="J864" s="23" t="n">
        <x:v>3283</x:v>
      </x:c>
      <x:c r="K864" s="24" t="n">
        <x:v>0.24276576302162656</x:v>
      </x:c>
      <x:c r="L864" s="24" t="n">
        <x:v>0.010051781906792567</x:v>
      </x:c>
    </x:row>
    <x:row r="865">
      <x:c r="G865" t="str">
        <x:v>AVL-ORD</x:v>
      </x:c>
      <x:c r="H865" t="str">
        <x:v>AVL</x:v>
      </x:c>
      <x:c r="I865" t="str">
        <x:v>ORD</x:v>
      </x:c>
      <x:c r="J865" s="23" t="n">
        <x:v>3127</x:v>
      </x:c>
      <x:c r="K865" s="24" t="n">
        <x:v>0.24272465622001918</x:v>
      </x:c>
      <x:c r="L865" s="24" t="n">
        <x:v>0.02110649184521906</x:v>
      </x:c>
    </x:row>
    <x:row r="866">
      <x:c r="G866" t="str">
        <x:v>ORD-CMI</x:v>
      </x:c>
      <x:c r="H866" t="str">
        <x:v>ORD</x:v>
      </x:c>
      <x:c r="I866" t="str">
        <x:v>CMI</x:v>
      </x:c>
      <x:c r="J866" s="23" t="n">
        <x:v>2266</x:v>
      </x:c>
      <x:c r="K866" s="24" t="n">
        <x:v>0.24271844660194175</x:v>
      </x:c>
      <x:c r="L866" s="24" t="n">
        <x:v>0.023389232127096204</x:v>
      </x:c>
    </x:row>
    <x:row r="867">
      <x:c r="G867" t="str">
        <x:v>JFK-BOS</x:v>
      </x:c>
      <x:c r="H867" t="str">
        <x:v>JFK</x:v>
      </x:c>
      <x:c r="I867" t="str">
        <x:v>BOS</x:v>
      </x:c>
      <x:c r="J867" s="23" t="n">
        <x:v>17573</x:v>
      </x:c>
      <x:c r="K867" s="24" t="n">
        <x:v>0.24270187219029193</x:v>
      </x:c>
      <x:c r="L867" s="24" t="n">
        <x:v>0.027599157798896035</x:v>
      </x:c>
    </x:row>
    <x:row r="868">
      <x:c r="G868" t="str">
        <x:v>MSP-OKC</x:v>
      </x:c>
      <x:c r="H868" t="str">
        <x:v>MSP</x:v>
      </x:c>
      <x:c r="I868" t="str">
        <x:v>OKC</x:v>
      </x:c>
      <x:c r="J868" s="23" t="n">
        <x:v>1096</x:v>
      </x:c>
      <x:c r="K868" s="24" t="n">
        <x:v>0.2427007299270073</x:v>
      </x:c>
      <x:c r="L868" s="24" t="n">
        <x:v>0.0072992700729927005</x:v>
      </x:c>
    </x:row>
    <x:row r="869">
      <x:c r="G869" t="str">
        <x:v>SRQ-BOS</x:v>
      </x:c>
      <x:c r="H869" t="str">
        <x:v>SRQ</x:v>
      </x:c>
      <x:c r="I869" t="str">
        <x:v>BOS</x:v>
      </x:c>
      <x:c r="J869" s="23" t="n">
        <x:v>1438</x:v>
      </x:c>
      <x:c r="K869" s="24" t="n">
        <x:v>0.2426981919332406</x:v>
      </x:c>
      <x:c r="L869" s="24" t="n">
        <x:v>0.021557719054242003</x:v>
      </x:c>
    </x:row>
    <x:row r="870">
      <x:c r="G870" t="str">
        <x:v>MIA-MDW</x:v>
      </x:c>
      <x:c r="H870" t="str">
        <x:v>MIA</x:v>
      </x:c>
      <x:c r="I870" t="str">
        <x:v>MDW</x:v>
      </x:c>
      <x:c r="J870" s="23" t="n">
        <x:v>2497</x:v>
      </x:c>
      <x:c r="K870" s="24" t="n">
        <x:v>0.24269122947537045</x:v>
      </x:c>
      <x:c r="L870" s="24" t="n">
        <x:v>0.01802162595114137</x:v>
      </x:c>
    </x:row>
    <x:row r="871">
      <x:c r="G871" t="str">
        <x:v>PDX-SFO</x:v>
      </x:c>
      <x:c r="H871" t="str">
        <x:v>PDX</x:v>
      </x:c>
      <x:c r="I871" t="str">
        <x:v>SFO</x:v>
      </x:c>
      <x:c r="J871" s="23" t="n">
        <x:v>10514</x:v>
      </x:c>
      <x:c r="K871" s="24" t="n">
        <x:v>0.24262887578466807</x:v>
      </x:c>
      <x:c r="L871" s="24" t="n">
        <x:v>0.010081795700970135</x:v>
      </x:c>
    </x:row>
    <x:row r="872">
      <x:c r="G872" t="str">
        <x:v>MDW-SAN</x:v>
      </x:c>
      <x:c r="H872" t="str">
        <x:v>MDW</x:v>
      </x:c>
      <x:c r="I872" t="str">
        <x:v>SAN</x:v>
      </x:c>
      <x:c r="J872" s="23" t="n">
        <x:v>3170</x:v>
      </x:c>
      <x:c r="K872" s="24" t="n">
        <x:v>0.24258675078864353</x:v>
      </x:c>
      <x:c r="L872" s="24" t="n">
        <x:v>0.010725552050473186</x:v>
      </x:c>
    </x:row>
    <x:row r="873">
      <x:c r="G873" t="str">
        <x:v>ALB-MCO</x:v>
      </x:c>
      <x:c r="H873" t="str">
        <x:v>ALB</x:v>
      </x:c>
      <x:c r="I873" t="str">
        <x:v>MCO</x:v>
      </x:c>
      <x:c r="J873" s="23" t="n">
        <x:v>3117</x:v>
      </x:c>
      <x:c r="K873" s="24" t="n">
        <x:v>0.24254090471607315</x:v>
      </x:c>
      <x:c r="L873" s="24" t="n">
        <x:v>0.010907924286172602</x:v>
      </x:c>
    </x:row>
    <x:row r="874">
      <x:c r="G874" t="str">
        <x:v>BOS-PDX</x:v>
      </x:c>
      <x:c r="H874" t="str">
        <x:v>BOS</x:v>
      </x:c>
      <x:c r="I874" t="str">
        <x:v>PDX</x:v>
      </x:c>
      <x:c r="J874" s="23" t="n">
        <x:v>1869</x:v>
      </x:c>
      <x:c r="K874" s="24" t="n">
        <x:v>0.24237560192616373</x:v>
      </x:c>
      <x:c r="L874" s="24" t="n">
        <x:v>0.012841091492776886</x:v>
      </x:c>
    </x:row>
    <x:row r="875">
      <x:c r="G875" t="str">
        <x:v>SAN-SBP</x:v>
      </x:c>
      <x:c r="H875" t="str">
        <x:v>SAN</x:v>
      </x:c>
      <x:c r="I875" t="str">
        <x:v>SBP</x:v>
      </x:c>
      <x:c r="J875" s="23" t="n">
        <x:v>1473</x:v>
      </x:c>
      <x:c r="K875" s="24" t="n">
        <x:v>0.24236252545824846</x:v>
      </x:c>
      <x:c r="L875" s="24" t="n">
        <x:v>0.027155465037338764</x:v>
      </x:c>
    </x:row>
    <x:row r="876">
      <x:c r="G876" t="str">
        <x:v>LAS-IND</x:v>
      </x:c>
      <x:c r="H876" t="str">
        <x:v>LAS</x:v>
      </x:c>
      <x:c r="I876" t="str">
        <x:v>IND</x:v>
      </x:c>
      <x:c r="J876" s="23" t="n">
        <x:v>4370</x:v>
      </x:c>
      <x:c r="K876" s="24" t="n">
        <x:v>0.24233409610983983</x:v>
      </x:c>
      <x:c r="L876" s="24" t="n">
        <x:v>0.006407322654462242</x:v>
      </x:c>
    </x:row>
    <x:row r="877">
      <x:c r="G877" t="str">
        <x:v>HOU-PNS</x:v>
      </x:c>
      <x:c r="H877" t="str">
        <x:v>HOU</x:v>
      </x:c>
      <x:c r="I877" t="str">
        <x:v>PNS</x:v>
      </x:c>
      <x:c r="J877" s="23" t="n">
        <x:v>1139</x:v>
      </x:c>
      <x:c r="K877" s="24" t="n">
        <x:v>0.24231782265144863</x:v>
      </x:c>
      <x:c r="L877" s="24" t="n">
        <x:v>0.001755926251097454</x:v>
      </x:c>
    </x:row>
    <x:row r="878">
      <x:c r="G878" t="str">
        <x:v>ATL-SJU</x:v>
      </x:c>
      <x:c r="H878" t="str">
        <x:v>ATL</x:v>
      </x:c>
      <x:c r="I878" t="str">
        <x:v>SJU</x:v>
      </x:c>
      <x:c r="J878" s="23" t="n">
        <x:v>6170</x:v>
      </x:c>
      <x:c r="K878" s="24" t="n">
        <x:v>0.24230145867098865</x:v>
      </x:c>
      <x:c r="L878" s="24" t="n">
        <x:v>0.006969205834683955</x:v>
      </x:c>
    </x:row>
    <x:row r="879">
      <x:c r="G879" t="str">
        <x:v>STX-MIA</x:v>
      </x:c>
      <x:c r="H879" t="str">
        <x:v>STX</x:v>
      </x:c>
      <x:c r="I879" t="str">
        <x:v>MIA</x:v>
      </x:c>
      <x:c r="J879" s="23" t="n">
        <x:v>1816</x:v>
      </x:c>
      <x:c r="K879" s="24" t="n">
        <x:v>0.2422907488986784</x:v>
      </x:c>
      <x:c r="L879" s="24" t="n">
        <x:v>0.0027533039647577094</x:v>
      </x:c>
    </x:row>
    <x:row r="880">
      <x:c r="G880" t="str">
        <x:v>ISP-MCO</x:v>
      </x:c>
      <x:c r="H880" t="str">
        <x:v>ISP</x:v>
      </x:c>
      <x:c r="I880" t="str">
        <x:v>MCO</x:v>
      </x:c>
      <x:c r="J880" s="23" t="n">
        <x:v>4235</x:v>
      </x:c>
      <x:c r="K880" s="24" t="n">
        <x:v>0.2422668240850059</x:v>
      </x:c>
      <x:c r="L880" s="24" t="n">
        <x:v>0.015584415584415584</x:v>
      </x:c>
    </x:row>
    <x:row r="881">
      <x:c r="G881" t="str">
        <x:v>MCO-HOU</x:v>
      </x:c>
      <x:c r="H881" t="str">
        <x:v>MCO</x:v>
      </x:c>
      <x:c r="I881" t="str">
        <x:v>HOU</x:v>
      </x:c>
      <x:c r="J881" s="23" t="n">
        <x:v>6039</x:v>
      </x:c>
      <x:c r="K881" s="24" t="n">
        <x:v>0.24225865209471767</x:v>
      </x:c>
      <x:c r="L881" s="24" t="n">
        <x:v>0.012253684384831926</x:v>
      </x:c>
    </x:row>
    <x:row r="882">
      <x:c r="G882" t="str">
        <x:v>JFK-ATL</x:v>
      </x:c>
      <x:c r="H882" t="str">
        <x:v>JFK</x:v>
      </x:c>
      <x:c r="I882" t="str">
        <x:v>ATL</x:v>
      </x:c>
      <x:c r="J882" s="23" t="n">
        <x:v>11620</x:v>
      </x:c>
      <x:c r="K882" s="24" t="n">
        <x:v>0.24225473321858865</x:v>
      </x:c>
      <x:c r="L882" s="24" t="n">
        <x:v>0.010585197934595525</x:v>
      </x:c>
    </x:row>
    <x:row r="883">
      <x:c r="G883" t="str">
        <x:v>MCO-SYR</x:v>
      </x:c>
      <x:c r="H883" t="str">
        <x:v>MCO</x:v>
      </x:c>
      <x:c r="I883" t="str">
        <x:v>SYR</x:v>
      </x:c>
      <x:c r="J883" s="23" t="n">
        <x:v>2436</x:v>
      </x:c>
      <x:c r="K883" s="24" t="n">
        <x:v>0.24220032840722497</x:v>
      </x:c>
      <x:c r="L883" s="24" t="n">
        <x:v>0.011494252873563218</x:v>
      </x:c>
    </x:row>
    <x:row r="884">
      <x:c r="G884" t="str">
        <x:v>DEN-BNA</x:v>
      </x:c>
      <x:c r="H884" t="str">
        <x:v>DEN</x:v>
      </x:c>
      <x:c r="I884" t="str">
        <x:v>BNA</x:v>
      </x:c>
      <x:c r="J884" s="23" t="n">
        <x:v>11733</x:v>
      </x:c>
      <x:c r="K884" s="24" t="n">
        <x:v>0.24205233103213158</x:v>
      </x:c>
      <x:c r="L884" s="24" t="n">
        <x:v>0.008437739708514446</x:v>
      </x:c>
    </x:row>
    <x:row r="885">
      <x:c r="G885" t="str">
        <x:v>MDW-LAS</x:v>
      </x:c>
      <x:c r="H885" t="str">
        <x:v>MDW</x:v>
      </x:c>
      <x:c r="I885" t="str">
        <x:v>LAS</x:v>
      </x:c>
      <x:c r="J885" s="23" t="n">
        <x:v>8999</x:v>
      </x:c>
      <x:c r="K885" s="24" t="n">
        <x:v>0.2420268918768752</x:v>
      </x:c>
      <x:c r="L885" s="24" t="n">
        <x:v>0.010445605067229692</x:v>
      </x:c>
    </x:row>
    <x:row r="886">
      <x:c r="G886" t="str">
        <x:v>CLT-DAY</x:v>
      </x:c>
      <x:c r="H886" t="str">
        <x:v>CLT</x:v>
      </x:c>
      <x:c r="I886" t="str">
        <x:v>DAY</x:v>
      </x:c>
      <x:c r="J886" s="23" t="n">
        <x:v>3960</x:v>
      </x:c>
      <x:c r="K886" s="24" t="n">
        <x:v>0.24191919191919192</x:v>
      </x:c>
      <x:c r="L886" s="24" t="n">
        <x:v>0.004292929292929293</x:v>
      </x:c>
    </x:row>
    <x:row r="887">
      <x:c r="G887" t="str">
        <x:v>LAX-LAS</x:v>
      </x:c>
      <x:c r="H887" t="str">
        <x:v>LAX</x:v>
      </x:c>
      <x:c r="I887" t="str">
        <x:v>LAS</x:v>
      </x:c>
      <x:c r="J887" s="23" t="n">
        <x:v>28865</x:v>
      </x:c>
      <x:c r="K887" s="24" t="n">
        <x:v>0.24188463537155724</x:v>
      </x:c>
      <x:c r="L887" s="24" t="n">
        <x:v>0.008764940239043825</x:v>
      </x:c>
    </x:row>
    <x:row r="888">
      <x:c r="G888" t="str">
        <x:v>DFW-MSO</x:v>
      </x:c>
      <x:c r="H888" t="str">
        <x:v>DFW</x:v>
      </x:c>
      <x:c r="I888" t="str">
        <x:v>MSO</x:v>
      </x:c>
      <x:c r="J888" s="23" t="n">
        <x:v>1286</x:v>
      </x:c>
      <x:c r="K888" s="24" t="n">
        <x:v>0.24183514774494558</x:v>
      </x:c>
      <x:c r="L888" s="24" t="n">
        <x:v>0.007776049766718507</x:v>
      </x:c>
    </x:row>
    <x:row r="889">
      <x:c r="G889" t="str">
        <x:v>DEN-AUS</x:v>
      </x:c>
      <x:c r="H889" t="str">
        <x:v>DEN</x:v>
      </x:c>
      <x:c r="I889" t="str">
        <x:v>AUS</x:v>
      </x:c>
      <x:c r="J889" s="23" t="n">
        <x:v>13995</x:v>
      </x:c>
      <x:c r="K889" s="24" t="n">
        <x:v>0.24180064308681673</x:v>
      </x:c>
      <x:c r="L889" s="24" t="n">
        <x:v>0.009860664523043945</x:v>
      </x:c>
    </x:row>
    <x:row r="890">
      <x:c r="G890" t="str">
        <x:v>HNL-JFK</x:v>
      </x:c>
      <x:c r="H890" t="str">
        <x:v>HNL</x:v>
      </x:c>
      <x:c r="I890" t="str">
        <x:v>JFK</x:v>
      </x:c>
      <x:c r="J890" s="23" t="n">
        <x:v>2035</x:v>
      </x:c>
      <x:c r="K890" s="24" t="n">
        <x:v>0.24176904176904176</x:v>
      </x:c>
      <x:c r="L890" s="24" t="n">
        <x:v>0.005405405405405406</x:v>
      </x:c>
    </x:row>
    <x:row r="891">
      <x:c r="G891" t="str">
        <x:v>LAS-GEG</x:v>
      </x:c>
      <x:c r="H891" t="str">
        <x:v>LAS</x:v>
      </x:c>
      <x:c r="I891" t="str">
        <x:v>GEG</x:v>
      </x:c>
      <x:c r="J891" s="23" t="n">
        <x:v>2238</x:v>
      </x:c>
      <x:c r="K891" s="24" t="n">
        <x:v>0.241733690795353</x:v>
      </x:c>
      <x:c r="L891" s="24" t="n">
        <x:v>0.002680965147453083</x:v>
      </x:c>
    </x:row>
    <x:row r="892">
      <x:c r="G892" t="str">
        <x:v>SEA-DFW</x:v>
      </x:c>
      <x:c r="H892" t="str">
        <x:v>SEA</x:v>
      </x:c>
      <x:c r="I892" t="str">
        <x:v>DFW</x:v>
      </x:c>
      <x:c r="J892" s="23" t="n">
        <x:v>14434</x:v>
      </x:c>
      <x:c r="K892" s="24" t="n">
        <x:v>0.24165165581266454</x:v>
      </x:c>
      <x:c r="L892" s="24" t="n">
        <x:v>0.015796037134543438</x:v>
      </x:c>
    </x:row>
    <x:row r="893">
      <x:c r="G893" t="str">
        <x:v>IND-MIA</x:v>
      </x:c>
      <x:c r="H893" t="str">
        <x:v>IND</x:v>
      </x:c>
      <x:c r="I893" t="str">
        <x:v>MIA</x:v>
      </x:c>
      <x:c r="J893" s="23" t="n">
        <x:v>2454</x:v>
      </x:c>
      <x:c r="K893" s="24" t="n">
        <x:v>0.24164629176854116</x:v>
      </x:c>
      <x:c r="L893" s="24" t="n">
        <x:v>0.010594947025264874</x:v>
      </x:c>
    </x:row>
    <x:row r="894">
      <x:c r="G894" t="str">
        <x:v>CLT-CAK</x:v>
      </x:c>
      <x:c r="H894" t="str">
        <x:v>CLT</x:v>
      </x:c>
      <x:c r="I894" t="str">
        <x:v>CAK</x:v>
      </x:c>
      <x:c r="J894" s="23" t="n">
        <x:v>4006</x:v>
      </x:c>
      <x:c r="K894" s="24" t="n">
        <x:v>0.2416375436844733</x:v>
      </x:c>
      <x:c r="L894" s="24" t="n">
        <x:v>0.009485771342985522</x:v>
      </x:c>
    </x:row>
    <x:row r="895">
      <x:c r="G895" t="str">
        <x:v>DEN-PDX</x:v>
      </x:c>
      <x:c r="H895" t="str">
        <x:v>DEN</x:v>
      </x:c>
      <x:c r="I895" t="str">
        <x:v>PDX</x:v>
      </x:c>
      <x:c r="J895" s="23" t="n">
        <x:v>13414</x:v>
      </x:c>
      <x:c r="K895" s="24" t="n">
        <x:v>0.24161323989861339</x:v>
      </x:c>
      <x:c r="L895" s="24" t="n">
        <x:v>0.010064112121663932</x:v>
      </x:c>
    </x:row>
    <x:row r="896">
      <x:c r="G896" t="str">
        <x:v>MIA-STX</x:v>
      </x:c>
      <x:c r="H896" t="str">
        <x:v>MIA</x:v>
      </x:c>
      <x:c r="I896" t="str">
        <x:v>STX</x:v>
      </x:c>
      <x:c r="J896" s="23" t="n">
        <x:v>1817</x:v>
      </x:c>
      <x:c r="K896" s="24" t="n">
        <x:v>0.24160704457897633</x:v>
      </x:c>
      <x:c r="L896" s="24" t="n">
        <x:v>0.002201430930104568</x:v>
      </x:c>
    </x:row>
    <x:row r="897">
      <x:c r="G897" t="str">
        <x:v>MDW-MEM</x:v>
      </x:c>
      <x:c r="H897" t="str">
        <x:v>MDW</x:v>
      </x:c>
      <x:c r="I897" t="str">
        <x:v>MEM</x:v>
      </x:c>
      <x:c r="J897" s="23" t="n">
        <x:v>1991</x:v>
      </x:c>
      <x:c r="K897" s="24" t="n">
        <x:v>0.2415871421396283</x:v>
      </x:c>
      <x:c r="L897" s="24" t="n">
        <x:v>0.012556504269211451</x:v>
      </x:c>
    </x:row>
    <x:row r="898">
      <x:c r="G898" t="str">
        <x:v>MIA-BHM</x:v>
      </x:c>
      <x:c r="H898" t="str">
        <x:v>MIA</x:v>
      </x:c>
      <x:c r="I898" t="str">
        <x:v>BHM</x:v>
      </x:c>
      <x:c r="J898" s="23" t="n">
        <x:v>2161</x:v>
      </x:c>
      <x:c r="K898" s="24" t="n">
        <x:v>0.24155483572420175</x:v>
      </x:c>
      <x:c r="L898" s="24" t="n">
        <x:v>0.012956964368347987</x:v>
      </x:c>
    </x:row>
    <x:row r="899">
      <x:c r="G899" t="str">
        <x:v>LAS-MAF</x:v>
      </x:c>
      <x:c r="H899" t="str">
        <x:v>LAS</x:v>
      </x:c>
      <x:c r="I899" t="str">
        <x:v>MAF</x:v>
      </x:c>
      <x:c r="J899" s="23" t="n">
        <x:v>1122</x:v>
      </x:c>
      <x:c r="K899" s="24" t="n">
        <x:v>0.2415329768270945</x:v>
      </x:c>
      <x:c r="L899" s="24" t="n">
        <x:v>0.0053475935828877</x:v>
      </x:c>
    </x:row>
    <x:row r="900">
      <x:c r="G900" t="str">
        <x:v>DEN-CVG</x:v>
      </x:c>
      <x:c r="H900" t="str">
        <x:v>DEN</x:v>
      </x:c>
      <x:c r="I900" t="str">
        <x:v>CVG</x:v>
      </x:c>
      <x:c r="J900" s="23" t="n">
        <x:v>5275</x:v>
      </x:c>
      <x:c r="K900" s="24" t="n">
        <x:v>0.24151658767772513</x:v>
      </x:c>
      <x:c r="L900" s="24" t="n">
        <x:v>0.006824644549763033</x:v>
      </x:c>
    </x:row>
    <x:row r="901">
      <x:c r="G901" t="str">
        <x:v>CLT-OMA</x:v>
      </x:c>
      <x:c r="H901" t="str">
        <x:v>CLT</x:v>
      </x:c>
      <x:c r="I901" t="str">
        <x:v>OMA</x:v>
      </x:c>
      <x:c r="J901" s="23" t="n">
        <x:v>2551</x:v>
      </x:c>
      <x:c r="K901" s="24" t="n">
        <x:v>0.24147393179145432</x:v>
      </x:c>
      <x:c r="L901" s="24" t="n">
        <x:v>0.009800078400627205</x:v>
      </x:c>
    </x:row>
    <x:row r="902">
      <x:c r="G902" t="str">
        <x:v>TPA-BOS</x:v>
      </x:c>
      <x:c r="H902" t="str">
        <x:v>TPA</x:v>
      </x:c>
      <x:c r="I902" t="str">
        <x:v>BOS</x:v>
      </x:c>
      <x:c r="J902" s="23" t="n">
        <x:v>8404</x:v>
      </x:c>
      <x:c r="K902" s="24" t="n">
        <x:v>0.241432651118515</x:v>
      </x:c>
      <x:c r="L902" s="24" t="n">
        <x:v>0.02225130890052356</x:v>
      </x:c>
    </x:row>
    <x:row r="903">
      <x:c r="G903" t="str">
        <x:v>DEN-DSM</x:v>
      </x:c>
      <x:c r="H903" t="str">
        <x:v>DEN</x:v>
      </x:c>
      <x:c r="I903" t="str">
        <x:v>DSM</x:v>
      </x:c>
      <x:c r="J903" s="23" t="n">
        <x:v>6872</x:v>
      </x:c>
      <x:c r="K903" s="24" t="n">
        <x:v>0.24141443538998836</x:v>
      </x:c>
      <x:c r="L903" s="24" t="n">
        <x:v>0.009313154831199068</x:v>
      </x:c>
    </x:row>
    <x:row r="904">
      <x:c r="G904" t="str">
        <x:v>PHL-TYS</x:v>
      </x:c>
      <x:c r="H904" t="str">
        <x:v>PHL</x:v>
      </x:c>
      <x:c r="I904" t="str">
        <x:v>TYS</x:v>
      </x:c>
      <x:c r="J904" s="23" t="n">
        <x:v>1334</x:v>
      </x:c>
      <x:c r="K904" s="24" t="n">
        <x:v>0.2413793103448276</x:v>
      </x:c>
      <x:c r="L904" s="24" t="n">
        <x:v>0.025487256371814093</x:v>
      </x:c>
    </x:row>
    <x:row r="905">
      <x:c r="G905" t="str">
        <x:v>BWI-AUS</x:v>
      </x:c>
      <x:c r="H905" t="str">
        <x:v>BWI</x:v>
      </x:c>
      <x:c r="I905" t="str">
        <x:v>AUS</x:v>
      </x:c>
      <x:c r="J905" s="23" t="n">
        <x:v>4114</x:v>
      </x:c>
      <x:c r="K905" s="24" t="n">
        <x:v>0.24137092853670394</x:v>
      </x:c>
      <x:c r="L905" s="24" t="n">
        <x:v>0.008021390374331552</x:v>
      </x:c>
    </x:row>
    <x:row r="906">
      <x:c r="G906" t="str">
        <x:v>MYR-DFW</x:v>
      </x:c>
      <x:c r="H906" t="str">
        <x:v>MYR</x:v>
      </x:c>
      <x:c r="I906" t="str">
        <x:v>DFW</x:v>
      </x:c>
      <x:c r="J906" s="23" t="n">
        <x:v>1330</x:v>
      </x:c>
      <x:c r="K906" s="24" t="n">
        <x:v>0.24135338345864663</x:v>
      </x:c>
      <x:c r="L906" s="24" t="n">
        <x:v>0.02030075187969925</x:v>
      </x:c>
    </x:row>
    <x:row r="907">
      <x:c r="G907" t="str">
        <x:v>MSY-MIA</x:v>
      </x:c>
      <x:c r="H907" t="str">
        <x:v>MSY</x:v>
      </x:c>
      <x:c r="I907" t="str">
        <x:v>MIA</x:v>
      </x:c>
      <x:c r="J907" s="23" t="n">
        <x:v>5176</x:v>
      </x:c>
      <x:c r="K907" s="24" t="n">
        <x:v>0.24130602782071098</x:v>
      </x:c>
      <x:c r="L907" s="24" t="n">
        <x:v>0.016035548686244204</x:v>
      </x:c>
    </x:row>
    <x:row r="908">
      <x:c r="G908" t="str">
        <x:v>PHL-AUS</x:v>
      </x:c>
      <x:c r="H908" t="str">
        <x:v>PHL</x:v>
      </x:c>
      <x:c r="I908" t="str">
        <x:v>AUS</x:v>
      </x:c>
      <x:c r="J908" s="23" t="n">
        <x:v>2980</x:v>
      </x:c>
      <x:c r="K908" s="24" t="n">
        <x:v>0.2412751677852349</x:v>
      </x:c>
      <x:c r="L908" s="24" t="n">
        <x:v>0.013758389261744967</x:v>
      </x:c>
    </x:row>
    <x:row r="909">
      <x:c r="G909" t="str">
        <x:v>SEA-JNU</x:v>
      </x:c>
      <x:c r="H909" t="str">
        <x:v>SEA</x:v>
      </x:c>
      <x:c r="I909" t="str">
        <x:v>JNU</x:v>
      </x:c>
      <x:c r="J909" s="23" t="n">
        <x:v>4825</x:v>
      </x:c>
      <x:c r="K909" s="24" t="n">
        <x:v>0.24124352331606216</x:v>
      </x:c>
      <x:c r="L909" s="24" t="n">
        <x:v>0.011813471502590673</x:v>
      </x:c>
    </x:row>
    <x:row r="910">
      <x:c r="G910" t="str">
        <x:v>SEA-TPA</x:v>
      </x:c>
      <x:c r="H910" t="str">
        <x:v>SEA</x:v>
      </x:c>
      <x:c r="I910" t="str">
        <x:v>TPA</x:v>
      </x:c>
      <x:c r="J910" s="23" t="n">
        <x:v>3105</x:v>
      </x:c>
      <x:c r="K910" s="24" t="n">
        <x:v>0.24122383252818036</x:v>
      </x:c>
      <x:c r="L910" s="24" t="n">
        <x:v>0.010628019323671498</x:v>
      </x:c>
    </x:row>
    <x:row r="911">
      <x:c r="G911" t="str">
        <x:v>DEN-STL</x:v>
      </x:c>
      <x:c r="H911" t="str">
        <x:v>DEN</x:v>
      </x:c>
      <x:c r="I911" t="str">
        <x:v>STL</x:v>
      </x:c>
      <x:c r="J911" s="23" t="n">
        <x:v>11590</x:v>
      </x:c>
      <x:c r="K911" s="24" t="n">
        <x:v>0.24115616911130286</x:v>
      </x:c>
      <x:c r="L911" s="24" t="n">
        <x:v>0.008886971527178602</x:v>
      </x:c>
    </x:row>
    <x:row r="912">
      <x:c r="G912" t="str">
        <x:v>ORD-GRB</x:v>
      </x:c>
      <x:c r="H912" t="str">
        <x:v>ORD</x:v>
      </x:c>
      <x:c r="I912" t="str">
        <x:v>GRB</x:v>
      </x:c>
      <x:c r="J912" s="23" t="n">
        <x:v>5594</x:v>
      </x:c>
      <x:c r="K912" s="24" t="n">
        <x:v>0.24115123346442618</x:v>
      </x:c>
      <x:c r="L912" s="24" t="n">
        <x:v>0.019485162674293885</x:v>
      </x:c>
    </x:row>
    <x:row r="913">
      <x:c r="G913" t="str">
        <x:v>LIT-IAH</x:v>
      </x:c>
      <x:c r="H913" t="str">
        <x:v>LIT</x:v>
      </x:c>
      <x:c r="I913" t="str">
        <x:v>IAH</x:v>
      </x:c>
      <x:c r="J913" s="23" t="n">
        <x:v>1240</x:v>
      </x:c>
      <x:c r="K913" s="24" t="n">
        <x:v>0.2411290322580645</x:v>
      </x:c>
      <x:c r="L913" s="24" t="n">
        <x:v>0.020967741935483872</x:v>
      </x:c>
    </x:row>
    <x:row r="914">
      <x:c r="G914" t="str">
        <x:v>ATL-FSD</x:v>
      </x:c>
      <x:c r="H914" t="str">
        <x:v>ATL</x:v>
      </x:c>
      <x:c r="I914" t="str">
        <x:v>FSD</x:v>
      </x:c>
      <x:c r="J914" s="23" t="n">
        <x:v>1099</x:v>
      </x:c>
      <x:c r="K914" s="24" t="n">
        <x:v>0.2411282984531392</x:v>
      </x:c>
      <x:c r="L914" s="24" t="n">
        <x:v>0.017288444040036398</x:v>
      </x:c>
    </x:row>
    <x:row r="915">
      <x:c r="G915" t="str">
        <x:v>SLC-JFK</x:v>
      </x:c>
      <x:c r="H915" t="str">
        <x:v>SLC</x:v>
      </x:c>
      <x:c r="I915" t="str">
        <x:v>JFK</x:v>
      </x:c>
      <x:c r="J915" s="23" t="n">
        <x:v>6001</x:v>
      </x:c>
      <x:c r="K915" s="24" t="n">
        <x:v>0.24112647892017997</x:v>
      </x:c>
      <x:c r="L915" s="24" t="n">
        <x:v>0.009498416930511582</x:v>
      </x:c>
    </x:row>
    <x:row r="916">
      <x:c r="G916" t="str">
        <x:v>PHX-ANC</x:v>
      </x:c>
      <x:c r="H916" t="str">
        <x:v>PHX</x:v>
      </x:c>
      <x:c r="I916" t="str">
        <x:v>ANC</x:v>
      </x:c>
      <x:c r="J916" s="23" t="n">
        <x:v>1012</x:v>
      </x:c>
      <x:c r="K916" s="24" t="n">
        <x:v>0.24110671936758893</x:v>
      </x:c>
      <x:c r="L916" s="24" t="n">
        <x:v>0.005928853754940711</x:v>
      </x:c>
    </x:row>
    <x:row r="917">
      <x:c r="G917" t="str">
        <x:v>DEN-BOI</x:v>
      </x:c>
      <x:c r="H917" t="str">
        <x:v>DEN</x:v>
      </x:c>
      <x:c r="I917" t="str">
        <x:v>BOI</x:v>
      </x:c>
      <x:c r="J917" s="23" t="n">
        <x:v>8088</x:v>
      </x:c>
      <x:c r="K917" s="24" t="n">
        <x:v>0.2410979228486647</x:v>
      </x:c>
      <x:c r="L917" s="24" t="n">
        <x:v>0.00605835806132542</x:v>
      </x:c>
    </x:row>
    <x:row r="918">
      <x:c r="G918" t="str">
        <x:v>FLL-SFO</x:v>
      </x:c>
      <x:c r="H918" t="str">
        <x:v>FLL</x:v>
      </x:c>
      <x:c r="I918" t="str">
        <x:v>SFO</x:v>
      </x:c>
      <x:c r="J918" s="23" t="n">
        <x:v>3888</x:v>
      </x:c>
      <x:c r="K918" s="24" t="n">
        <x:v>0.24099794238683128</x:v>
      </x:c>
      <x:c r="L918" s="24" t="n">
        <x:v>0.00977366255144033</x:v>
      </x:c>
    </x:row>
    <x:row r="919">
      <x:c r="G919" t="str">
        <x:v>DEN-RNO</x:v>
      </x:c>
      <x:c r="H919" t="str">
        <x:v>DEN</x:v>
      </x:c>
      <x:c r="I919" t="str">
        <x:v>RNO</x:v>
      </x:c>
      <x:c r="J919" s="23" t="n">
        <x:v>7424</x:v>
      </x:c>
      <x:c r="K919" s="24" t="n">
        <x:v>0.24097521551724138</x:v>
      </x:c>
      <x:c r="L919" s="24" t="n">
        <x:v>0.007004310344827586</x:v>
      </x:c>
    </x:row>
    <x:row r="920">
      <x:c r="G920" t="str">
        <x:v>DEN-ABQ</x:v>
      </x:c>
      <x:c r="H920" t="str">
        <x:v>DEN</x:v>
      </x:c>
      <x:c r="I920" t="str">
        <x:v>ABQ</x:v>
      </x:c>
      <x:c r="J920" s="23" t="n">
        <x:v>8732</x:v>
      </x:c>
      <x:c r="K920" s="24" t="n">
        <x:v>0.24095281722400366</x:v>
      </x:c>
      <x:c r="L920" s="24" t="n">
        <x:v>0.008131012368300505</x:v>
      </x:c>
    </x:row>
    <x:row r="921">
      <x:c r="G921" t="str">
        <x:v>SAT-DFW</x:v>
      </x:c>
      <x:c r="H921" t="str">
        <x:v>SAT</x:v>
      </x:c>
      <x:c r="I921" t="str">
        <x:v>DFW</x:v>
      </x:c>
      <x:c r="J921" s="23" t="n">
        <x:v>12684</x:v>
      </x:c>
      <x:c r="K921" s="24" t="n">
        <x:v>0.24093345947650582</x:v>
      </x:c>
      <x:c r="L921" s="24" t="n">
        <x:v>0.025386313465783666</x:v>
      </x:c>
    </x:row>
    <x:row r="922">
      <x:c r="G922" t="str">
        <x:v>FLL-IAH</x:v>
      </x:c>
      <x:c r="H922" t="str">
        <x:v>FLL</x:v>
      </x:c>
      <x:c r="I922" t="str">
        <x:v>IAH</x:v>
      </x:c>
      <x:c r="J922" s="23" t="n">
        <x:v>7720</x:v>
      </x:c>
      <x:c r="K922" s="24" t="n">
        <x:v>0.24093264248704663</x:v>
      </x:c>
      <x:c r="L922" s="24" t="n">
        <x:v>0.013860103626943005</x:v>
      </x:c>
    </x:row>
    <x:row r="923">
      <x:c r="G923" t="str">
        <x:v>RAP-ORD</x:v>
      </x:c>
      <x:c r="H923" t="str">
        <x:v>RAP</x:v>
      </x:c>
      <x:c r="I923" t="str">
        <x:v>ORD</x:v>
      </x:c>
      <x:c r="J923" s="23" t="n">
        <x:v>1345</x:v>
      </x:c>
      <x:c r="K923" s="24" t="n">
        <x:v>0.2408921933085502</x:v>
      </x:c>
      <x:c r="L923" s="24" t="n">
        <x:v>0.011895910780669145</x:v>
      </x:c>
    </x:row>
    <x:row r="924">
      <x:c r="G924" t="str">
        <x:v>CLE-MCO</x:v>
      </x:c>
      <x:c r="H924" t="str">
        <x:v>CLE</x:v>
      </x:c>
      <x:c r="I924" t="str">
        <x:v>MCO</x:v>
      </x:c>
      <x:c r="J924" s="23" t="n">
        <x:v>6227</x:v>
      </x:c>
      <x:c r="K924" s="24" t="n">
        <x:v>0.24088646218082543</x:v>
      </x:c>
      <x:c r="L924" s="24" t="n">
        <x:v>0.017343825277019432</x:v>
      </x:c>
    </x:row>
    <x:row r="925">
      <x:c r="G925" t="str">
        <x:v>OMA-DFW</x:v>
      </x:c>
      <x:c r="H925" t="str">
        <x:v>OMA</x:v>
      </x:c>
      <x:c r="I925" t="str">
        <x:v>DFW</x:v>
      </x:c>
      <x:c r="J925" s="23" t="n">
        <x:v>4415</x:v>
      </x:c>
      <x:c r="K925" s="24" t="n">
        <x:v>0.2407701019252548</x:v>
      </x:c>
      <x:c r="L925" s="24" t="n">
        <x:v>0.020838052095130236</x:v>
      </x:c>
    </x:row>
    <x:row r="926">
      <x:c r="G926" t="str">
        <x:v>SFO-DFW</x:v>
      </x:c>
      <x:c r="H926" t="str">
        <x:v>SFO</x:v>
      </x:c>
      <x:c r="I926" t="str">
        <x:v>DFW</x:v>
      </x:c>
      <x:c r="J926" s="23" t="n">
        <x:v>12075</x:v>
      </x:c>
      <x:c r="K926" s="24" t="n">
        <x:v>0.24074534161490682</x:v>
      </x:c>
      <x:c r="L926" s="24" t="n">
        <x:v>0.017971014492753623</x:v>
      </x:c>
    </x:row>
    <x:row r="927">
      <x:c r="G927" t="str">
        <x:v>ORD-MCO</x:v>
      </x:c>
      <x:c r="H927" t="str">
        <x:v>ORD</x:v>
      </x:c>
      <x:c r="I927" t="str">
        <x:v>MCO</x:v>
      </x:c>
      <x:c r="J927" s="23" t="n">
        <x:v>16224</x:v>
      </x:c>
      <x:c r="K927" s="24" t="n">
        <x:v>0.24069280078895464</x:v>
      </x:c>
      <x:c r="L927" s="24" t="n">
        <x:v>0.01288214990138067</x:v>
      </x:c>
    </x:row>
    <x:row r="928">
      <x:c r="G928" t="str">
        <x:v>ATL-ONT</x:v>
      </x:c>
      <x:c r="H928" t="str">
        <x:v>ATL</x:v>
      </x:c>
      <x:c r="I928" t="str">
        <x:v>ONT</x:v>
      </x:c>
      <x:c r="J928" s="23" t="n">
        <x:v>2917</x:v>
      </x:c>
      <x:c r="K928" s="24" t="n">
        <x:v>0.2406582104902297</x:v>
      </x:c>
      <x:c r="L928" s="24" t="n">
        <x:v>0.014741172437435722</x:v>
      </x:c>
    </x:row>
    <x:row r="929">
      <x:c r="G929" t="str">
        <x:v>ORD-ATL</x:v>
      </x:c>
      <x:c r="H929" t="str">
        <x:v>ORD</x:v>
      </x:c>
      <x:c r="I929" t="str">
        <x:v>ATL</x:v>
      </x:c>
      <x:c r="J929" s="23" t="n">
        <x:v>18038</x:v>
      </x:c>
      <x:c r="K929" s="24" t="n">
        <x:v>0.24060317108326865</x:v>
      </x:c>
      <x:c r="L929" s="24" t="n">
        <x:v>0.013305244483867391</x:v>
      </x:c>
    </x:row>
    <x:row r="930">
      <x:c r="G930" t="str">
        <x:v>PIA-ORD</x:v>
      </x:c>
      <x:c r="H930" t="str">
        <x:v>PIA</x:v>
      </x:c>
      <x:c r="I930" t="str">
        <x:v>ORD</x:v>
      </x:c>
      <x:c r="J930" s="23" t="n">
        <x:v>4223</x:v>
      </x:c>
      <x:c r="K930" s="24" t="n">
        <x:v>0.24058726024153446</x:v>
      </x:c>
      <x:c r="L930" s="24" t="n">
        <x:v>0.02225905754203173</x:v>
      </x:c>
    </x:row>
    <x:row r="931">
      <x:c r="G931" t="str">
        <x:v>RSW-JFK</x:v>
      </x:c>
      <x:c r="H931" t="str">
        <x:v>RSW</x:v>
      </x:c>
      <x:c r="I931" t="str">
        <x:v>JFK</x:v>
      </x:c>
      <x:c r="J931" s="23" t="n">
        <x:v>3933</x:v>
      </x:c>
      <x:c r="K931" s="24" t="n">
        <x:v>0.24052885837782864</x:v>
      </x:c>
      <x:c r="L931" s="24" t="n">
        <x:v>0.02745995423340961</x:v>
      </x:c>
    </x:row>
    <x:row r="932">
      <x:c r="G932" t="str">
        <x:v>ORD-SMF</x:v>
      </x:c>
      <x:c r="H932" t="str">
        <x:v>ORD</x:v>
      </x:c>
      <x:c r="I932" t="str">
        <x:v>SMF</x:v>
      </x:c>
      <x:c r="J932" s="23" t="n">
        <x:v>3514</x:v>
      </x:c>
      <x:c r="K932" s="24" t="n">
        <x:v>0.2404667046101309</x:v>
      </x:c>
      <x:c r="L932" s="24" t="n">
        <x:v>0.008537279453614115</x:v>
      </x:c>
    </x:row>
    <x:row r="933">
      <x:c r="G933" t="str">
        <x:v>CLT-RSW</x:v>
      </x:c>
      <x:c r="H933" t="str">
        <x:v>CLT</x:v>
      </x:c>
      <x:c r="I933" t="str">
        <x:v>RSW</x:v>
      </x:c>
      <x:c r="J933" s="23" t="n">
        <x:v>5656</x:v>
      </x:c>
      <x:c r="K933" s="24" t="n">
        <x:v>0.24045261669024046</x:v>
      </x:c>
      <x:c r="L933" s="24" t="n">
        <x:v>0.014144271570014143</x:v>
      </x:c>
    </x:row>
    <x:row r="934">
      <x:c r="G934" t="str">
        <x:v>DEN-TUS</x:v>
      </x:c>
      <x:c r="H934" t="str">
        <x:v>DEN</x:v>
      </x:c>
      <x:c r="I934" t="str">
        <x:v>TUS</x:v>
      </x:c>
      <x:c r="J934" s="23" t="n">
        <x:v>7532</x:v>
      </x:c>
      <x:c r="K934" s="24" t="n">
        <x:v>0.24044078597981944</x:v>
      </x:c>
      <x:c r="L934" s="24" t="n">
        <x:v>0.006638343069569836</x:v>
      </x:c>
    </x:row>
    <x:row r="935">
      <x:c r="G935" t="str">
        <x:v>ORD-SGF</x:v>
      </x:c>
      <x:c r="H935" t="str">
        <x:v>ORD</x:v>
      </x:c>
      <x:c r="I935" t="str">
        <x:v>SGF</x:v>
      </x:c>
      <x:c r="J935" s="23" t="n">
        <x:v>4758</x:v>
      </x:c>
      <x:c r="K935" s="24" t="n">
        <x:v>0.24043715846994534</x:v>
      </x:c>
      <x:c r="L935" s="24" t="n">
        <x:v>0.013030685161832704</x:v>
      </x:c>
    </x:row>
    <x:row r="936">
      <x:c r="G936" t="str">
        <x:v>CLE-PHL</x:v>
      </x:c>
      <x:c r="H936" t="str">
        <x:v>CLE</x:v>
      </x:c>
      <x:c r="I936" t="str">
        <x:v>PHL</x:v>
      </x:c>
      <x:c r="J936" s="23" t="n">
        <x:v>3274</x:v>
      </x:c>
      <x:c r="K936" s="24" t="n">
        <x:v>0.2403787416004887</x:v>
      </x:c>
      <x:c r="L936" s="24" t="n">
        <x:v>0.02748930971288943</x:v>
      </x:c>
    </x:row>
    <x:row r="937">
      <x:c r="G937" t="str">
        <x:v>MCO-CLE</x:v>
      </x:c>
      <x:c r="H937" t="str">
        <x:v>MCO</x:v>
      </x:c>
      <x:c r="I937" t="str">
        <x:v>CLE</x:v>
      </x:c>
      <x:c r="J937" s="23" t="n">
        <x:v>6225</x:v>
      </x:c>
      <x:c r="K937" s="24" t="n">
        <x:v>0.24032128514056225</x:v>
      </x:c>
      <x:c r="L937" s="24" t="n">
        <x:v>0.01606425702811245</x:v>
      </x:c>
    </x:row>
    <x:row r="938">
      <x:c r="G938" t="str">
        <x:v>DAL-CHS</x:v>
      </x:c>
      <x:c r="H938" t="str">
        <x:v>DAL</x:v>
      </x:c>
      <x:c r="I938" t="str">
        <x:v>CHS</x:v>
      </x:c>
      <x:c r="J938" s="23" t="n">
        <x:v>1007</x:v>
      </x:c>
      <x:c r="K938" s="24" t="n">
        <x:v>0.24031777557100298</x:v>
      </x:c>
      <x:c r="L938" s="24" t="n">
        <x:v>0.007944389275074478</x:v>
      </x:c>
    </x:row>
    <x:row r="939">
      <x:c r="G939" t="str">
        <x:v>MIA-CMH</x:v>
      </x:c>
      <x:c r="H939" t="str">
        <x:v>MIA</x:v>
      </x:c>
      <x:c r="I939" t="str">
        <x:v>CMH</x:v>
      </x:c>
      <x:c r="J939" s="23" t="n">
        <x:v>2555</x:v>
      </x:c>
      <x:c r="K939" s="24" t="n">
        <x:v>0.24031311154598825</x:v>
      </x:c>
      <x:c r="L939" s="24" t="n">
        <x:v>0.005479452054794521</x:v>
      </x:c>
    </x:row>
    <x:row r="940">
      <x:c r="G940" t="str">
        <x:v>ORD-DAY</x:v>
      </x:c>
      <x:c r="H940" t="str">
        <x:v>ORD</x:v>
      </x:c>
      <x:c r="I940" t="str">
        <x:v>DAY</x:v>
      </x:c>
      <x:c r="J940" s="23" t="n">
        <x:v>3796</x:v>
      </x:c>
      <x:c r="K940" s="24" t="n">
        <x:v>0.24025289778714437</x:v>
      </x:c>
      <x:c r="L940" s="24" t="n">
        <x:v>0.021338250790305584</x:v>
      </x:c>
    </x:row>
    <x:row r="941">
      <x:c r="G941" t="str">
        <x:v>MCO-BWI</x:v>
      </x:c>
      <x:c r="H941" t="str">
        <x:v>MCO</x:v>
      </x:c>
      <x:c r="I941" t="str">
        <x:v>BWI</x:v>
      </x:c>
      <x:c r="J941" s="23" t="n">
        <x:v>15796</x:v>
      </x:c>
      <x:c r="K941" s="24" t="n">
        <x:v>0.2402506963788301</x:v>
      </x:c>
      <x:c r="L941" s="24" t="n">
        <x:v>0.017156242086604205</x:v>
      </x:c>
    </x:row>
    <x:row r="942">
      <x:c r="G942" t="str">
        <x:v>SJU-TPA</x:v>
      </x:c>
      <x:c r="H942" t="str">
        <x:v>SJU</x:v>
      </x:c>
      <x:c r="I942" t="str">
        <x:v>TPA</x:v>
      </x:c>
      <x:c r="J942" s="23" t="n">
        <x:v>4660</x:v>
      </x:c>
      <x:c r="K942" s="24" t="n">
        <x:v>0.24012875536480688</x:v>
      </x:c>
      <x:c r="L942" s="24" t="n">
        <x:v>0.011802575107296138</x:v>
      </x:c>
    </x:row>
    <x:row r="943">
      <x:c r="G943" t="str">
        <x:v>MDW-SAV</x:v>
      </x:c>
      <x:c r="H943" t="str">
        <x:v>MDW</x:v>
      </x:c>
      <x:c r="I943" t="str">
        <x:v>SAV</x:v>
      </x:c>
      <x:c r="J943" s="23" t="n">
        <x:v>1416</x:v>
      </x:c>
      <x:c r="K943" s="24" t="n">
        <x:v>0.2401129943502825</x:v>
      </x:c>
      <x:c r="L943" s="24" t="n">
        <x:v>0.006355932203389831</x:v>
      </x:c>
    </x:row>
    <x:row r="944">
      <x:c r="G944" t="str">
        <x:v>SFO-BNA</x:v>
      </x:c>
      <x:c r="H944" t="str">
        <x:v>SFO</x:v>
      </x:c>
      <x:c r="I944" t="str">
        <x:v>BNA</x:v>
      </x:c>
      <x:c r="J944" s="23" t="n">
        <x:v>2237</x:v>
      </x:c>
      <x:c r="K944" s="24" t="n">
        <x:v>0.2400536432722396</x:v>
      </x:c>
      <x:c r="L944" s="24" t="n">
        <x:v>0.015198927134555208</x:v>
      </x:c>
    </x:row>
    <x:row r="945">
      <x:c r="G945" t="str">
        <x:v>AUS-MCO</x:v>
      </x:c>
      <x:c r="H945" t="str">
        <x:v>AUS</x:v>
      </x:c>
      <x:c r="I945" t="str">
        <x:v>MCO</x:v>
      </x:c>
      <x:c r="J945" s="23" t="n">
        <x:v>8376</x:v>
      </x:c>
      <x:c r="K945" s="24" t="n">
        <x:v>0.23997134670487105</x:v>
      </x:c>
      <x:c r="L945" s="24" t="n">
        <x:v>0.012416427889207259</x:v>
      </x:c>
    </x:row>
    <x:row r="946">
      <x:c r="G946" t="str">
        <x:v>MCO-OMA</x:v>
      </x:c>
      <x:c r="H946" t="str">
        <x:v>MCO</x:v>
      </x:c>
      <x:c r="I946" t="str">
        <x:v>OMA</x:v>
      </x:c>
      <x:c r="J946" s="23" t="n">
        <x:v>1096</x:v>
      </x:c>
      <x:c r="K946" s="24" t="n">
        <x:v>0.23996350364963503</x:v>
      </x:c>
      <x:c r="L946" s="24" t="n">
        <x:v>0.0072992700729927005</x:v>
      </x:c>
    </x:row>
    <x:row r="947">
      <x:c r="G947" t="str">
        <x:v>MSY-FLL</x:v>
      </x:c>
      <x:c r="H947" t="str">
        <x:v>MSY</x:v>
      </x:c>
      <x:c r="I947" t="str">
        <x:v>FLL</x:v>
      </x:c>
      <x:c r="J947" s="23" t="n">
        <x:v>4380</x:v>
      </x:c>
      <x:c r="K947" s="24" t="n">
        <x:v>0.23995433789954337</x:v>
      </x:c>
      <x:c r="L947" s="24" t="n">
        <x:v>0.01643835616438356</x:v>
      </x:c>
    </x:row>
    <x:row r="948">
      <x:c r="G948" t="str">
        <x:v>AUS-RDU</x:v>
      </x:c>
      <x:c r="H948" t="str">
        <x:v>AUS</x:v>
      </x:c>
      <x:c r="I948" t="str">
        <x:v>RDU</x:v>
      </x:c>
      <x:c r="J948" s="23" t="n">
        <x:v>3701</x:v>
      </x:c>
      <x:c r="K948" s="24" t="n">
        <x:v>0.23993515266144286</x:v>
      </x:c>
      <x:c r="L948" s="24" t="n">
        <x:v>0.004863550391786004</x:v>
      </x:c>
    </x:row>
    <x:row r="949">
      <x:c r="G949" t="str">
        <x:v>DFW-LEX</x:v>
      </x:c>
      <x:c r="H949" t="str">
        <x:v>DFW</x:v>
      </x:c>
      <x:c r="I949" t="str">
        <x:v>LEX</x:v>
      </x:c>
      <x:c r="J949" s="23" t="n">
        <x:v>3301</x:v>
      </x:c>
      <x:c r="K949" s="24" t="n">
        <x:v>0.23992729475916388</x:v>
      </x:c>
      <x:c r="L949" s="24" t="n">
        <x:v>0.020902756740381702</x:v>
      </x:c>
    </x:row>
    <x:row r="950">
      <x:c r="G950" t="str">
        <x:v>LBB-DEN</x:v>
      </x:c>
      <x:c r="H950" t="str">
        <x:v>LBB</x:v>
      </x:c>
      <x:c r="I950" t="str">
        <x:v>DEN</x:v>
      </x:c>
      <x:c r="J950" s="23" t="n">
        <x:v>2222</x:v>
      </x:c>
      <x:c r="K950" s="24" t="n">
        <x:v>0.23987398739873989</x:v>
      </x:c>
      <x:c r="L950" s="24" t="n">
        <x:v>0.010801080108010801</x:v>
      </x:c>
    </x:row>
    <x:row r="951">
      <x:c r="G951" t="str">
        <x:v>STL-FLL</x:v>
      </x:c>
      <x:c r="H951" t="str">
        <x:v>STL</x:v>
      </x:c>
      <x:c r="I951" t="str">
        <x:v>FLL</x:v>
      </x:c>
      <x:c r="J951" s="23" t="n">
        <x:v>2403</x:v>
      </x:c>
      <x:c r="K951" s="24" t="n">
        <x:v>0.2397003745318352</x:v>
      </x:c>
      <x:c r="L951" s="24" t="n">
        <x:v>0.009155222638368706</x:v>
      </x:c>
    </x:row>
    <x:row r="952">
      <x:c r="G952" t="str">
        <x:v>ALB-FLL</x:v>
      </x:c>
      <x:c r="H952" t="str">
        <x:v>ALB</x:v>
      </x:c>
      <x:c r="I952" t="str">
        <x:v>FLL</x:v>
      </x:c>
      <x:c r="J952" s="23" t="n">
        <x:v>1285</x:v>
      </x:c>
      <x:c r="K952" s="24" t="n">
        <x:v>0.2396887159533074</x:v>
      </x:c>
      <x:c r="L952" s="24" t="n">
        <x:v>0.01556420233463035</x:v>
      </x:c>
    </x:row>
    <x:row r="953">
      <x:c r="G953" t="str">
        <x:v>IAH-TUS</x:v>
      </x:c>
      <x:c r="H953" t="str">
        <x:v>IAH</x:v>
      </x:c>
      <x:c r="I953" t="str">
        <x:v>TUS</x:v>
      </x:c>
      <x:c r="J953" s="23" t="n">
        <x:v>1477</x:v>
      </x:c>
      <x:c r="K953" s="24" t="n">
        <x:v>0.23967501692620177</x:v>
      </x:c>
      <x:c r="L953" s="24" t="n">
        <x:v>0.014218009478672985</x:v>
      </x:c>
    </x:row>
    <x:row r="954">
      <x:c r="G954" t="str">
        <x:v>HPN-PBI</x:v>
      </x:c>
      <x:c r="H954" t="str">
        <x:v>HPN</x:v>
      </x:c>
      <x:c r="I954" t="str">
        <x:v>PBI</x:v>
      </x:c>
      <x:c r="J954" s="23" t="n">
        <x:v>5287</x:v>
      </x:c>
      <x:c r="K954" s="24" t="n">
        <x:v>0.23964441081899</x:v>
      </x:c>
      <x:c r="L954" s="24" t="n">
        <x:v>0.012294306790240211</x:v>
      </x:c>
    </x:row>
    <x:row r="955">
      <x:c r="G955" t="str">
        <x:v>PIT-PHL</x:v>
      </x:c>
      <x:c r="H955" t="str">
        <x:v>PIT</x:v>
      </x:c>
      <x:c r="I955" t="str">
        <x:v>PHL</x:v>
      </x:c>
      <x:c r="J955" s="23" t="n">
        <x:v>4510</x:v>
      </x:c>
      <x:c r="K955" s="24" t="n">
        <x:v>0.2394678492239468</x:v>
      </x:c>
      <x:c r="L955" s="24" t="n">
        <x:v>0.020399113082039913</x:v>
      </x:c>
    </x:row>
    <x:row r="956">
      <x:c r="G956" t="str">
        <x:v>SJU-MCO</x:v>
      </x:c>
      <x:c r="H956" t="str">
        <x:v>SJU</x:v>
      </x:c>
      <x:c r="I956" t="str">
        <x:v>MCO</x:v>
      </x:c>
      <x:c r="J956" s="23" t="n">
        <x:v>18960</x:v>
      </x:c>
      <x:c r="K956" s="24" t="n">
        <x:v>0.23945147679324894</x:v>
      </x:c>
      <x:c r="L956" s="24" t="n">
        <x:v>0.009915611814345991</x:v>
      </x:c>
    </x:row>
    <x:row r="957">
      <x:c r="G957" t="str">
        <x:v>ORD-FLL</x:v>
      </x:c>
      <x:c r="H957" t="str">
        <x:v>ORD</x:v>
      </x:c>
      <x:c r="I957" t="str">
        <x:v>FLL</x:v>
      </x:c>
      <x:c r="J957" s="23" t="n">
        <x:v>8709</x:v>
      </x:c>
      <x:c r="K957" s="24" t="n">
        <x:v>0.239407509472959</x:v>
      </x:c>
      <x:c r="L957" s="24" t="n">
        <x:v>0.012171317028361465</x:v>
      </x:c>
    </x:row>
    <x:row r="958">
      <x:c r="G958" t="str">
        <x:v>DAL-MEM</x:v>
      </x:c>
      <x:c r="H958" t="str">
        <x:v>DAL</x:v>
      </x:c>
      <x:c r="I958" t="str">
        <x:v>MEM</x:v>
      </x:c>
      <x:c r="J958" s="23" t="n">
        <x:v>1408</x:v>
      </x:c>
      <x:c r="K958" s="24" t="n">
        <x:v>0.2393465909090909</x:v>
      </x:c>
      <x:c r="L958" s="24" t="n">
        <x:v>0.004971590909090909</x:v>
      </x:c>
    </x:row>
    <x:row r="959">
      <x:c r="G959" t="str">
        <x:v>CLT-TYS</x:v>
      </x:c>
      <x:c r="H959" t="str">
        <x:v>CLT</x:v>
      </x:c>
      <x:c r="I959" t="str">
        <x:v>TYS</x:v>
      </x:c>
      <x:c r="J959" s="23" t="n">
        <x:v>5987</x:v>
      </x:c>
      <x:c r="K959" s="24" t="n">
        <x:v>0.23918490061800568</x:v>
      </x:c>
      <x:c r="L959" s="24" t="n">
        <x:v>0.009687656589276766</x:v>
      </x:c>
    </x:row>
    <x:row r="960">
      <x:c r="G960" t="str">
        <x:v>MYR-BOS</x:v>
      </x:c>
      <x:c r="H960" t="str">
        <x:v>MYR</x:v>
      </x:c>
      <x:c r="I960" t="str">
        <x:v>BOS</x:v>
      </x:c>
      <x:c r="J960" s="23" t="n">
        <x:v>1802</x:v>
      </x:c>
      <x:c r="K960" s="24" t="n">
        <x:v>0.23917869034406217</x:v>
      </x:c>
      <x:c r="L960" s="24" t="n">
        <x:v>0.017203107658157604</x:v>
      </x:c>
    </x:row>
    <x:row r="961">
      <x:c r="G961" t="str">
        <x:v>LAS-BZN</x:v>
      </x:c>
      <x:c r="H961" t="str">
        <x:v>LAS</x:v>
      </x:c>
      <x:c r="I961" t="str">
        <x:v>BZN</x:v>
      </x:c>
      <x:c r="J961" s="23" t="n">
        <x:v>2099</x:v>
      </x:c>
      <x:c r="K961" s="24" t="n">
        <x:v>0.23916150547879944</x:v>
      </x:c>
      <x:c r="L961" s="24" t="n">
        <x:v>0.0033349213911386373</x:v>
      </x:c>
    </x:row>
    <x:row r="962">
      <x:c r="G962" t="str">
        <x:v>BOS-CHS</x:v>
      </x:c>
      <x:c r="H962" t="str">
        <x:v>BOS</x:v>
      </x:c>
      <x:c r="I962" t="str">
        <x:v>CHS</x:v>
      </x:c>
      <x:c r="J962" s="23" t="n">
        <x:v>3542</x:v>
      </x:c>
      <x:c r="K962" s="24" t="n">
        <x:v>0.2391304347826087</x:v>
      </x:c>
      <x:c r="L962" s="24" t="n">
        <x:v>0.014680971202710334</x:v>
      </x:c>
    </x:row>
    <x:row r="963">
      <x:c r="G963" t="str">
        <x:v>DCA-TYS</x:v>
      </x:c>
      <x:c r="H963" t="str">
        <x:v>DCA</x:v>
      </x:c>
      <x:c r="I963" t="str">
        <x:v>TYS</x:v>
      </x:c>
      <x:c r="J963" s="23" t="n">
        <x:v>3220</x:v>
      </x:c>
      <x:c r="K963" s="24" t="n">
        <x:v>0.2391304347826087</x:v>
      </x:c>
      <x:c r="L963" s="24" t="n">
        <x:v>0.026397515527950312</x:v>
      </x:c>
    </x:row>
    <x:row r="964">
      <x:c r="G964" t="str">
        <x:v>PHL-RSW</x:v>
      </x:c>
      <x:c r="H964" t="str">
        <x:v>PHL</x:v>
      </x:c>
      <x:c r="I964" t="str">
        <x:v>RSW</x:v>
      </x:c>
      <x:c r="J964" s="23" t="n">
        <x:v>4207</x:v>
      </x:c>
      <x:c r="K964" s="24" t="n">
        <x:v>0.2391252674114571</x:v>
      </x:c>
      <x:c r="L964" s="24" t="n">
        <x:v>0.01949132398383646</x:v>
      </x:c>
    </x:row>
    <x:row r="965">
      <x:c r="G965" t="str">
        <x:v>DFW-ICT</x:v>
      </x:c>
      <x:c r="H965" t="str">
        <x:v>DFW</x:v>
      </x:c>
      <x:c r="I965" t="str">
        <x:v>ICT</x:v>
      </x:c>
      <x:c r="J965" s="23" t="n">
        <x:v>7705</x:v>
      </x:c>
      <x:c r="K965" s="24" t="n">
        <x:v>0.2390655418559377</x:v>
      </x:c>
      <x:c r="L965" s="24" t="n">
        <x:v>0.0281635301752109</x:v>
      </x:c>
    </x:row>
    <x:row r="966">
      <x:c r="G966" t="str">
        <x:v>EWR-AUS</x:v>
      </x:c>
      <x:c r="H966" t="str">
        <x:v>EWR</x:v>
      </x:c>
      <x:c r="I966" t="str">
        <x:v>AUS</x:v>
      </x:c>
      <x:c r="J966" s="23" t="n">
        <x:v>5953</x:v>
      </x:c>
      <x:c r="K966" s="24" t="n">
        <x:v>0.23903913992944734</x:v>
      </x:c>
      <x:c r="L966" s="24" t="n">
        <x:v>0.022845624055098268</x:v>
      </x:c>
    </x:row>
    <x:row r="967">
      <x:c r="G967" t="str">
        <x:v>MCO-FLL</x:v>
      </x:c>
      <x:c r="H967" t="str">
        <x:v>MCO</x:v>
      </x:c>
      <x:c r="I967" t="str">
        <x:v>FLL</x:v>
      </x:c>
      <x:c r="J967" s="23" t="n">
        <x:v>3983</x:v>
      </x:c>
      <x:c r="K967" s="24" t="n">
        <x:v>0.2390158172231986</x:v>
      </x:c>
      <x:c r="L967" s="24" t="n">
        <x:v>0.010795882500627667</x:v>
      </x:c>
    </x:row>
    <x:row r="968">
      <x:c r="G968" t="str">
        <x:v>LAS-LAX</x:v>
      </x:c>
      <x:c r="H968" t="str">
        <x:v>LAS</x:v>
      </x:c>
      <x:c r="I968" t="str">
        <x:v>LAX</x:v>
      </x:c>
      <x:c r="J968" s="23" t="n">
        <x:v>28823</x:v>
      </x:c>
      <x:c r="K968" s="24" t="n">
        <x:v>0.23890642889359193</x:v>
      </x:c>
      <x:c r="L968" s="24" t="n">
        <x:v>0.00811851646254727</x:v>
      </x:c>
    </x:row>
    <x:row r="969">
      <x:c r="G969" t="str">
        <x:v>OAK-ABQ</x:v>
      </x:c>
      <x:c r="H969" t="str">
        <x:v>OAK</x:v>
      </x:c>
      <x:c r="I969" t="str">
        <x:v>ABQ</x:v>
      </x:c>
      <x:c r="J969" s="23" t="n">
        <x:v>1001</x:v>
      </x:c>
      <x:c r="K969" s="24" t="n">
        <x:v>0.23876123876123875</x:v>
      </x:c>
      <x:c r="L969" s="24" t="n">
        <x:v>0.001998001998001998</x:v>
      </x:c>
    </x:row>
    <x:row r="970">
      <x:c r="G970" t="str">
        <x:v>EWR-TPA</x:v>
      </x:c>
      <x:c r="H970" t="str">
        <x:v>EWR</x:v>
      </x:c>
      <x:c r="I970" t="str">
        <x:v>TPA</x:v>
      </x:c>
      <x:c r="J970" s="23" t="n">
        <x:v>8804</x:v>
      </x:c>
      <x:c r="K970" s="24" t="n">
        <x:v>0.23875511131303953</x:v>
      </x:c>
      <x:c r="L970" s="24" t="n">
        <x:v>0.026578827805542934</x:v>
      </x:c>
    </x:row>
    <x:row r="971">
      <x:c r="G971" t="str">
        <x:v>BWI-MDW</x:v>
      </x:c>
      <x:c r="H971" t="str">
        <x:v>BWI</x:v>
      </x:c>
      <x:c r="I971" t="str">
        <x:v>MDW</x:v>
      </x:c>
      <x:c r="J971" s="23" t="n">
        <x:v>5935</x:v>
      </x:c>
      <x:c r="K971" s="24" t="n">
        <x:v>0.2387531592249368</x:v>
      </x:c>
      <x:c r="L971" s="24" t="n">
        <x:v>0.014827295703454086</x:v>
      </x:c>
    </x:row>
    <x:row r="972">
      <x:c r="G972" t="str">
        <x:v>DCA-ORF</x:v>
      </x:c>
      <x:c r="H972" t="str">
        <x:v>DCA</x:v>
      </x:c>
      <x:c r="I972" t="str">
        <x:v>ORF</x:v>
      </x:c>
      <x:c r="J972" s="23" t="n">
        <x:v>3742</x:v>
      </x:c>
      <x:c r="K972" s="24" t="n">
        <x:v>0.23864243719935863</x:v>
      </x:c>
      <x:c r="L972" s="24" t="n">
        <x:v>0.026990913949759488</x:v>
      </x:c>
    </x:row>
    <x:row r="973">
      <x:c r="G973" t="str">
        <x:v>ORD-DSM</x:v>
      </x:c>
      <x:c r="H973" t="str">
        <x:v>ORD</x:v>
      </x:c>
      <x:c r="I973" t="str">
        <x:v>DSM</x:v>
      </x:c>
      <x:c r="J973" s="23" t="n">
        <x:v>6791</x:v>
      </x:c>
      <x:c r="K973" s="24" t="n">
        <x:v>0.2385510234133412</x:v>
      </x:c>
      <x:c r="L973" s="24" t="n">
        <x:v>0.01884847592401708</x:v>
      </x:c>
    </x:row>
    <x:row r="974">
      <x:c r="G974" t="str">
        <x:v>SGF-ORD</x:v>
      </x:c>
      <x:c r="H974" t="str">
        <x:v>SGF</x:v>
      </x:c>
      <x:c r="I974" t="str">
        <x:v>ORD</x:v>
      </x:c>
      <x:c r="J974" s="23" t="n">
        <x:v>4755</x:v>
      </x:c>
      <x:c r="K974" s="24" t="n">
        <x:v>0.2384858044164038</x:v>
      </x:c>
      <x:c r="L974" s="24" t="n">
        <x:v>0.012618296529968454</x:v>
      </x:c>
    </x:row>
    <x:row r="975">
      <x:c r="G975" t="str">
        <x:v>BWI-SAV</x:v>
      </x:c>
      <x:c r="H975" t="str">
        <x:v>BWI</x:v>
      </x:c>
      <x:c r="I975" t="str">
        <x:v>SAV</x:v>
      </x:c>
      <x:c r="J975" s="23" t="n">
        <x:v>2751</x:v>
      </x:c>
      <x:c r="K975" s="24" t="n">
        <x:v>0.23845874227553618</x:v>
      </x:c>
      <x:c r="L975" s="24" t="n">
        <x:v>0.0069065794256633955</x:v>
      </x:c>
    </x:row>
    <x:row r="976">
      <x:c r="G976" t="str">
        <x:v>BTV-DCA</x:v>
      </x:c>
      <x:c r="H976" t="str">
        <x:v>BTV</x:v>
      </x:c>
      <x:c r="I976" t="str">
        <x:v>DCA</x:v>
      </x:c>
      <x:c r="J976" s="23" t="n">
        <x:v>3901</x:v>
      </x:c>
      <x:c r="K976" s="24" t="n">
        <x:v>0.23840041015124327</x:v>
      </x:c>
      <x:c r="L976" s="24" t="n">
        <x:v>0.03511920020507562</x:v>
      </x:c>
    </x:row>
    <x:row r="977">
      <x:c r="G977" t="str">
        <x:v>MSY-LAS</x:v>
      </x:c>
      <x:c r="H977" t="str">
        <x:v>MSY</x:v>
      </x:c>
      <x:c r="I977" t="str">
        <x:v>LAS</x:v>
      </x:c>
      <x:c r="J977" s="23" t="n">
        <x:v>3050</x:v>
      </x:c>
      <x:c r="K977" s="24" t="n">
        <x:v>0.23836065573770493</x:v>
      </x:c>
      <x:c r="L977" s="24" t="n">
        <x:v>0.006885245901639345</x:v>
      </x:c>
    </x:row>
    <x:row r="978">
      <x:c r="G978" t="str">
        <x:v>TPA-PVD</x:v>
      </x:c>
      <x:c r="H978" t="str">
        <x:v>TPA</x:v>
      </x:c>
      <x:c r="I978" t="str">
        <x:v>PVD</x:v>
      </x:c>
      <x:c r="J978" s="23" t="n">
        <x:v>1628</x:v>
      </x:c>
      <x:c r="K978" s="24" t="n">
        <x:v>0.23832923832923833</x:v>
      </x:c>
      <x:c r="L978" s="24" t="n">
        <x:v>0.006142506142506142</x:v>
      </x:c>
    </x:row>
    <x:row r="979">
      <x:c r="G979" t="str">
        <x:v>TYS-DFW</x:v>
      </x:c>
      <x:c r="H979" t="str">
        <x:v>TYS</x:v>
      </x:c>
      <x:c r="I979" t="str">
        <x:v>DFW</x:v>
      </x:c>
      <x:c r="J979" s="23" t="n">
        <x:v>4213</x:v>
      </x:c>
      <x:c r="K979" s="24" t="n">
        <x:v>0.23830999287918347</x:v>
      </x:c>
      <x:c r="L979" s="24" t="n">
        <x:v>0.022786612864941845</x:v>
      </x:c>
    </x:row>
    <x:row r="980">
      <x:c r="G980" t="str">
        <x:v>BOS-DFW</x:v>
      </x:c>
      <x:c r="H980" t="str">
        <x:v>BOS</x:v>
      </x:c>
      <x:c r="I980" t="str">
        <x:v>DFW</x:v>
      </x:c>
      <x:c r="J980" s="23" t="n">
        <x:v>11514</x:v>
      </x:c>
      <x:c r="K980" s="24" t="n">
        <x:v>0.23823171790863296</x:v>
      </x:c>
      <x:c r="L980" s="24" t="n">
        <x:v>0.017109605697411847</x:v>
      </x:c>
    </x:row>
    <x:row r="981">
      <x:c r="G981" t="str">
        <x:v>EWR-LAS</x:v>
      </x:c>
      <x:c r="H981" t="str">
        <x:v>EWR</x:v>
      </x:c>
      <x:c r="I981" t="str">
        <x:v>LAS</x:v>
      </x:c>
      <x:c r="J981" s="23" t="n">
        <x:v>9216</x:v>
      </x:c>
      <x:c r="K981" s="24" t="n">
        <x:v>0.23817274305555555</x:v>
      </x:c>
      <x:c r="L981" s="24" t="n">
        <x:v>0.015950520833333332</x:v>
      </x:c>
    </x:row>
    <x:row r="982">
      <x:c r="G982" t="str">
        <x:v>DFW-FLG</x:v>
      </x:c>
      <x:c r="H982" t="str">
        <x:v>DFW</x:v>
      </x:c>
      <x:c r="I982" t="str">
        <x:v>FLG</x:v>
      </x:c>
      <x:c r="J982" s="23" t="n">
        <x:v>1289</x:v>
      </x:c>
      <x:c r="K982" s="24" t="n">
        <x:v>0.23816912335143522</x:v>
      </x:c>
      <x:c r="L982" s="24" t="n">
        <x:v>0.021722265321955005</x:v>
      </x:c>
    </x:row>
    <x:row r="983">
      <x:c r="G983" t="str">
        <x:v>GSP-DFW</x:v>
      </x:c>
      <x:c r="H983" t="str">
        <x:v>GSP</x:v>
      </x:c>
      <x:c r="I983" t="str">
        <x:v>DFW</x:v>
      </x:c>
      <x:c r="J983" s="23" t="n">
        <x:v>3254</x:v>
      </x:c>
      <x:c r="K983" s="24" t="n">
        <x:v>0.2381684081130916</x:v>
      </x:c>
      <x:c r="L983" s="24" t="n">
        <x:v>0.014751075599262446</x:v>
      </x:c>
    </x:row>
    <x:row r="984">
      <x:c r="G984" t="str">
        <x:v>PHL-CLE</x:v>
      </x:c>
      <x:c r="H984" t="str">
        <x:v>PHL</x:v>
      </x:c>
      <x:c r="I984" t="str">
        <x:v>CLE</x:v>
      </x:c>
      <x:c r="J984" s="23" t="n">
        <x:v>3275</x:v>
      </x:c>
      <x:c r="K984" s="24" t="n">
        <x:v>0.2381679389312977</x:v>
      </x:c>
      <x:c r="L984" s="24" t="n">
        <x:v>0.023206106870229008</x:v>
      </x:c>
    </x:row>
    <x:row r="985">
      <x:c r="G985" t="str">
        <x:v>TPA-CVG</x:v>
      </x:c>
      <x:c r="H985" t="str">
        <x:v>TPA</x:v>
      </x:c>
      <x:c r="I985" t="str">
        <x:v>CVG</x:v>
      </x:c>
      <x:c r="J985" s="23" t="n">
        <x:v>2662</x:v>
      </x:c>
      <x:c r="K985" s="24" t="n">
        <x:v>0.23816679188580014</x:v>
      </x:c>
      <x:c r="L985" s="24" t="n">
        <x:v>0.02066115702479339</x:v>
      </x:c>
    </x:row>
    <x:row r="986">
      <x:c r="G986" t="str">
        <x:v>DEN-SAT</x:v>
      </x:c>
      <x:c r="H986" t="str">
        <x:v>DEN</x:v>
      </x:c>
      <x:c r="I986" t="str">
        <x:v>SAT</x:v>
      </x:c>
      <x:c r="J986" s="23" t="n">
        <x:v>9292</x:v>
      </x:c>
      <x:c r="K986" s="24" t="n">
        <x:v>0.2381618596642273</x:v>
      </x:c>
      <x:c r="L986" s="24" t="n">
        <x:v>0.007963839862247094</x:v>
      </x:c>
    </x:row>
    <x:row r="987">
      <x:c r="G987" t="str">
        <x:v>AUS-DCA</x:v>
      </x:c>
      <x:c r="H987" t="str">
        <x:v>AUS</x:v>
      </x:c>
      <x:c r="I987" t="str">
        <x:v>DCA</x:v>
      </x:c>
      <x:c r="J987" s="23" t="n">
        <x:v>1096</x:v>
      </x:c>
      <x:c r="K987" s="24" t="n">
        <x:v>0.23813868613138686</x:v>
      </x:c>
      <x:c r="L987" s="24" t="n">
        <x:v>0.008211678832116789</x:v>
      </x:c>
    </x:row>
    <x:row r="988">
      <x:c r="G988" t="str">
        <x:v>ATL-DEN</x:v>
      </x:c>
      <x:c r="H988" t="str">
        <x:v>ATL</x:v>
      </x:c>
      <x:c r="I988" t="str">
        <x:v>DEN</x:v>
      </x:c>
      <x:c r="J988" s="23" t="n">
        <x:v>17824</x:v>
      </x:c>
      <x:c r="K988" s="24" t="n">
        <x:v>0.23804982046678635</x:v>
      </x:c>
      <x:c r="L988" s="24" t="n">
        <x:v>0.009649910233393177</x:v>
      </x:c>
    </x:row>
    <x:row r="989">
      <x:c r="G989" t="str">
        <x:v>DEN-RDM</x:v>
      </x:c>
      <x:c r="H989" t="str">
        <x:v>DEN</x:v>
      </x:c>
      <x:c r="I989" t="str">
        <x:v>RDM</x:v>
      </x:c>
      <x:c r="J989" s="23" t="n">
        <x:v>2189</x:v>
      </x:c>
      <x:c r="K989" s="24" t="n">
        <x:v>0.23800822293284604</x:v>
      </x:c>
      <x:c r="L989" s="24" t="n">
        <x:v>0.0077661032434901784</x:v>
      </x:c>
    </x:row>
    <x:row r="990">
      <x:c r="G990" t="str">
        <x:v>CLT-SRQ</x:v>
      </x:c>
      <x:c r="H990" t="str">
        <x:v>CLT</x:v>
      </x:c>
      <x:c r="I990" t="str">
        <x:v>SRQ</x:v>
      </x:c>
      <x:c r="J990" s="23" t="n">
        <x:v>4933</x:v>
      </x:c>
      <x:c r="K990" s="24" t="n">
        <x:v>0.23798905331441314</x:v>
      </x:c>
      <x:c r="L990" s="24" t="n">
        <x:v>0.01925805797689033</x:v>
      </x:c>
    </x:row>
    <x:row r="991">
      <x:c r="G991" t="str">
        <x:v>ORF-DCA</x:v>
      </x:c>
      <x:c r="H991" t="str">
        <x:v>ORF</x:v>
      </x:c>
      <x:c r="I991" t="str">
        <x:v>DCA</x:v>
      </x:c>
      <x:c r="J991" s="23" t="n">
        <x:v>3744</x:v>
      </x:c>
      <x:c r="K991" s="24" t="n">
        <x:v>0.23798076923076922</x:v>
      </x:c>
      <x:c r="L991" s="24" t="n">
        <x:v>0.027777777777777776</x:v>
      </x:c>
    </x:row>
    <x:row r="992">
      <x:c r="G992" t="str">
        <x:v>SAN-GEG</x:v>
      </x:c>
      <x:c r="H992" t="str">
        <x:v>SAN</x:v>
      </x:c>
      <x:c r="I992" t="str">
        <x:v>GEG</x:v>
      </x:c>
      <x:c r="J992" s="23" t="n">
        <x:v>1030</x:v>
      </x:c>
      <x:c r="K992" s="24" t="n">
        <x:v>0.23786407766990292</x:v>
      </x:c>
      <x:c r="L992" s="24" t="n">
        <x:v>0.009708737864077669</x:v>
      </x:c>
    </x:row>
    <x:row r="993">
      <x:c r="G993" t="str">
        <x:v>IND-SEA</x:v>
      </x:c>
      <x:c r="H993" t="str">
        <x:v>IND</x:v>
      </x:c>
      <x:c r="I993" t="str">
        <x:v>SEA</x:v>
      </x:c>
      <x:c r="J993" s="23" t="n">
        <x:v>1627</x:v>
      </x:c>
      <x:c r="K993" s="24" t="n">
        <x:v>0.23786109403810696</x:v>
      </x:c>
      <x:c r="L993" s="24" t="n">
        <x:v>0.012292562999385371</x:v>
      </x:c>
    </x:row>
    <x:row r="994">
      <x:c r="G994" t="str">
        <x:v>ATL-LAX</x:v>
      </x:c>
      <x:c r="H994" t="str">
        <x:v>ATL</x:v>
      </x:c>
      <x:c r="I994" t="str">
        <x:v>LAX</x:v>
      </x:c>
      <x:c r="J994" s="23" t="n">
        <x:v>16166</x:v>
      </x:c>
      <x:c r="K994" s="24" t="n">
        <x:v>0.23784485958183843</x:v>
      </x:c>
      <x:c r="L994" s="24" t="n">
        <x:v>0.00835085982927131</x:v>
      </x:c>
    </x:row>
    <x:row r="995">
      <x:c r="G995" t="str">
        <x:v>CLT-MSY</x:v>
      </x:c>
      <x:c r="H995" t="str">
        <x:v>CLT</x:v>
      </x:c>
      <x:c r="I995" t="str">
        <x:v>MSY</x:v>
      </x:c>
      <x:c r="J995" s="23" t="n">
        <x:v>5571</x:v>
      </x:c>
      <x:c r="K995" s="24" t="n">
        <x:v>0.23783880811344463</x:v>
      </x:c>
      <x:c r="L995" s="24" t="n">
        <x:v>0.011667564171602944</x:v>
      </x:c>
    </x:row>
    <x:row r="996">
      <x:c r="G996" t="str">
        <x:v>BWI-CHS</x:v>
      </x:c>
      <x:c r="H996" t="str">
        <x:v>BWI</x:v>
      </x:c>
      <x:c r="I996" t="str">
        <x:v>CHS</x:v>
      </x:c>
      <x:c r="J996" s="23" t="n">
        <x:v>3637</x:v>
      </x:c>
      <x:c r="K996" s="24" t="n">
        <x:v>0.23783337915864725</x:v>
      </x:c>
      <x:c r="L996" s="24" t="n">
        <x:v>0.008798460269452846</x:v>
      </x:c>
    </x:row>
    <x:row r="997">
      <x:c r="G997" t="str">
        <x:v>SEA-STL</x:v>
      </x:c>
      <x:c r="H997" t="str">
        <x:v>SEA</x:v>
      </x:c>
      <x:c r="I997" t="str">
        <x:v>STL</x:v>
      </x:c>
      <x:c r="J997" s="23" t="n">
        <x:v>2553</x:v>
      </x:c>
      <x:c r="K997" s="24" t="n">
        <x:v>0.23775949862906384</x:v>
      </x:c>
      <x:c r="L997" s="24" t="n">
        <x:v>0.0035252643948296123</x:v>
      </x:c>
    </x:row>
    <x:row r="998">
      <x:c r="G998" t="str">
        <x:v>BWI-MYR</x:v>
      </x:c>
      <x:c r="H998" t="str">
        <x:v>BWI</x:v>
      </x:c>
      <x:c r="I998" t="str">
        <x:v>MYR</x:v>
      </x:c>
      <x:c r="J998" s="23" t="n">
        <x:v>3218</x:v>
      </x:c>
      <x:c r="K998" s="24" t="n">
        <x:v>0.2377252952144189</x:v>
      </x:c>
      <x:c r="L998" s="24" t="n">
        <x:v>0.006215040397762586</x:v>
      </x:c>
    </x:row>
    <x:row r="999">
      <x:c r="G999" t="str">
        <x:v>ATL-JAX</x:v>
      </x:c>
      <x:c r="H999" t="str">
        <x:v>ATL</x:v>
      </x:c>
      <x:c r="I999" t="str">
        <x:v>JAX</x:v>
      </x:c>
      <x:c r="J999" s="23" t="n">
        <x:v>12910</x:v>
      </x:c>
      <x:c r="K999" s="24" t="n">
        <x:v>0.23772269558481798</x:v>
      </x:c>
      <x:c r="L999" s="24" t="n">
        <x:v>0.010457010069713401</x:v>
      </x:c>
    </x:row>
    <x:row r="1000">
      <x:c r="G1000" t="str">
        <x:v>LAS-ABQ</x:v>
      </x:c>
      <x:c r="H1000" t="str">
        <x:v>LAS</x:v>
      </x:c>
      <x:c r="I1000" t="str">
        <x:v>ABQ</x:v>
      </x:c>
      <x:c r="J1000" s="23" t="n">
        <x:v>5869</x:v>
      </x:c>
      <x:c r="K1000" s="24" t="n">
        <x:v>0.23768955529050945</x:v>
      </x:c>
      <x:c r="L1000" s="24" t="n">
        <x:v>0.005622763673538933</x:v>
      </x:c>
    </x:row>
    <x:row r="1001">
      <x:c r="G1001" t="str">
        <x:v>CVG-CLT</x:v>
      </x:c>
      <x:c r="H1001" t="str">
        <x:v>CVG</x:v>
      </x:c>
      <x:c r="I1001" t="str">
        <x:v>CLT</x:v>
      </x:c>
      <x:c r="J1001" s="23" t="n">
        <x:v>5992</x:v>
      </x:c>
      <x:c r="K1001" s="24" t="n">
        <x:v>0.2376502002670227</x:v>
      </x:c>
      <x:c r="L1001" s="24" t="n">
        <x:v>0.012182910547396529</x:v>
      </x:c>
    </x:row>
    <x:row r="1002">
      <x:c r="G1002" t="str">
        <x:v>IAH-ICT</x:v>
      </x:c>
      <x:c r="H1002" t="str">
        <x:v>IAH</x:v>
      </x:c>
      <x:c r="I1002" t="str">
        <x:v>ICT</x:v>
      </x:c>
      <x:c r="J1002" s="23" t="n">
        <x:v>1616</x:v>
      </x:c>
      <x:c r="K1002" s="24" t="n">
        <x:v>0.2376237623762376</x:v>
      </x:c>
      <x:c r="L1002" s="24" t="n">
        <x:v>0.012995049504950494</x:v>
      </x:c>
    </x:row>
    <x:row r="1003">
      <x:c r="G1003" t="str">
        <x:v>ORD-PBI</x:v>
      </x:c>
      <x:c r="H1003" t="str">
        <x:v>ORD</x:v>
      </x:c>
      <x:c r="I1003" t="str">
        <x:v>PBI</x:v>
      </x:c>
      <x:c r="J1003" s="23" t="n">
        <x:v>2879</x:v>
      </x:c>
      <x:c r="K1003" s="24" t="n">
        <x:v>0.23758249392150052</x:v>
      </x:c>
      <x:c r="L1003" s="24" t="n">
        <x:v>0.01076762764848906</x:v>
      </x:c>
    </x:row>
    <x:row r="1004">
      <x:c r="G1004" t="str">
        <x:v>CLT-PVD</x:v>
      </x:c>
      <x:c r="H1004" t="str">
        <x:v>CLT</x:v>
      </x:c>
      <x:c r="I1004" t="str">
        <x:v>PVD</x:v>
      </x:c>
      <x:c r="J1004" s="23" t="n">
        <x:v>4517</x:v>
      </x:c>
      <x:c r="K1004" s="24" t="n">
        <x:v>0.23754704449856098</x:v>
      </x:c>
      <x:c r="L1004" s="24" t="n">
        <x:v>0.01173345140580031</x:v>
      </x:c>
    </x:row>
    <x:row r="1005">
      <x:c r="G1005" t="str">
        <x:v>LGA-DFW</x:v>
      </x:c>
      <x:c r="H1005" t="str">
        <x:v>LGA</x:v>
      </x:c>
      <x:c r="I1005" t="str">
        <x:v>DFW</x:v>
      </x:c>
      <x:c r="J1005" s="23" t="n">
        <x:v>19407</x:v>
      </x:c>
      <x:c r="K1005" s="24" t="n">
        <x:v>0.23749162673262225</x:v>
      </x:c>
      <x:c r="L1005" s="24" t="n">
        <x:v>0.026588344411810173</x:v>
      </x:c>
    </x:row>
    <x:row r="1006">
      <x:c r="G1006" t="str">
        <x:v>DEN-SLC</x:v>
      </x:c>
      <x:c r="H1006" t="str">
        <x:v>DEN</x:v>
      </x:c>
      <x:c r="I1006" t="str">
        <x:v>SLC</x:v>
      </x:c>
      <x:c r="J1006" s="23" t="n">
        <x:v>23608</x:v>
      </x:c>
      <x:c r="K1006" s="24" t="n">
        <x:v>0.23746187732971874</x:v>
      </x:c>
      <x:c r="L1006" s="24" t="n">
        <x:v>0.008175194849203659</x:v>
      </x:c>
    </x:row>
    <x:row r="1007">
      <x:c r="G1007" t="str">
        <x:v>MCO-ISP</x:v>
      </x:c>
      <x:c r="H1007" t="str">
        <x:v>MCO</x:v>
      </x:c>
      <x:c r="I1007" t="str">
        <x:v>ISP</x:v>
      </x:c>
      <x:c r="J1007" s="23" t="n">
        <x:v>4237</x:v>
      </x:c>
      <x:c r="K1007" s="24" t="n">
        <x:v>0.23743214538588625</x:v>
      </x:c>
      <x:c r="L1007" s="24" t="n">
        <x:v>0.01038470616001888</x:v>
      </x:c>
    </x:row>
    <x:row r="1008">
      <x:c r="G1008" t="str">
        <x:v>OGG-PDX</x:v>
      </x:c>
      <x:c r="H1008" t="str">
        <x:v>OGG</x:v>
      </x:c>
      <x:c r="I1008" t="str">
        <x:v>PDX</x:v>
      </x:c>
      <x:c r="J1008" s="23" t="n">
        <x:v>2082</x:v>
      </x:c>
      <x:c r="K1008" s="24" t="n">
        <x:v>0.2372718539865514</x:v>
      </x:c>
      <x:c r="L1008" s="24" t="n">
        <x:v>0.010086455331412104</x:v>
      </x:c>
    </x:row>
    <x:row r="1009">
      <x:c r="G1009" t="str">
        <x:v>STL-SRQ</x:v>
      </x:c>
      <x:c r="H1009" t="str">
        <x:v>STL</x:v>
      </x:c>
      <x:c r="I1009" t="str">
        <x:v>SRQ</x:v>
      </x:c>
      <x:c r="J1009" s="23" t="n">
        <x:v>1071</x:v>
      </x:c>
      <x:c r="K1009" s="24" t="n">
        <x:v>0.23716153127917833</x:v>
      </x:c>
      <x:c r="L1009" s="24" t="n">
        <x:v>0.013071895424836602</x:v>
      </x:c>
    </x:row>
    <x:row r="1010">
      <x:c r="G1010" t="str">
        <x:v>RDU-DAL</x:v>
      </x:c>
      <x:c r="H1010" t="str">
        <x:v>RDU</x:v>
      </x:c>
      <x:c r="I1010" t="str">
        <x:v>DAL</x:v>
      </x:c>
      <x:c r="J1010" s="23" t="n">
        <x:v>1244</x:v>
      </x:c>
      <x:c r="K1010" s="24" t="n">
        <x:v>0.23713826366559485</x:v>
      </x:c>
      <x:c r="L1010" s="24" t="n">
        <x:v>0.00964630225080386</x:v>
      </x:c>
    </x:row>
    <x:row r="1011">
      <x:c r="G1011" t="str">
        <x:v>DFW-ILM</x:v>
      </x:c>
      <x:c r="H1011" t="str">
        <x:v>DFW</x:v>
      </x:c>
      <x:c r="I1011" t="str">
        <x:v>ILM</x:v>
      </x:c>
      <x:c r="J1011" s="23" t="n">
        <x:v>1763</x:v>
      </x:c>
      <x:c r="K1011" s="24" t="n">
        <x:v>0.23709585933068633</x:v>
      </x:c>
      <x:c r="L1011" s="24" t="n">
        <x:v>0.01758366420873511</x:v>
      </x:c>
    </x:row>
    <x:row r="1012">
      <x:c r="G1012" t="str">
        <x:v>JFK-MKE</x:v>
      </x:c>
      <x:c r="H1012" t="str">
        <x:v>JFK</x:v>
      </x:c>
      <x:c r="I1012" t="str">
        <x:v>MKE</x:v>
      </x:c>
      <x:c r="J1012" s="23" t="n">
        <x:v>1645</x:v>
      </x:c>
      <x:c r="K1012" s="24" t="n">
        <x:v>0.23708206686930092</x:v>
      </x:c>
      <x:c r="L1012" s="24" t="n">
        <x:v>0.02796352583586626</x:v>
      </x:c>
    </x:row>
    <x:row r="1013">
      <x:c r="G1013" t="str">
        <x:v>ATL-COS</x:v>
      </x:c>
      <x:c r="H1013" t="str">
        <x:v>ATL</x:v>
      </x:c>
      <x:c r="I1013" t="str">
        <x:v>COS</x:v>
      </x:c>
      <x:c r="J1013" s="23" t="n">
        <x:v>1211</x:v>
      </x:c>
      <x:c r="K1013" s="24" t="n">
        <x:v>0.23699421965317918</x:v>
      </x:c>
      <x:c r="L1013" s="24" t="n">
        <x:v>0.008257638315441783</x:v>
      </x:c>
    </x:row>
    <x:row r="1014">
      <x:c r="G1014" t="str">
        <x:v>SEA-ANC</x:v>
      </x:c>
      <x:c r="H1014" t="str">
        <x:v>SEA</x:v>
      </x:c>
      <x:c r="I1014" t="str">
        <x:v>ANC</x:v>
      </x:c>
      <x:c r="J1014" s="23" t="n">
        <x:v>21989</x:v>
      </x:c>
      <x:c r="K1014" s="24" t="n">
        <x:v>0.23698212742735003</x:v>
      </x:c>
      <x:c r="L1014" s="24" t="n">
        <x:v>0.008231388421483469</x:v>
      </x:c>
    </x:row>
    <x:row r="1015">
      <x:c r="G1015" t="str">
        <x:v>AUS-DFW</x:v>
      </x:c>
      <x:c r="H1015" t="str">
        <x:v>AUS</x:v>
      </x:c>
      <x:c r="I1015" t="str">
        <x:v>DFW</x:v>
      </x:c>
      <x:c r="J1015" s="23" t="n">
        <x:v>14581</x:v>
      </x:c>
      <x:c r="K1015" s="24" t="n">
        <x:v>0.23695219806597628</x:v>
      </x:c>
      <x:c r="L1015" s="24" t="n">
        <x:v>0.025169741444345382</x:v>
      </x:c>
    </x:row>
    <x:row r="1016">
      <x:c r="G1016" t="str">
        <x:v>BDL-DFW</x:v>
      </x:c>
      <x:c r="H1016" t="str">
        <x:v>BDL</x:v>
      </x:c>
      <x:c r="I1016" t="str">
        <x:v>DFW</x:v>
      </x:c>
      <x:c r="J1016" s="23" t="n">
        <x:v>1912</x:v>
      </x:c>
      <x:c r="K1016" s="24" t="n">
        <x:v>0.23692468619246862</x:v>
      </x:c>
      <x:c r="L1016" s="24" t="n">
        <x:v>0.020397489539748955</x:v>
      </x:c>
    </x:row>
    <x:row r="1017">
      <x:c r="G1017" t="str">
        <x:v>DCA-GSP</x:v>
      </x:c>
      <x:c r="H1017" t="str">
        <x:v>DCA</x:v>
      </x:c>
      <x:c r="I1017" t="str">
        <x:v>GSP</x:v>
      </x:c>
      <x:c r="J1017" s="23" t="n">
        <x:v>3014</x:v>
      </x:c>
      <x:c r="K1017" s="24" t="n">
        <x:v>0.23689449236894491</x:v>
      </x:c>
      <x:c r="L1017" s="24" t="n">
        <x:v>0.031187790311877902</x:v>
      </x:c>
    </x:row>
    <x:row r="1018">
      <x:c r="G1018" t="str">
        <x:v>PHL-MCI</x:v>
      </x:c>
      <x:c r="H1018" t="str">
        <x:v>PHL</x:v>
      </x:c>
      <x:c r="I1018" t="str">
        <x:v>MCI</x:v>
      </x:c>
      <x:c r="J1018" s="23" t="n">
        <x:v>2090</x:v>
      </x:c>
      <x:c r="K1018" s="24" t="n">
        <x:v>0.23684210526315788</x:v>
      </x:c>
      <x:c r="L1018" s="24" t="n">
        <x:v>0.0215311004784689</x:v>
      </x:c>
    </x:row>
    <x:row r="1019">
      <x:c r="G1019" t="str">
        <x:v>ORD-TPA</x:v>
      </x:c>
      <x:c r="H1019" t="str">
        <x:v>ORD</x:v>
      </x:c>
      <x:c r="I1019" t="str">
        <x:v>TPA</x:v>
      </x:c>
      <x:c r="J1019" s="23" t="n">
        <x:v>9365</x:v>
      </x:c>
      <x:c r="K1019" s="24" t="n">
        <x:v>0.2368392952482648</x:v>
      </x:c>
      <x:c r="L1019" s="24" t="n">
        <x:v>0.013881473571809931</x:v>
      </x:c>
    </x:row>
    <x:row r="1020">
      <x:c r="G1020" t="str">
        <x:v>DEN-EUG</x:v>
      </x:c>
      <x:c r="H1020" t="str">
        <x:v>DEN</x:v>
      </x:c>
      <x:c r="I1020" t="str">
        <x:v>EUG</x:v>
      </x:c>
      <x:c r="J1020" s="23" t="n">
        <x:v>3074</x:v>
      </x:c>
      <x:c r="K1020" s="24" t="n">
        <x:v>0.23682498373454783</x:v>
      </x:c>
      <x:c r="L1020" s="24" t="n">
        <x:v>0.006506180871828237</x:v>
      </x:c>
    </x:row>
    <x:row r="1021">
      <x:c r="G1021" t="str">
        <x:v>IAH-FLL</x:v>
      </x:c>
      <x:c r="H1021" t="str">
        <x:v>IAH</x:v>
      </x:c>
      <x:c r="I1021" t="str">
        <x:v>FLL</x:v>
      </x:c>
      <x:c r="J1021" s="23" t="n">
        <x:v>7719</x:v>
      </x:c>
      <x:c r="K1021" s="24" t="n">
        <x:v>0.2368182407047545</x:v>
      </x:c>
      <x:c r="L1021" s="24" t="n">
        <x:v>0.013991449669646328</x:v>
      </x:c>
    </x:row>
    <x:row r="1022">
      <x:c r="G1022" t="str">
        <x:v>MSY-SEA</x:v>
      </x:c>
      <x:c r="H1022" t="str">
        <x:v>MSY</x:v>
      </x:c>
      <x:c r="I1022" t="str">
        <x:v>SEA</x:v>
      </x:c>
      <x:c r="J1022" s="23" t="n">
        <x:v>2010</x:v>
      </x:c>
      <x:c r="K1022" s="24" t="n">
        <x:v>0.23681592039800994</x:v>
      </x:c>
      <x:c r="L1022" s="24" t="n">
        <x:v>0.00845771144278607</x:v>
      </x:c>
    </x:row>
    <x:row r="1023">
      <x:c r="G1023" t="str">
        <x:v>CLT-BTV</x:v>
      </x:c>
      <x:c r="H1023" t="str">
        <x:v>CLT</x:v>
      </x:c>
      <x:c r="I1023" t="str">
        <x:v>BTV</x:v>
      </x:c>
      <x:c r="J1023" s="23" t="n">
        <x:v>1858</x:v>
      </x:c>
      <x:c r="K1023" s="24" t="n">
        <x:v>0.23681377825618946</x:v>
      </x:c>
      <x:c r="L1023" s="24" t="n">
        <x:v>0.015608180839612486</x:v>
      </x:c>
    </x:row>
    <x:row r="1024">
      <x:c r="G1024" t="str">
        <x:v>SFO-DEN</x:v>
      </x:c>
      <x:c r="H1024" t="str">
        <x:v>SFO</x:v>
      </x:c>
      <x:c r="I1024" t="str">
        <x:v>DEN</x:v>
      </x:c>
      <x:c r="J1024" s="23" t="n">
        <x:v>16452</x:v>
      </x:c>
      <x:c r="K1024" s="24" t="n">
        <x:v>0.23674933138828105</x:v>
      </x:c>
      <x:c r="L1024" s="24" t="n">
        <x:v>0.007719426209579382</x:v>
      </x:c>
    </x:row>
    <x:row r="1025">
      <x:c r="G1025" t="str">
        <x:v>ORD-BUF</x:v>
      </x:c>
      <x:c r="H1025" t="str">
        <x:v>ORD</x:v>
      </x:c>
      <x:c r="I1025" t="str">
        <x:v>BUF</x:v>
      </x:c>
      <x:c r="J1025" s="23" t="n">
        <x:v>5659</x:v>
      </x:c>
      <x:c r="K1025" s="24" t="n">
        <x:v>0.2366142427990811</x:v>
      </x:c>
      <x:c r="L1025" s="24" t="n">
        <x:v>0.014843611945573423</x:v>
      </x:c>
    </x:row>
    <x:row r="1026">
      <x:c r="G1026" t="str">
        <x:v>CLT-AVP</x:v>
      </x:c>
      <x:c r="H1026" t="str">
        <x:v>CLT</x:v>
      </x:c>
      <x:c r="I1026" t="str">
        <x:v>AVP</x:v>
      </x:c>
      <x:c r="J1026" s="23" t="n">
        <x:v>3098</x:v>
      </x:c>
      <x:c r="K1026" s="24" t="n">
        <x:v>0.23660426081342803</x:v>
      </x:c>
      <x:c r="L1026" s="24" t="n">
        <x:v>0.012911555842479019</x:v>
      </x:c>
    </x:row>
    <x:row r="1027">
      <x:c r="G1027" t="str">
        <x:v>MDW-GRR</x:v>
      </x:c>
      <x:c r="H1027" t="str">
        <x:v>MDW</x:v>
      </x:c>
      <x:c r="I1027" t="str">
        <x:v>GRR</x:v>
      </x:c>
      <x:c r="J1027" s="23" t="n">
        <x:v>2874</x:v>
      </x:c>
      <x:c r="K1027" s="24" t="n">
        <x:v>0.23660403618649964</x:v>
      </x:c>
      <x:c r="L1027" s="24" t="n">
        <x:v>0.006610995128740431</x:v>
      </x:c>
    </x:row>
    <x:row r="1028">
      <x:c r="G1028" t="str">
        <x:v>MDW-PHX</x:v>
      </x:c>
      <x:c r="H1028" t="str">
        <x:v>MDW</x:v>
      </x:c>
      <x:c r="I1028" t="str">
        <x:v>PHX</x:v>
      </x:c>
      <x:c r="J1028" s="23" t="n">
        <x:v>9075</x:v>
      </x:c>
      <x:c r="K1028" s="24" t="n">
        <x:v>0.2365840220385675</x:v>
      </x:c>
      <x:c r="L1028" s="24" t="n">
        <x:v>0.012011019283746557</x:v>
      </x:c>
    </x:row>
    <x:row r="1029">
      <x:c r="G1029" t="str">
        <x:v>DEN-JFK</x:v>
      </x:c>
      <x:c r="H1029" t="str">
        <x:v>DEN</x:v>
      </x:c>
      <x:c r="I1029" t="str">
        <x:v>JFK</x:v>
      </x:c>
      <x:c r="J1029" s="23" t="n">
        <x:v>4574</x:v>
      </x:c>
      <x:c r="K1029" s="24" t="n">
        <x:v>0.2365544381285527</x:v>
      </x:c>
      <x:c r="L1029" s="24" t="n">
        <x:v>0.021862702229995628</x:v>
      </x:c>
    </x:row>
    <x:row r="1030">
      <x:c r="G1030" t="str">
        <x:v>IAH-RSW</x:v>
      </x:c>
      <x:c r="H1030" t="str">
        <x:v>IAH</x:v>
      </x:c>
      <x:c r="I1030" t="str">
        <x:v>RSW</x:v>
      </x:c>
      <x:c r="J1030" s="23" t="n">
        <x:v>2287</x:v>
      </x:c>
      <x:c r="K1030" s="24" t="n">
        <x:v>0.2365544381285527</x:v>
      </x:c>
      <x:c r="L1030" s="24" t="n">
        <x:v>0.011805859204197638</x:v>
      </x:c>
    </x:row>
    <x:row r="1031">
      <x:c r="G1031" t="str">
        <x:v>PHL-DFW</x:v>
      </x:c>
      <x:c r="H1031" t="str">
        <x:v>PHL</x:v>
      </x:c>
      <x:c r="I1031" t="str">
        <x:v>DFW</x:v>
      </x:c>
      <x:c r="J1031" s="23" t="n">
        <x:v>10321</x:v>
      </x:c>
      <x:c r="K1031" s="24" t="n">
        <x:v>0.23650809030132738</x:v>
      </x:c>
      <x:c r="L1031" s="24" t="n">
        <x:v>0.021606433485127412</x:v>
      </x:c>
    </x:row>
    <x:row r="1032">
      <x:c r="G1032" t="str">
        <x:v>ORD-PVD</x:v>
      </x:c>
      <x:c r="H1032" t="str">
        <x:v>ORD</x:v>
      </x:c>
      <x:c r="I1032" t="str">
        <x:v>PVD</x:v>
      </x:c>
      <x:c r="J1032" s="23" t="n">
        <x:v>3742</x:v>
      </x:c>
      <x:c r="K1032" s="24" t="n">
        <x:v>0.23650454302512025</x:v>
      </x:c>
      <x:c r="L1032" s="24" t="n">
        <x:v>0.008284339925173703</x:v>
      </x:c>
    </x:row>
    <x:row r="1033">
      <x:c r="G1033" t="str">
        <x:v>ROC-MCO</x:v>
      </x:c>
      <x:c r="H1033" t="str">
        <x:v>ROC</x:v>
      </x:c>
      <x:c r="I1033" t="str">
        <x:v>MCO</x:v>
      </x:c>
      <x:c r="J1033" s="23" t="n">
        <x:v>1865</x:v>
      </x:c>
      <x:c r="K1033" s="24" t="n">
        <x:v>0.23646112600536193</x:v>
      </x:c>
      <x:c r="L1033" s="24" t="n">
        <x:v>0.0096514745308311</x:v>
      </x:c>
    </x:row>
    <x:row r="1034">
      <x:c r="G1034" t="str">
        <x:v>RSW-LGA</x:v>
      </x:c>
      <x:c r="H1034" t="str">
        <x:v>RSW</x:v>
      </x:c>
      <x:c r="I1034" t="str">
        <x:v>LGA</x:v>
      </x:c>
      <x:c r="J1034" s="23" t="n">
        <x:v>3176</x:v>
      </x:c>
      <x:c r="K1034" s="24" t="n">
        <x:v>0.2364609571788413</x:v>
      </x:c>
      <x:c r="L1034" s="24" t="n">
        <x:v>0.020151133501259445</x:v>
      </x:c>
    </x:row>
    <x:row r="1035">
      <x:c r="G1035" t="str">
        <x:v>MSY-JFK</x:v>
      </x:c>
      <x:c r="H1035" t="str">
        <x:v>MSY</x:v>
      </x:c>
      <x:c r="I1035" t="str">
        <x:v>JFK</x:v>
      </x:c>
      <x:c r="J1035" s="23" t="n">
        <x:v>3540</x:v>
      </x:c>
      <x:c r="K1035" s="24" t="n">
        <x:v>0.2364406779661017</x:v>
      </x:c>
      <x:c r="L1035" s="24" t="n">
        <x:v>0.02231638418079096</x:v>
      </x:c>
    </x:row>
    <x:row r="1036">
      <x:c r="G1036" t="str">
        <x:v>IAH-LGA</x:v>
      </x:c>
      <x:c r="H1036" t="str">
        <x:v>IAH</x:v>
      </x:c>
      <x:c r="I1036" t="str">
        <x:v>LGA</x:v>
      </x:c>
      <x:c r="J1036" s="23" t="n">
        <x:v>12022</x:v>
      </x:c>
      <x:c r="K1036" s="24" t="n">
        <x:v>0.2363999334553319</x:v>
      </x:c>
      <x:c r="L1036" s="24" t="n">
        <x:v>0.019297953751455665</x:v>
      </x:c>
    </x:row>
    <x:row r="1037">
      <x:c r="G1037" t="str">
        <x:v>MKE-BOS</x:v>
      </x:c>
      <x:c r="H1037" t="str">
        <x:v>MKE</x:v>
      </x:c>
      <x:c r="I1037" t="str">
        <x:v>BOS</x:v>
      </x:c>
      <x:c r="J1037" s="23" t="n">
        <x:v>2568</x:v>
      </x:c>
      <x:c r="K1037" s="24" t="n">
        <x:v>0.23637071651090344</x:v>
      </x:c>
      <x:c r="L1037" s="24" t="n">
        <x:v>0.0190809968847352</x:v>
      </x:c>
    </x:row>
    <x:row r="1038">
      <x:c r="G1038" t="str">
        <x:v>ORD-MEM</x:v>
      </x:c>
      <x:c r="H1038" t="str">
        <x:v>ORD</x:v>
      </x:c>
      <x:c r="I1038" t="str">
        <x:v>MEM</x:v>
      </x:c>
      <x:c r="J1038" s="23" t="n">
        <x:v>5509</x:v>
      </x:c>
      <x:c r="K1038" s="24" t="n">
        <x:v>0.2363405336721728</x:v>
      </x:c>
      <x:c r="L1038" s="24" t="n">
        <x:v>0.012161916863314576</x:v>
      </x:c>
    </x:row>
    <x:row r="1039">
      <x:c r="G1039" t="str">
        <x:v>STL-ORD</x:v>
      </x:c>
      <x:c r="H1039" t="str">
        <x:v>STL</x:v>
      </x:c>
      <x:c r="I1039" t="str">
        <x:v>ORD</x:v>
      </x:c>
      <x:c r="J1039" s="23" t="n">
        <x:v>7697</x:v>
      </x:c>
      <x:c r="K1039" s="24" t="n">
        <x:v>0.23632584123684552</x:v>
      </x:c>
      <x:c r="L1039" s="24" t="n">
        <x:v>0.014031440821099129</x:v>
      </x:c>
    </x:row>
    <x:row r="1040">
      <x:c r="G1040" t="str">
        <x:v>AUS-LAS</x:v>
      </x:c>
      <x:c r="H1040" t="str">
        <x:v>AUS</x:v>
      </x:c>
      <x:c r="I1040" t="str">
        <x:v>LAS</x:v>
      </x:c>
      <x:c r="J1040" s="23" t="n">
        <x:v>9652</x:v>
      </x:c>
      <x:c r="K1040" s="24" t="n">
        <x:v>0.2363240779113137</x:v>
      </x:c>
      <x:c r="L1040" s="24" t="n">
        <x:v>0.007666804807293825</x:v>
      </x:c>
    </x:row>
    <x:row r="1041">
      <x:c r="G1041" t="str">
        <x:v>EWR-SAN</x:v>
      </x:c>
      <x:c r="H1041" t="str">
        <x:v>EWR</x:v>
      </x:c>
      <x:c r="I1041" t="str">
        <x:v>SAN</x:v>
      </x:c>
      <x:c r="J1041" s="23" t="n">
        <x:v>4862</x:v>
      </x:c>
      <x:c r="K1041" s="24" t="n">
        <x:v>0.23632250102838337</x:v>
      </x:c>
      <x:c r="L1041" s="24" t="n">
        <x:v>0.01809954751131222</x:v>
      </x:c>
    </x:row>
    <x:row r="1042">
      <x:c r="G1042" t="str">
        <x:v>BUF-DFW</x:v>
      </x:c>
      <x:c r="H1042" t="str">
        <x:v>BUF</x:v>
      </x:c>
      <x:c r="I1042" t="str">
        <x:v>DFW</x:v>
      </x:c>
      <x:c r="J1042" s="23" t="n">
        <x:v>1553</x:v>
      </x:c>
      <x:c r="K1042" s="24" t="n">
        <x:v>0.23631680618158404</x:v>
      </x:c>
      <x:c r="L1042" s="24" t="n">
        <x:v>0.018673535093367676</x:v>
      </x:c>
    </x:row>
    <x:row r="1043">
      <x:c r="G1043" t="str">
        <x:v>CLT-BNA</x:v>
      </x:c>
      <x:c r="H1043" t="str">
        <x:v>CLT</x:v>
      </x:c>
      <x:c r="I1043" t="str">
        <x:v>BNA</x:v>
      </x:c>
      <x:c r="J1043" s="23" t="n">
        <x:v>11685</x:v>
      </x:c>
      <x:c r="K1043" s="24" t="n">
        <x:v>0.23628583654257596</x:v>
      </x:c>
      <x:c r="L1043" s="24" t="n">
        <x:v>0.010954214805305947</x:v>
      </x:c>
    </x:row>
    <x:row r="1044">
      <x:c r="G1044" t="str">
        <x:v>MEM-LAX</x:v>
      </x:c>
      <x:c r="H1044" t="str">
        <x:v>MEM</x:v>
      </x:c>
      <x:c r="I1044" t="str">
        <x:v>LAX</x:v>
      </x:c>
      <x:c r="J1044" s="23" t="n">
        <x:v>1236</x:v>
      </x:c>
      <x:c r="K1044" s="24" t="n">
        <x:v>0.23624595469255663</x:v>
      </x:c>
      <x:c r="L1044" s="24" t="n">
        <x:v>0.007281553398058253</x:v>
      </x:c>
    </x:row>
    <x:row r="1045">
      <x:c r="G1045" t="str">
        <x:v>IAH-ATL</x:v>
      </x:c>
      <x:c r="H1045" t="str">
        <x:v>IAH</x:v>
      </x:c>
      <x:c r="I1045" t="str">
        <x:v>ATL</x:v>
      </x:c>
      <x:c r="J1045" s="23" t="n">
        <x:v>13830</x:v>
      </x:c>
      <x:c r="K1045" s="24" t="n">
        <x:v>0.23622559652928415</x:v>
      </x:c>
      <x:c r="L1045" s="24" t="n">
        <x:v>0.015328994938539408</x:v>
      </x:c>
    </x:row>
    <x:row r="1046">
      <x:c r="G1046" t="str">
        <x:v>ATL-BWI</x:v>
      </x:c>
      <x:c r="H1046" t="str">
        <x:v>ATL</x:v>
      </x:c>
      <x:c r="I1046" t="str">
        <x:v>BWI</x:v>
      </x:c>
      <x:c r="J1046" s="23" t="n">
        <x:v>18215</x:v>
      </x:c>
      <x:c r="K1046" s="24" t="n">
        <x:v>0.23612407356574253</x:v>
      </x:c>
      <x:c r="L1046" s="24" t="n">
        <x:v>0.01262695580565468</x:v>
      </x:c>
    </x:row>
    <x:row r="1047">
      <x:c r="G1047" t="str">
        <x:v>MYR-MCO</x:v>
      </x:c>
      <x:c r="H1047" t="str">
        <x:v>MYR</x:v>
      </x:c>
      <x:c r="I1047" t="str">
        <x:v>MCO</x:v>
      </x:c>
      <x:c r="J1047" s="23" t="n">
        <x:v>1296</x:v>
      </x:c>
      <x:c r="K1047" s="24" t="n">
        <x:v>0.2361111111111111</x:v>
      </x:c>
      <x:c r="L1047" s="24" t="n">
        <x:v>0.023148148148148147</x:v>
      </x:c>
    </x:row>
    <x:row r="1048">
      <x:c r="G1048" t="str">
        <x:v>GSO-DFW</x:v>
      </x:c>
      <x:c r="H1048" t="str">
        <x:v>GSO</x:v>
      </x:c>
      <x:c r="I1048" t="str">
        <x:v>DFW</x:v>
      </x:c>
      <x:c r="J1048" s="23" t="n">
        <x:v>2597</x:v>
      </x:c>
      <x:c r="K1048" s="24" t="n">
        <x:v>0.23604158644589912</x:v>
      </x:c>
      <x:c r="L1048" s="24" t="n">
        <x:v>0.023873700423565652</x:v>
      </x:c>
    </x:row>
    <x:row r="1049">
      <x:c r="G1049" t="str">
        <x:v>ORD-BTV</x:v>
      </x:c>
      <x:c r="H1049" t="str">
        <x:v>ORD</x:v>
      </x:c>
      <x:c r="I1049" t="str">
        <x:v>BTV</x:v>
      </x:c>
      <x:c r="J1049" s="23" t="n">
        <x:v>3004</x:v>
      </x:c>
      <x:c r="K1049" s="24" t="n">
        <x:v>0.23601864181091878</x:v>
      </x:c>
      <x:c r="L1049" s="24" t="n">
        <x:v>0.009653794940079893</x:v>
      </x:c>
    </x:row>
    <x:row r="1050">
      <x:c r="G1050" t="str">
        <x:v>SEA-SAT</x:v>
      </x:c>
      <x:c r="H1050" t="str">
        <x:v>SEA</x:v>
      </x:c>
      <x:c r="I1050" t="str">
        <x:v>SAT</x:v>
      </x:c>
      <x:c r="J1050" s="23" t="n">
        <x:v>1746</x:v>
      </x:c>
      <x:c r="K1050" s="24" t="n">
        <x:v>0.23596792668957617</x:v>
      </x:c>
      <x:c r="L1050" s="24" t="n">
        <x:v>0.006300114547537228</x:v>
      </x:c>
    </x:row>
    <x:row r="1051">
      <x:c r="G1051" t="str">
        <x:v>LGA-RSW</x:v>
      </x:c>
      <x:c r="H1051" t="str">
        <x:v>LGA</x:v>
      </x:c>
      <x:c r="I1051" t="str">
        <x:v>RSW</x:v>
      </x:c>
      <x:c r="J1051" s="23" t="n">
        <x:v>3171</x:v>
      </x:c>
      <x:c r="K1051" s="24" t="n">
        <x:v>0.2358877325764743</x:v>
      </x:c>
      <x:c r="L1051" s="24" t="n">
        <x:v>0.019867549668874173</x:v>
      </x:c>
    </x:row>
    <x:row r="1052">
      <x:c r="G1052" t="str">
        <x:v>ORD-CHA</x:v>
      </x:c>
      <x:c r="H1052" t="str">
        <x:v>ORD</x:v>
      </x:c>
      <x:c r="I1052" t="str">
        <x:v>CHA</x:v>
      </x:c>
      <x:c r="J1052" s="23" t="n">
        <x:v>2599</x:v>
      </x:c>
      <x:c r="K1052" s="24" t="n">
        <x:v>0.23585994613312813</x:v>
      </x:c>
      <x:c r="L1052" s="24" t="n">
        <x:v>0.01654482493266641</x:v>
      </x:c>
    </x:row>
    <x:row r="1053">
      <x:c r="G1053" t="str">
        <x:v>CLT-SLC</x:v>
      </x:c>
      <x:c r="H1053" t="str">
        <x:v>CLT</x:v>
      </x:c>
      <x:c r="I1053" t="str">
        <x:v>SLC</x:v>
      </x:c>
      <x:c r="J1053" s="23" t="n">
        <x:v>2799</x:v>
      </x:c>
      <x:c r="K1053" s="24" t="n">
        <x:v>0.2357984994640943</x:v>
      </x:c>
      <x:c r="L1053" s="24" t="n">
        <x:v>0.007859949982136478</x:v>
      </x:c>
    </x:row>
    <x:row r="1054">
      <x:c r="G1054" t="str">
        <x:v>BOS-BNA</x:v>
      </x:c>
      <x:c r="H1054" t="str">
        <x:v>BOS</x:v>
      </x:c>
      <x:c r="I1054" t="str">
        <x:v>BNA</x:v>
      </x:c>
      <x:c r="J1054" s="23" t="n">
        <x:v>8025</x:v>
      </x:c>
      <x:c r="K1054" s="24" t="n">
        <x:v>0.2357632398753894</x:v>
      </x:c>
      <x:c r="L1054" s="24" t="n">
        <x:v>0.012087227414330218</x:v>
      </x:c>
    </x:row>
    <x:row r="1055">
      <x:c r="G1055" t="str">
        <x:v>SAN-DAL</x:v>
      </x:c>
      <x:c r="H1055" t="str">
        <x:v>SAN</x:v>
      </x:c>
      <x:c r="I1055" t="str">
        <x:v>DAL</x:v>
      </x:c>
      <x:c r="J1055" s="23" t="n">
        <x:v>4510</x:v>
      </x:c>
      <x:c r="K1055" s="24" t="n">
        <x:v>0.23569844789356983</x:v>
      </x:c>
      <x:c r="L1055" s="24" t="n">
        <x:v>0.011751662971175166</x:v>
      </x:c>
    </x:row>
    <x:row r="1056">
      <x:c r="G1056" t="str">
        <x:v>CLT-SHV</x:v>
      </x:c>
      <x:c r="H1056" t="str">
        <x:v>CLT</x:v>
      </x:c>
      <x:c r="I1056" t="str">
        <x:v>SHV</x:v>
      </x:c>
      <x:c r="J1056" s="23" t="n">
        <x:v>2394</x:v>
      </x:c>
      <x:c r="K1056" s="24" t="n">
        <x:v>0.23558897243107768</x:v>
      </x:c>
      <x:c r="L1056" s="24" t="n">
        <x:v>0.012531328320802004</x:v>
      </x:c>
    </x:row>
    <x:row r="1057">
      <x:c r="G1057" t="str">
        <x:v>PHL-SFO</x:v>
      </x:c>
      <x:c r="H1057" t="str">
        <x:v>PHL</x:v>
      </x:c>
      <x:c r="I1057" t="str">
        <x:v>SFO</x:v>
      </x:c>
      <x:c r="J1057" s="23" t="n">
        <x:v>4576</x:v>
      </x:c>
      <x:c r="K1057" s="24" t="n">
        <x:v>0.23557692307692307</x:v>
      </x:c>
      <x:c r="L1057" s="24" t="n">
        <x:v>0.008522727272727272</x:v>
      </x:c>
    </x:row>
    <x:row r="1058">
      <x:c r="G1058" t="str">
        <x:v>MCO-DEN</x:v>
      </x:c>
      <x:c r="H1058" t="str">
        <x:v>MCO</x:v>
      </x:c>
      <x:c r="I1058" t="str">
        <x:v>DEN</x:v>
      </x:c>
      <x:c r="J1058" s="23" t="n">
        <x:v>13809</x:v>
      </x:c>
      <x:c r="K1058" s="24" t="n">
        <x:v>0.23557100441740894</x:v>
      </x:c>
      <x:c r="L1058" s="24" t="n">
        <x:v>0.012093562169599536</x:v>
      </x:c>
    </x:row>
    <x:row r="1059">
      <x:c r="G1059" t="str">
        <x:v>BWI-SRQ</x:v>
      </x:c>
      <x:c r="H1059" t="str">
        <x:v>BWI</x:v>
      </x:c>
      <x:c r="I1059" t="str">
        <x:v>SRQ</x:v>
      </x:c>
      <x:c r="J1059" s="23" t="n">
        <x:v>4169</x:v>
      </x:c>
      <x:c r="K1059" s="24" t="n">
        <x:v>0.235548093067882</x:v>
      </x:c>
      <x:c r="L1059" s="24" t="n">
        <x:v>0.014391940513312544</x:v>
      </x:c>
    </x:row>
    <x:row r="1060">
      <x:c r="G1060" t="str">
        <x:v>KOA-PDX</x:v>
      </x:c>
      <x:c r="H1060" t="str">
        <x:v>KOA</x:v>
      </x:c>
      <x:c r="I1060" t="str">
        <x:v>PDX</x:v>
      </x:c>
      <x:c r="J1060" s="23" t="n">
        <x:v>1019</x:v>
      </x:c>
      <x:c r="K1060" s="24" t="n">
        <x:v>0.23552502453385674</x:v>
      </x:c>
      <x:c r="L1060" s="24" t="n">
        <x:v>0.009813542688910697</x:v>
      </x:c>
    </x:row>
    <x:row r="1061">
      <x:c r="G1061" t="str">
        <x:v>JFK-RSW</x:v>
      </x:c>
      <x:c r="H1061" t="str">
        <x:v>JFK</x:v>
      </x:c>
      <x:c r="I1061" t="str">
        <x:v>RSW</x:v>
      </x:c>
      <x:c r="J1061" s="23" t="n">
        <x:v>3936</x:v>
      </x:c>
      <x:c r="K1061" s="24" t="n">
        <x:v>0.23551829268292682</x:v>
      </x:c>
      <x:c r="L1061" s="24" t="n">
        <x:v>0.026422764227642278</x:v>
      </x:c>
    </x:row>
    <x:row r="1062">
      <x:c r="G1062" t="str">
        <x:v>SAN-FAT</x:v>
      </x:c>
      <x:c r="H1062" t="str">
        <x:v>SAN</x:v>
      </x:c>
      <x:c r="I1062" t="str">
        <x:v>FAT</x:v>
      </x:c>
      <x:c r="J1062" s="23" t="n">
        <x:v>3295</x:v>
      </x:c>
      <x:c r="K1062" s="24" t="n">
        <x:v>0.2355083459787557</x:v>
      </x:c>
      <x:c r="L1062" s="24" t="n">
        <x:v>0.00819423368740516</x:v>
      </x:c>
    </x:row>
    <x:row r="1063">
      <x:c r="G1063" t="str">
        <x:v>PHX-RDU</x:v>
      </x:c>
      <x:c r="H1063" t="str">
        <x:v>PHX</x:v>
      </x:c>
      <x:c r="I1063" t="str">
        <x:v>RDU</x:v>
      </x:c>
      <x:c r="J1063" s="23" t="n">
        <x:v>1635</x:v>
      </x:c>
      <x:c r="K1063" s="24" t="n">
        <x:v>0.23547400611620795</x:v>
      </x:c>
      <x:c r="L1063" s="24" t="n">
        <x:v>0.0024464831804281344</x:v>
      </x:c>
    </x:row>
    <x:row r="1064">
      <x:c r="G1064" t="str">
        <x:v>DEN-SJC</x:v>
      </x:c>
      <x:c r="H1064" t="str">
        <x:v>DEN</x:v>
      </x:c>
      <x:c r="I1064" t="str">
        <x:v>SJC</x:v>
      </x:c>
      <x:c r="J1064" s="23" t="n">
        <x:v>8940</x:v>
      </x:c>
      <x:c r="K1064" s="24" t="n">
        <x:v>0.2354586129753915</x:v>
      </x:c>
      <x:c r="L1064" s="24" t="n">
        <x:v>0.006263982102908278</x:v>
      </x:c>
    </x:row>
    <x:row r="1065">
      <x:c r="G1065" t="str">
        <x:v>SEA-FAI</x:v>
      </x:c>
      <x:c r="H1065" t="str">
        <x:v>SEA</x:v>
      </x:c>
      <x:c r="I1065" t="str">
        <x:v>FAI</x:v>
      </x:c>
      <x:c r="J1065" s="23" t="n">
        <x:v>6886</x:v>
      </x:c>
      <x:c r="K1065" s="24" t="n">
        <x:v>0.23540516990996224</x:v>
      </x:c>
      <x:c r="L1065" s="24" t="n">
        <x:v>0.007406331687481847</x:v>
      </x:c>
    </x:row>
    <x:row r="1066">
      <x:c r="G1066" t="str">
        <x:v>CRW-CLT</x:v>
      </x:c>
      <x:c r="H1066" t="str">
        <x:v>CRW</x:v>
      </x:c>
      <x:c r="I1066" t="str">
        <x:v>CLT</x:v>
      </x:c>
      <x:c r="J1066" s="23" t="n">
        <x:v>3467</x:v>
      </x:c>
      <x:c r="K1066" s="24" t="n">
        <x:v>0.23536198442457457</x:v>
      </x:c>
      <x:c r="L1066" s="24" t="n">
        <x:v>0.017017594462070955</x:v>
      </x:c>
    </x:row>
    <x:row r="1067">
      <x:c r="G1067" t="str">
        <x:v>SDF-DFW</x:v>
      </x:c>
      <x:c r="H1067" t="str">
        <x:v>SDF</x:v>
      </x:c>
      <x:c r="I1067" t="str">
        <x:v>DFW</x:v>
      </x:c>
      <x:c r="J1067" s="23" t="n">
        <x:v>6136</x:v>
      </x:c>
      <x:c r="K1067" s="24" t="n">
        <x:v>0.23533246414602346</x:v>
      </x:c>
      <x:c r="L1067" s="24" t="n">
        <x:v>0.02395697522816167</x:v>
      </x:c>
    </x:row>
    <x:row r="1068">
      <x:c r="G1068" t="str">
        <x:v>MDW-SAT</x:v>
      </x:c>
      <x:c r="H1068" t="str">
        <x:v>MDW</x:v>
      </x:c>
      <x:c r="I1068" t="str">
        <x:v>SAT</x:v>
      </x:c>
      <x:c r="J1068" s="23" t="n">
        <x:v>2112</x:v>
      </x:c>
      <x:c r="K1068" s="24" t="n">
        <x:v>0.2353219696969697</x:v>
      </x:c>
      <x:c r="L1068" s="24" t="n">
        <x:v>0.007102272727272727</x:v>
      </x:c>
    </x:row>
    <x:row r="1069">
      <x:c r="G1069" t="str">
        <x:v>MIA-GSO</x:v>
      </x:c>
      <x:c r="H1069" t="str">
        <x:v>MIA</x:v>
      </x:c>
      <x:c r="I1069" t="str">
        <x:v>GSO</x:v>
      </x:c>
      <x:c r="J1069" s="23" t="n">
        <x:v>1224</x:v>
      </x:c>
      <x:c r="K1069" s="24" t="n">
        <x:v>0.23529411764705882</x:v>
      </x:c>
      <x:c r="L1069" s="24" t="n">
        <x:v>0.007352941176470588</x:v>
      </x:c>
    </x:row>
    <x:row r="1070">
      <x:c r="G1070" t="str">
        <x:v>MCO-STT</x:v>
      </x:c>
      <x:c r="H1070" t="str">
        <x:v>MCO</x:v>
      </x:c>
      <x:c r="I1070" t="str">
        <x:v>STT</x:v>
      </x:c>
      <x:c r="J1070" s="23" t="n">
        <x:v>1390</x:v>
      </x:c>
      <x:c r="K1070" s="24" t="n">
        <x:v>0.23525179856115108</x:v>
      </x:c>
      <x:c r="L1070" s="24" t="n">
        <x:v>0.005035971223021582</x:v>
      </x:c>
    </x:row>
    <x:row r="1071">
      <x:c r="G1071" t="str">
        <x:v>ATL-DCA</x:v>
      </x:c>
      <x:c r="H1071" t="str">
        <x:v>ATL</x:v>
      </x:c>
      <x:c r="I1071" t="str">
        <x:v>DCA</x:v>
      </x:c>
      <x:c r="J1071" s="23" t="n">
        <x:v>20694</x:v>
      </x:c>
      <x:c r="K1071" s="24" t="n">
        <x:v>0.23523726684063012</x:v>
      </x:c>
      <x:c r="L1071" s="24" t="n">
        <x:v>0.017009761283463806</x:v>
      </x:c>
    </x:row>
    <x:row r="1072">
      <x:c r="G1072" t="str">
        <x:v>MDW-FLL</x:v>
      </x:c>
      <x:c r="H1072" t="str">
        <x:v>MDW</x:v>
      </x:c>
      <x:c r="I1072" t="str">
        <x:v>FLL</x:v>
      </x:c>
      <x:c r="J1072" s="23" t="n">
        <x:v>3673</x:v>
      </x:c>
      <x:c r="K1072" s="24" t="n">
        <x:v>0.23523005717397222</x:v>
      </x:c>
      <x:c r="L1072" s="24" t="n">
        <x:v>0.013068336509665124</x:v>
      </x:c>
    </x:row>
    <x:row r="1073">
      <x:c r="G1073" t="str">
        <x:v>PHL-MIA</x:v>
      </x:c>
      <x:c r="H1073" t="str">
        <x:v>PHL</x:v>
      </x:c>
      <x:c r="I1073" t="str">
        <x:v>MIA</x:v>
      </x:c>
      <x:c r="J1073" s="23" t="n">
        <x:v>9402</x:v>
      </x:c>
      <x:c r="K1073" s="24" t="n">
        <x:v>0.23516273133375878</x:v>
      </x:c>
      <x:c r="L1073" s="24" t="n">
        <x:v>0.014571367794086364</x:v>
      </x:c>
    </x:row>
    <x:row r="1074">
      <x:c r="G1074" t="str">
        <x:v>JFK-SRQ</x:v>
      </x:c>
      <x:c r="H1074" t="str">
        <x:v>JFK</x:v>
      </x:c>
      <x:c r="I1074" t="str">
        <x:v>SRQ</x:v>
      </x:c>
      <x:c r="J1074" s="23" t="n">
        <x:v>1195</x:v>
      </x:c>
      <x:c r="K1074" s="24" t="n">
        <x:v>0.23514644351464434</x:v>
      </x:c>
      <x:c r="L1074" s="24" t="n">
        <x:v>0.023430962343096235</x:v>
      </x:c>
    </x:row>
    <x:row r="1075">
      <x:c r="G1075" t="str">
        <x:v>ORD-FCA</x:v>
      </x:c>
      <x:c r="H1075" t="str">
        <x:v>ORD</x:v>
      </x:c>
      <x:c r="I1075" t="str">
        <x:v>FCA</x:v>
      </x:c>
      <x:c r="J1075" s="23" t="n">
        <x:v>1140</x:v>
      </x:c>
      <x:c r="K1075" s="24" t="n">
        <x:v>0.23508771929824562</x:v>
      </x:c>
      <x:c r="L1075" s="24" t="n">
        <x:v>0.007017543859649123</x:v>
      </x:c>
    </x:row>
    <x:row r="1076">
      <x:c r="G1076" t="str">
        <x:v>CWA-ORD</x:v>
      </x:c>
      <x:c r="H1076" t="str">
        <x:v>CWA</x:v>
      </x:c>
      <x:c r="I1076" t="str">
        <x:v>ORD</x:v>
      </x:c>
      <x:c r="J1076" s="23" t="n">
        <x:v>1004</x:v>
      </x:c>
      <x:c r="K1076" s="24" t="n">
        <x:v>0.2350597609561753</x:v>
      </x:c>
      <x:c r="L1076" s="24" t="n">
        <x:v>0.022908366533864542</x:v>
      </x:c>
    </x:row>
    <x:row r="1077">
      <x:c r="G1077" t="str">
        <x:v>FLL-HOU</x:v>
      </x:c>
      <x:c r="H1077" t="str">
        <x:v>FLL</x:v>
      </x:c>
      <x:c r="I1077" t="str">
        <x:v>HOU</x:v>
      </x:c>
      <x:c r="J1077" s="23" t="n">
        <x:v>2859</x:v>
      </x:c>
      <x:c r="K1077" s="24" t="n">
        <x:v>0.23504721930745015</x:v>
      </x:c>
      <x:c r="L1077" s="24" t="n">
        <x:v>0.009793634137810424</x:v>
      </x:c>
    </x:row>
    <x:row r="1078">
      <x:c r="G1078" t="str">
        <x:v>LGA-TUL</x:v>
      </x:c>
      <x:c r="H1078" t="str">
        <x:v>LGA</x:v>
      </x:c>
      <x:c r="I1078" t="str">
        <x:v>TUL</x:v>
      </x:c>
      <x:c r="J1078" s="23" t="n">
        <x:v>1170</x:v>
      </x:c>
      <x:c r="K1078" s="24" t="n">
        <x:v>0.23504273504273504</x:v>
      </x:c>
      <x:c r="L1078" s="24" t="n">
        <x:v>0.042735042735042736</x:v>
      </x:c>
    </x:row>
    <x:row r="1079">
      <x:c r="G1079" t="str">
        <x:v>ORD-LAS</x:v>
      </x:c>
      <x:c r="H1079" t="str">
        <x:v>ORD</x:v>
      </x:c>
      <x:c r="I1079" t="str">
        <x:v>LAS</x:v>
      </x:c>
      <x:c r="J1079" s="23" t="n">
        <x:v>15995</x:v>
      </x:c>
      <x:c r="K1079" s="24" t="n">
        <x:v>0.2350109409190372</x:v>
      </x:c>
      <x:c r="L1079" s="24" t="n">
        <x:v>0.01000312597686777</x:v>
      </x:c>
    </x:row>
    <x:row r="1080">
      <x:c r="G1080" t="str">
        <x:v>SAN-MCI</x:v>
      </x:c>
      <x:c r="H1080" t="str">
        <x:v>SAN</x:v>
      </x:c>
      <x:c r="I1080" t="str">
        <x:v>MCI</x:v>
      </x:c>
      <x:c r="J1080" s="23" t="n">
        <x:v>1451</x:v>
      </x:c>
      <x:c r="K1080" s="24" t="n">
        <x:v>0.23501033769813923</x:v>
      </x:c>
      <x:c r="L1080" s="24" t="n">
        <x:v>0.005513439007580979</x:v>
      </x:c>
    </x:row>
    <x:row r="1081">
      <x:c r="G1081" t="str">
        <x:v>SBN-ORD</x:v>
      </x:c>
      <x:c r="H1081" t="str">
        <x:v>SBN</x:v>
      </x:c>
      <x:c r="I1081" t="str">
        <x:v>ORD</x:v>
      </x:c>
      <x:c r="J1081" s="23" t="n">
        <x:v>6099</x:v>
      </x:c>
      <x:c r="K1081" s="24" t="n">
        <x:v>0.23495655025414003</x:v>
      </x:c>
      <x:c r="L1081" s="24" t="n">
        <x:v>0.022298737497950482</x:v>
      </x:c>
    </x:row>
    <x:row r="1082">
      <x:c r="G1082" t="str">
        <x:v>JFK-PDX</x:v>
      </x:c>
      <x:c r="H1082" t="str">
        <x:v>JFK</x:v>
      </x:c>
      <x:c r="I1082" t="str">
        <x:v>PDX</x:v>
      </x:c>
      <x:c r="J1082" s="23" t="n">
        <x:v>2920</x:v>
      </x:c>
      <x:c r="K1082" s="24" t="n">
        <x:v>0.23493150684931507</x:v>
      </x:c>
      <x:c r="L1082" s="24" t="n">
        <x:v>0.018493150684931507</x:v>
      </x:c>
    </x:row>
    <x:row r="1083">
      <x:c r="G1083" t="str">
        <x:v>BNA-FLL</x:v>
      </x:c>
      <x:c r="H1083" t="str">
        <x:v>BNA</x:v>
      </x:c>
      <x:c r="I1083" t="str">
        <x:v>FLL</x:v>
      </x:c>
      <x:c r="J1083" s="23" t="n">
        <x:v>6251</x:v>
      </x:c>
      <x:c r="K1083" s="24" t="n">
        <x:v>0.23484242521196608</x:v>
      </x:c>
      <x:c r="L1083" s="24" t="n">
        <x:v>0.014557670772676373</x:v>
      </x:c>
    </x:row>
    <x:row r="1084">
      <x:c r="G1084" t="str">
        <x:v>DEN-MCI</x:v>
      </x:c>
      <x:c r="H1084" t="str">
        <x:v>DEN</x:v>
      </x:c>
      <x:c r="I1084" t="str">
        <x:v>MCI</x:v>
      </x:c>
      <x:c r="J1084" s="23" t="n">
        <x:v>12623</x:v>
      </x:c>
      <x:c r="K1084" s="24" t="n">
        <x:v>0.23473025429771052</x:v>
      </x:c>
      <x:c r="L1084" s="24" t="n">
        <x:v>0.009902558821199397</x:v>
      </x:c>
    </x:row>
    <x:row r="1085">
      <x:c r="G1085" t="str">
        <x:v>SBN-DFW</x:v>
      </x:c>
      <x:c r="H1085" t="str">
        <x:v>SBN</x:v>
      </x:c>
      <x:c r="I1085" t="str">
        <x:v>DFW</x:v>
      </x:c>
      <x:c r="J1085" s="23" t="n">
        <x:v>2795</x:v>
      </x:c>
      <x:c r="K1085" s="24" t="n">
        <x:v>0.23470483005366727</x:v>
      </x:c>
      <x:c r="L1085" s="24" t="n">
        <x:v>0.016457960644007157</x:v>
      </x:c>
    </x:row>
    <x:row r="1086">
      <x:c r="G1086" t="str">
        <x:v>SEA-BNA</x:v>
      </x:c>
      <x:c r="H1086" t="str">
        <x:v>SEA</x:v>
      </x:c>
      <x:c r="I1086" t="str">
        <x:v>BNA</x:v>
      </x:c>
      <x:c r="J1086" s="23" t="n">
        <x:v>3946</x:v>
      </x:c>
      <x:c r="K1086" s="24" t="n">
        <x:v>0.23466801824632538</x:v>
      </x:c>
      <x:c r="L1086" s="24" t="n">
        <x:v>0.00456158134820071</x:v>
      </x:c>
    </x:row>
    <x:row r="1087">
      <x:c r="G1087" t="str">
        <x:v>BNA-SAN</x:v>
      </x:c>
      <x:c r="H1087" t="str">
        <x:v>BNA</x:v>
      </x:c>
      <x:c r="I1087" t="str">
        <x:v>SAN</x:v>
      </x:c>
      <x:c r="J1087" s="23" t="n">
        <x:v>2429</x:v>
      </x:c>
      <x:c r="K1087" s="24" t="n">
        <x:v>0.23466447097571017</x:v>
      </x:c>
      <x:c r="L1087" s="24" t="n">
        <x:v>0.0037052284890901604</x:v>
      </x:c>
    </x:row>
    <x:row r="1088">
      <x:c r="G1088" t="str">
        <x:v>MIA-BWI</x:v>
      </x:c>
      <x:c r="H1088" t="str">
        <x:v>MIA</x:v>
      </x:c>
      <x:c r="I1088" t="str">
        <x:v>BWI</x:v>
      </x:c>
      <x:c r="J1088" s="23" t="n">
        <x:v>7181</x:v>
      </x:c>
      <x:c r="K1088" s="24" t="n">
        <x:v>0.2346469850995683</x:v>
      </x:c>
      <x:c r="L1088" s="24" t="n">
        <x:v>0.014900431694750034</x:v>
      </x:c>
    </x:row>
    <x:row r="1089">
      <x:c r="G1089" t="str">
        <x:v>EWR-DEN</x:v>
      </x:c>
      <x:c r="H1089" t="str">
        <x:v>EWR</x:v>
      </x:c>
      <x:c r="I1089" t="str">
        <x:v>DEN</x:v>
      </x:c>
      <x:c r="J1089" s="23" t="n">
        <x:v>9572</x:v>
      </x:c>
      <x:c r="K1089" s="24" t="n">
        <x:v>0.23464270789803593</x:v>
      </x:c>
      <x:c r="L1089" s="24" t="n">
        <x:v>0.019954032595068952</x:v>
      </x:c>
    </x:row>
    <x:row r="1090">
      <x:c r="G1090" t="str">
        <x:v>JAX-DCA</x:v>
      </x:c>
      <x:c r="H1090" t="str">
        <x:v>JAX</x:v>
      </x:c>
      <x:c r="I1090" t="str">
        <x:v>DCA</x:v>
      </x:c>
      <x:c r="J1090" s="23" t="n">
        <x:v>4476</x:v>
      </x:c>
      <x:c r="K1090" s="24" t="n">
        <x:v>0.23458445040214476</x:v>
      </x:c>
      <x:c r="L1090" s="24" t="n">
        <x:v>0.017873100983020553</x:v>
      </x:c>
    </x:row>
    <x:row r="1091">
      <x:c r="G1091" t="str">
        <x:v>ORD-BOI</x:v>
      </x:c>
      <x:c r="H1091" t="str">
        <x:v>ORD</x:v>
      </x:c>
      <x:c r="I1091" t="str">
        <x:v>BOI</x:v>
      </x:c>
      <x:c r="J1091" s="23" t="n">
        <x:v>1961</x:v>
      </x:c>
      <x:c r="K1091" s="24" t="n">
        <x:v>0.2345741968383478</x:v>
      </x:c>
      <x:c r="L1091" s="24" t="n">
        <x:v>0.006629270780214177</x:v>
      </x:c>
    </x:row>
    <x:row r="1092">
      <x:c r="G1092" t="str">
        <x:v>MCO-CLT</x:v>
      </x:c>
      <x:c r="H1092" t="str">
        <x:v>MCO</x:v>
      </x:c>
      <x:c r="I1092" t="str">
        <x:v>CLT</x:v>
      </x:c>
      <x:c r="J1092" s="23" t="n">
        <x:v>15911</x:v>
      </x:c>
      <x:c r="K1092" s="24" t="n">
        <x:v>0.23442901137577776</x:v>
      </x:c>
      <x:c r="L1092" s="24" t="n">
        <x:v>0.013638363396392433</x:v>
      </x:c>
    </x:row>
    <x:row r="1093">
      <x:c r="G1093" t="str">
        <x:v>MDW-TPA</x:v>
      </x:c>
      <x:c r="H1093" t="str">
        <x:v>MDW</x:v>
      </x:c>
      <x:c r="I1093" t="str">
        <x:v>TPA</x:v>
      </x:c>
      <x:c r="J1093" s="23" t="n">
        <x:v>5473</x:v>
      </x:c>
      <x:c r="K1093" s="24" t="n">
        <x:v>0.23442353371094463</x:v>
      </x:c>
      <x:c r="L1093" s="24" t="n">
        <x:v>0.01827151470856934</x:v>
      </x:c>
    </x:row>
    <x:row r="1094">
      <x:c r="G1094" t="str">
        <x:v>BNA-RSW</x:v>
      </x:c>
      <x:c r="H1094" t="str">
        <x:v>BNA</x:v>
      </x:c>
      <x:c r="I1094" t="str">
        <x:v>RSW</x:v>
      </x:c>
      <x:c r="J1094" s="23" t="n">
        <x:v>1762</x:v>
      </x:c>
      <x:c r="K1094" s="24" t="n">
        <x:v>0.23439273552780931</x:v>
      </x:c>
      <x:c r="L1094" s="24" t="n">
        <x:v>0.009080590238365494</x:v>
      </x:c>
    </x:row>
    <x:row r="1095">
      <x:c r="G1095" t="str">
        <x:v>ORD-TUL</x:v>
      </x:c>
      <x:c r="H1095" t="str">
        <x:v>ORD</x:v>
      </x:c>
      <x:c r="I1095" t="str">
        <x:v>TUL</x:v>
      </x:c>
      <x:c r="J1095" s="23" t="n">
        <x:v>4976</x:v>
      </x:c>
      <x:c r="K1095" s="24" t="n">
        <x:v>0.23432475884244372</x:v>
      </x:c>
      <x:c r="L1095" s="24" t="n">
        <x:v>0.011254019292604502</x:v>
      </x:c>
    </x:row>
    <x:row r="1096">
      <x:c r="G1096" t="str">
        <x:v>MSY-SFO</x:v>
      </x:c>
      <x:c r="H1096" t="str">
        <x:v>MSY</x:v>
      </x:c>
      <x:c r="I1096" t="str">
        <x:v>SFO</x:v>
      </x:c>
      <x:c r="J1096" s="23" t="n">
        <x:v>1515</x:v>
      </x:c>
      <x:c r="K1096" s="24" t="n">
        <x:v>0.23432343234323433</x:v>
      </x:c>
      <x:c r="L1096" s="24" t="n">
        <x:v>0.010561056105610561</x:v>
      </x:c>
    </x:row>
    <x:row r="1097">
      <x:c r="G1097" t="str">
        <x:v>JFK-DFW</x:v>
      </x:c>
      <x:c r="H1097" t="str">
        <x:v>JFK</x:v>
      </x:c>
      <x:c r="I1097" t="str">
        <x:v>DFW</x:v>
      </x:c>
      <x:c r="J1097" s="23" t="n">
        <x:v>5941</x:v>
      </x:c>
      <x:c r="K1097" s="24" t="n">
        <x:v>0.23430398922740278</x:v>
      </x:c>
      <x:c r="L1097" s="24" t="n">
        <x:v>0.01918868877293385</x:v>
      </x:c>
    </x:row>
    <x:row r="1098">
      <x:c r="G1098" t="str">
        <x:v>DTW-DFW</x:v>
      </x:c>
      <x:c r="H1098" t="str">
        <x:v>DTW</x:v>
      </x:c>
      <x:c r="I1098" t="str">
        <x:v>DFW</x:v>
      </x:c>
      <x:c r="J1098" s="23" t="n">
        <x:v>10892</x:v>
      </x:c>
      <x:c r="K1098" s="24" t="n">
        <x:v>0.23430040396621374</x:v>
      </x:c>
      <x:c r="L1098" s="24" t="n">
        <x:v>0.015424164524421594</x:v>
      </x:c>
    </x:row>
    <x:row r="1099">
      <x:c r="G1099" t="str">
        <x:v>CHS-DEN</x:v>
      </x:c>
      <x:c r="H1099" t="str">
        <x:v>CHS</x:v>
      </x:c>
      <x:c r="I1099" t="str">
        <x:v>DEN</x:v>
      </x:c>
      <x:c r="J1099" s="23" t="n">
        <x:v>2070</x:v>
      </x:c>
      <x:c r="K1099" s="24" t="n">
        <x:v>0.23429951690821257</x:v>
      </x:c>
      <x:c r="L1099" s="24" t="n">
        <x:v>0.007729468599033816</x:v>
      </x:c>
    </x:row>
    <x:row r="1100">
      <x:c r="G1100" t="str">
        <x:v>BWI-LAX</x:v>
      </x:c>
      <x:c r="H1100" t="str">
        <x:v>BWI</x:v>
      </x:c>
      <x:c r="I1100" t="str">
        <x:v>LAX</x:v>
      </x:c>
      <x:c r="J1100" s="23" t="n">
        <x:v>5073</x:v>
      </x:c>
      <x:c r="K1100" s="24" t="n">
        <x:v>0.23418095801301006</x:v>
      </x:c>
      <x:c r="L1100" s="24" t="n">
        <x:v>0.011827321111768185</x:v>
      </x:c>
    </x:row>
    <x:row r="1101">
      <x:c r="G1101" t="str">
        <x:v>MSO-DEN</x:v>
      </x:c>
      <x:c r="H1101" t="str">
        <x:v>MSO</x:v>
      </x:c>
      <x:c r="I1101" t="str">
        <x:v>DEN</x:v>
      </x:c>
      <x:c r="J1101" s="23" t="n">
        <x:v>3412</x:v>
      </x:c>
      <x:c r="K1101" s="24" t="n">
        <x:v>0.23417350527549824</x:v>
      </x:c>
      <x:c r="L1101" s="24" t="n">
        <x:v>0.011723329425556858</x:v>
      </x:c>
    </x:row>
    <x:row r="1102">
      <x:c r="G1102" t="str">
        <x:v>EWR-MEM</x:v>
      </x:c>
      <x:c r="H1102" t="str">
        <x:v>EWR</x:v>
      </x:c>
      <x:c r="I1102" t="str">
        <x:v>MEM</x:v>
      </x:c>
      <x:c r="J1102" s="23" t="n">
        <x:v>1546</x:v>
      </x:c>
      <x:c r="K1102" s="24" t="n">
        <x:v>0.23415265200517466</x:v>
      </x:c>
      <x:c r="L1102" s="24" t="n">
        <x:v>0.050452781371280724</x:v>
      </x:c>
    </x:row>
    <x:row r="1103">
      <x:c r="G1103" t="str">
        <x:v>JFK-JAX</x:v>
      </x:c>
      <x:c r="H1103" t="str">
        <x:v>JFK</x:v>
      </x:c>
      <x:c r="I1103" t="str">
        <x:v>JAX</x:v>
      </x:c>
      <x:c r="J1103" s="23" t="n">
        <x:v>5155</x:v>
      </x:c>
      <x:c r="K1103" s="24" t="n">
        <x:v>0.2341416100872939</x:v>
      </x:c>
      <x:c r="L1103" s="24" t="n">
        <x:v>0.02967992240543162</x:v>
      </x:c>
    </x:row>
    <x:row r="1104">
      <x:c r="G1104" t="str">
        <x:v>GNV-DFW</x:v>
      </x:c>
      <x:c r="H1104" t="str">
        <x:v>GNV</x:v>
      </x:c>
      <x:c r="I1104" t="str">
        <x:v>DFW</x:v>
      </x:c>
      <x:c r="J1104" s="23" t="n">
        <x:v>1371</x:v>
      </x:c>
      <x:c r="K1104" s="24" t="n">
        <x:v>0.23413566739606126</x:v>
      </x:c>
      <x:c r="L1104" s="24" t="n">
        <x:v>0.01823486506199854</x:v>
      </x:c>
    </x:row>
    <x:row r="1105">
      <x:c r="G1105" t="str">
        <x:v>IAD-JFK</x:v>
      </x:c>
      <x:c r="H1105" t="str">
        <x:v>IAD</x:v>
      </x:c>
      <x:c r="I1105" t="str">
        <x:v>JFK</x:v>
      </x:c>
      <x:c r="J1105" s="23" t="n">
        <x:v>1803</x:v>
      </x:c>
      <x:c r="K1105" s="24" t="n">
        <x:v>0.23405435385468662</x:v>
      </x:c>
      <x:c r="L1105" s="24" t="n">
        <x:v>0.029395452024403773</x:v>
      </x:c>
    </x:row>
    <x:row r="1106">
      <x:c r="G1106" t="str">
        <x:v>CLT-LEX</x:v>
      </x:c>
      <x:c r="H1106" t="str">
        <x:v>CLT</x:v>
      </x:c>
      <x:c r="I1106" t="str">
        <x:v>LEX</x:v>
      </x:c>
      <x:c r="J1106" s="23" t="n">
        <x:v>5503</x:v>
      </x:c>
      <x:c r="K1106" s="24" t="n">
        <x:v>0.23405415228057425</x:v>
      </x:c>
      <x:c r="L1106" s="24" t="n">
        <x:v>0.0179901871706342</x:v>
      </x:c>
    </x:row>
    <x:row r="1107">
      <x:c r="G1107" t="str">
        <x:v>AUS-MIA</x:v>
      </x:c>
      <x:c r="H1107" t="str">
        <x:v>AUS</x:v>
      </x:c>
      <x:c r="I1107" t="str">
        <x:v>MIA</x:v>
      </x:c>
      <x:c r="J1107" s="23" t="n">
        <x:v>5645</x:v>
      </x:c>
      <x:c r="K1107" s="24" t="n">
        <x:v>0.23401240035429582</x:v>
      </x:c>
      <x:c r="L1107" s="24" t="n">
        <x:v>0.012223206377325066</x:v>
      </x:c>
    </x:row>
    <x:row r="1108">
      <x:c r="G1108" t="str">
        <x:v>MSY-DCA</x:v>
      </x:c>
      <x:c r="H1108" t="str">
        <x:v>MSY</x:v>
      </x:c>
      <x:c r="I1108" t="str">
        <x:v>DCA</x:v>
      </x:c>
      <x:c r="J1108" s="23" t="n">
        <x:v>5643</x:v>
      </x:c>
      <x:c r="K1108" s="24" t="n">
        <x:v>0.23391812865497075</x:v>
      </x:c>
      <x:c r="L1108" s="24" t="n">
        <x:v>0.020379230905546695</x:v>
      </x:c>
    </x:row>
    <x:row r="1109">
      <x:c r="G1109" t="str">
        <x:v>ORD-EYW</x:v>
      </x:c>
      <x:c r="H1109" t="str">
        <x:v>ORD</x:v>
      </x:c>
      <x:c r="I1109" t="str">
        <x:v>EYW</x:v>
      </x:c>
      <x:c r="J1109" s="23" t="n">
        <x:v>1150</x:v>
      </x:c>
      <x:c r="K1109" s="24" t="n">
        <x:v>0.23391304347826086</x:v>
      </x:c>
      <x:c r="L1109" s="24" t="n">
        <x:v>0.010434782608695653</x:v>
      </x:c>
    </x:row>
    <x:row r="1110">
      <x:c r="G1110" t="str">
        <x:v>FAR-DEN</x:v>
      </x:c>
      <x:c r="H1110" t="str">
        <x:v>FAR</x:v>
      </x:c>
      <x:c r="I1110" t="str">
        <x:v>DEN</x:v>
      </x:c>
      <x:c r="J1110" s="23" t="n">
        <x:v>4425</x:v>
      </x:c>
      <x:c r="K1110" s="24" t="n">
        <x:v>0.23389830508474577</x:v>
      </x:c>
      <x:c r="L1110" s="24" t="n">
        <x:v>0.018531073446327685</x:v>
      </x:c>
    </x:row>
    <x:row r="1111">
      <x:c r="G1111" t="str">
        <x:v>DEN-TYS</x:v>
      </x:c>
      <x:c r="H1111" t="str">
        <x:v>DEN</x:v>
      </x:c>
      <x:c r="I1111" t="str">
        <x:v>TYS</x:v>
      </x:c>
      <x:c r="J1111" s="23" t="n">
        <x:v>2805</x:v>
      </x:c>
      <x:c r="K1111" s="24" t="n">
        <x:v>0.2338680926916221</x:v>
      </x:c>
      <x:c r="L1111" s="24" t="n">
        <x:v>0.00570409982174688</x:v>
      </x:c>
    </x:row>
    <x:row r="1112">
      <x:c r="G1112" t="str">
        <x:v>DFW-DTW</x:v>
      </x:c>
      <x:c r="H1112" t="str">
        <x:v>DFW</x:v>
      </x:c>
      <x:c r="I1112" t="str">
        <x:v>DTW</x:v>
      </x:c>
      <x:c r="J1112" s="23" t="n">
        <x:v>10887</x:v>
      </x:c>
      <x:c r="K1112" s="24" t="n">
        <x:v>0.23367318820611738</x:v>
      </x:c>
      <x:c r="L1112" s="24" t="n">
        <x:v>0.014696426931202352</x:v>
      </x:c>
    </x:row>
    <x:row r="1113">
      <x:c r="G1113" t="str">
        <x:v>CHA-ORD</x:v>
      </x:c>
      <x:c r="H1113" t="str">
        <x:v>CHA</x:v>
      </x:c>
      <x:c r="I1113" t="str">
        <x:v>ORD</x:v>
      </x:c>
      <x:c r="J1113" s="23" t="n">
        <x:v>2598</x:v>
      </x:c>
      <x:c r="K1113" s="24" t="n">
        <x:v>0.23364126250962278</x:v>
      </x:c>
      <x:c r="L1113" s="24" t="n">
        <x:v>0.01770592763664357</x:v>
      </x:c>
    </x:row>
    <x:row r="1114">
      <x:c r="G1114" t="str">
        <x:v>BOS-JAX</x:v>
      </x:c>
      <x:c r="H1114" t="str">
        <x:v>BOS</x:v>
      </x:c>
      <x:c r="I1114" t="str">
        <x:v>JAX</x:v>
      </x:c>
      <x:c r="J1114" s="23" t="n">
        <x:v>4020</x:v>
      </x:c>
      <x:c r="K1114" s="24" t="n">
        <x:v>0.2335820895522388</x:v>
      </x:c>
      <x:c r="L1114" s="24" t="n">
        <x:v>0.014427860696517412</x:v>
      </x:c>
    </x:row>
    <x:row r="1115">
      <x:c r="G1115" t="str">
        <x:v>BQN-EWR</x:v>
      </x:c>
      <x:c r="H1115" t="str">
        <x:v>BQN</x:v>
      </x:c>
      <x:c r="I1115" t="str">
        <x:v>EWR</x:v>
      </x:c>
      <x:c r="J1115" s="23" t="n">
        <x:v>1096</x:v>
      </x:c>
      <x:c r="K1115" s="24" t="n">
        <x:v>0.23357664233576642</x:v>
      </x:c>
      <x:c r="L1115" s="24" t="n">
        <x:v>0.02737226277372263</x:v>
      </x:c>
    </x:row>
    <x:row r="1116">
      <x:c r="G1116" t="str">
        <x:v>BDL-TPA</x:v>
      </x:c>
      <x:c r="H1116" t="str">
        <x:v>BDL</x:v>
      </x:c>
      <x:c r="I1116" t="str">
        <x:v>TPA</x:v>
      </x:c>
      <x:c r="J1116" s="23" t="n">
        <x:v>2646</x:v>
      </x:c>
      <x:c r="K1116" s="24" t="n">
        <x:v>0.23356009070294784</x:v>
      </x:c>
      <x:c r="L1116" s="24" t="n">
        <x:v>0.013227513227513227</x:v>
      </x:c>
    </x:row>
    <x:row r="1117">
      <x:c r="G1117" t="str">
        <x:v>ORD-SEA</x:v>
      </x:c>
      <x:c r="H1117" t="str">
        <x:v>ORD</x:v>
      </x:c>
      <x:c r="I1117" t="str">
        <x:v>SEA</x:v>
      </x:c>
      <x:c r="J1117" s="23" t="n">
        <x:v>15352</x:v>
      </x:c>
      <x:c r="K1117" s="24" t="n">
        <x:v>0.23352006253256904</x:v>
      </x:c>
      <x:c r="L1117" s="24" t="n">
        <x:v>0.009445023449713392</x:v>
      </x:c>
    </x:row>
    <x:row r="1118">
      <x:c r="G1118" t="str">
        <x:v>BOS-SAN</x:v>
      </x:c>
      <x:c r="H1118" t="str">
        <x:v>BOS</x:v>
      </x:c>
      <x:c r="I1118" t="str">
        <x:v>SAN</x:v>
      </x:c>
      <x:c r="J1118" s="23" t="n">
        <x:v>4745</x:v>
      </x:c>
      <x:c r="K1118" s="24" t="n">
        <x:v>0.23350895679662803</x:v>
      </x:c>
      <x:c r="L1118" s="24" t="n">
        <x:v>0.005479452054794521</x:v>
      </x:c>
    </x:row>
    <x:row r="1119">
      <x:c r="G1119" t="str">
        <x:v>SEA-AUS</x:v>
      </x:c>
      <x:c r="H1119" t="str">
        <x:v>SEA</x:v>
      </x:c>
      <x:c r="I1119" t="str">
        <x:v>AUS</x:v>
      </x:c>
      <x:c r="J1119" s="23" t="n">
        <x:v>6096</x:v>
      </x:c>
      <x:c r="K1119" s="24" t="n">
        <x:v>0.23343175853018372</x:v>
      </x:c>
      <x:c r="L1119" s="24" t="n">
        <x:v>0.006561679790026247</x:v>
      </x:c>
    </x:row>
    <x:row r="1120">
      <x:c r="G1120" t="str">
        <x:v>PHL-JAX</x:v>
      </x:c>
      <x:c r="H1120" t="str">
        <x:v>PHL</x:v>
      </x:c>
      <x:c r="I1120" t="str">
        <x:v>JAX</x:v>
      </x:c>
      <x:c r="J1120" s="23" t="n">
        <x:v>4627</x:v>
      </x:c>
      <x:c r="K1120" s="24" t="n">
        <x:v>0.2334125783444997</x:v>
      </x:c>
      <x:c r="L1120" s="24" t="n">
        <x:v>0.01534471579857359</x:v>
      </x:c>
    </x:row>
    <x:row r="1121">
      <x:c r="G1121" t="str">
        <x:v>IAH-SFO</x:v>
      </x:c>
      <x:c r="H1121" t="str">
        <x:v>IAH</x:v>
      </x:c>
      <x:c r="I1121" t="str">
        <x:v>SFO</x:v>
      </x:c>
      <x:c r="J1121" s="23" t="n">
        <x:v>9715</x:v>
      </x:c>
      <x:c r="K1121" s="24" t="n">
        <x:v>0.23335048893463717</x:v>
      </x:c>
      <x:c r="L1121" s="24" t="n">
        <x:v>0.010705095213587236</x:v>
      </x:c>
    </x:row>
    <x:row r="1122">
      <x:c r="G1122" t="str">
        <x:v>EWR-BNA</x:v>
      </x:c>
      <x:c r="H1122" t="str">
        <x:v>EWR</x:v>
      </x:c>
      <x:c r="I1122" t="str">
        <x:v>BNA</x:v>
      </x:c>
      <x:c r="J1122" s="23" t="n">
        <x:v>6129</x:v>
      </x:c>
      <x:c r="K1122" s="24" t="n">
        <x:v>0.2333170174579866</x:v>
      </x:c>
      <x:c r="L1122" s="24" t="n">
        <x:v>0.025289606787404145</x:v>
      </x:c>
    </x:row>
    <x:row r="1123">
      <x:c r="G1123" t="str">
        <x:v>IAH-SEA</x:v>
      </x:c>
      <x:c r="H1123" t="str">
        <x:v>IAH</x:v>
      </x:c>
      <x:c r="I1123" t="str">
        <x:v>SEA</x:v>
      </x:c>
      <x:c r="J1123" s="23" t="n">
        <x:v>6258</x:v>
      </x:c>
      <x:c r="K1123" s="24" t="n">
        <x:v>0.23330137424097155</x:v>
      </x:c>
      <x:c r="L1123" s="24" t="n">
        <x:v>0.01278363694471077</x:v>
      </x:c>
    </x:row>
    <x:row r="1124">
      <x:c r="G1124" t="str">
        <x:v>MIA-SJU</x:v>
      </x:c>
      <x:c r="H1124" t="str">
        <x:v>MIA</x:v>
      </x:c>
      <x:c r="I1124" t="str">
        <x:v>SJU</x:v>
      </x:c>
      <x:c r="J1124" s="23" t="n">
        <x:v>8296</x:v>
      </x:c>
      <x:c r="K1124" s="24" t="n">
        <x:v>0.23312439729990356</x:v>
      </x:c>
      <x:c r="L1124" s="24" t="n">
        <x:v>0.006509161041465767</x:v>
      </x:c>
    </x:row>
    <x:row r="1125">
      <x:c r="G1125" t="str">
        <x:v>IND-FLL</x:v>
      </x:c>
      <x:c r="H1125" t="str">
        <x:v>IND</x:v>
      </x:c>
      <x:c r="I1125" t="str">
        <x:v>FLL</x:v>
      </x:c>
      <x:c r="J1125" s="23" t="n">
        <x:v>3089</x:v>
      </x:c>
      <x:c r="K1125" s="24" t="n">
        <x:v>0.23308514082227258</x:v>
      </x:c>
      <x:c r="L1125" s="24" t="n">
        <x:v>0.010359339592101004</x:v>
      </x:c>
    </x:row>
    <x:row r="1126">
      <x:c r="G1126" t="str">
        <x:v>ORD-LEX</x:v>
      </x:c>
      <x:c r="H1126" t="str">
        <x:v>ORD</x:v>
      </x:c>
      <x:c r="I1126" t="str">
        <x:v>LEX</x:v>
      </x:c>
      <x:c r="J1126" s="23" t="n">
        <x:v>4532</x:v>
      </x:c>
      <x:c r="K1126" s="24" t="n">
        <x:v>0.23300970873786409</x:v>
      </x:c>
      <x:c r="L1126" s="24" t="n">
        <x:v>0.014563106796116505</x:v>
      </x:c>
    </x:row>
    <x:row r="1127">
      <x:c r="G1127" t="str">
        <x:v>VPS-DCA</x:v>
      </x:c>
      <x:c r="H1127" t="str">
        <x:v>VPS</x:v>
      </x:c>
      <x:c r="I1127" t="str">
        <x:v>DCA</x:v>
      </x:c>
      <x:c r="J1127" s="23" t="n">
        <x:v>1206</x:v>
      </x:c>
      <x:c r="K1127" s="24" t="n">
        <x:v>0.2330016583747927</x:v>
      </x:c>
      <x:c r="L1127" s="24" t="n">
        <x:v>0.017412935323383085</x:v>
      </x:c>
    </x:row>
    <x:row r="1128">
      <x:c r="G1128" t="str">
        <x:v>DFW-IAD</x:v>
      </x:c>
      <x:c r="H1128" t="str">
        <x:v>DFW</x:v>
      </x:c>
      <x:c r="I1128" t="str">
        <x:v>IAD</x:v>
      </x:c>
      <x:c r="J1128" s="23" t="n">
        <x:v>5322</x:v>
      </x:c>
      <x:c r="K1128" s="24" t="n">
        <x:v>0.23299511461856445</x:v>
      </x:c>
      <x:c r="L1128" s="24" t="n">
        <x:v>0.01672303645246148</x:v>
      </x:c>
    </x:row>
    <x:row r="1129">
      <x:c r="G1129" t="str">
        <x:v>DFW-ASE</x:v>
      </x:c>
      <x:c r="H1129" t="str">
        <x:v>DFW</x:v>
      </x:c>
      <x:c r="I1129" t="str">
        <x:v>ASE</x:v>
      </x:c>
      <x:c r="J1129" s="23" t="n">
        <x:v>3361</x:v>
      </x:c>
      <x:c r="K1129" s="24" t="n">
        <x:v>0.232966379053853</x:v>
      </x:c>
      <x:c r="L1129" s="24" t="n">
        <x:v>0.03153823266884856</x:v>
      </x:c>
    </x:row>
    <x:row r="1130">
      <x:c r="G1130" t="str">
        <x:v>LAS-ONT</x:v>
      </x:c>
      <x:c r="H1130" t="str">
        <x:v>LAS</x:v>
      </x:c>
      <x:c r="I1130" t="str">
        <x:v>ONT</x:v>
      </x:c>
      <x:c r="J1130" s="23" t="n">
        <x:v>7985</x:v>
      </x:c>
      <x:c r="K1130" s="24" t="n">
        <x:v>0.2329367564182843</x:v>
      </x:c>
      <x:c r="L1130" s="24" t="n">
        <x:v>0.008515967438948028</x:v>
      </x:c>
    </x:row>
    <x:row r="1131">
      <x:c r="G1131" t="str">
        <x:v>DVL-DEN</x:v>
      </x:c>
      <x:c r="H1131" t="str">
        <x:v>DVL</x:v>
      </x:c>
      <x:c r="I1131" t="str">
        <x:v>DEN</x:v>
      </x:c>
      <x:c r="J1131" s="23" t="n">
        <x:v>1258</x:v>
      </x:c>
      <x:c r="K1131" s="24" t="n">
        <x:v>0.2329093799682035</x:v>
      </x:c>
      <x:c r="L1131" s="24" t="n">
        <x:v>0.03815580286168521</x:v>
      </x:c>
    </x:row>
    <x:row r="1132">
      <x:c r="G1132" t="str">
        <x:v>ORD-GRR</x:v>
      </x:c>
      <x:c r="H1132" t="str">
        <x:v>ORD</x:v>
      </x:c>
      <x:c r="I1132" t="str">
        <x:v>GRR</x:v>
      </x:c>
      <x:c r="J1132" s="23" t="n">
        <x:v>8610</x:v>
      </x:c>
      <x:c r="K1132" s="24" t="n">
        <x:v>0.23286875725900116</x:v>
      </x:c>
      <x:c r="L1132" s="24" t="n">
        <x:v>0.01707317073170732</x:v>
      </x:c>
    </x:row>
    <x:row r="1133">
      <x:c r="G1133" t="str">
        <x:v>JAX-DFW</x:v>
      </x:c>
      <x:c r="H1133" t="str">
        <x:v>JAX</x:v>
      </x:c>
      <x:c r="I1133" t="str">
        <x:v>DFW</x:v>
      </x:c>
      <x:c r="J1133" s="23" t="n">
        <x:v>5593</x:v>
      </x:c>
      <x:c r="K1133" s="24" t="n">
        <x:v>0.2327909887359199</x:v>
      </x:c>
      <x:c r="L1133" s="24" t="n">
        <x:v>0.023958519578043985</x:v>
      </x:c>
    </x:row>
    <x:row r="1134">
      <x:c r="G1134" t="str">
        <x:v>PHL-MDW</x:v>
      </x:c>
      <x:c r="H1134" t="str">
        <x:v>PHL</x:v>
      </x:c>
      <x:c r="I1134" t="str">
        <x:v>MDW</x:v>
      </x:c>
      <x:c r="J1134" s="23" t="n">
        <x:v>5095</x:v>
      </x:c>
      <x:c r="K1134" s="24" t="n">
        <x:v>0.23277723258096172</x:v>
      </x:c>
      <x:c r="L1134" s="24" t="n">
        <x:v>0.014327772325809618</x:v>
      </x:c>
    </x:row>
    <x:row r="1135">
      <x:c r="G1135" t="str">
        <x:v>ORD-CLE</x:v>
      </x:c>
      <x:c r="H1135" t="str">
        <x:v>ORD</x:v>
      </x:c>
      <x:c r="I1135" t="str">
        <x:v>CLE</x:v>
      </x:c>
      <x:c r="J1135" s="23" t="n">
        <x:v>10427</x:v>
      </x:c>
      <x:c r="K1135" s="24" t="n">
        <x:v>0.23276110098782007</x:v>
      </x:c>
      <x:c r="L1135" s="24" t="n">
        <x:v>0.017358780090150572</x:v>
      </x:c>
    </x:row>
    <x:row r="1136">
      <x:c r="G1136" t="str">
        <x:v>COS-DFW</x:v>
      </x:c>
      <x:c r="H1136" t="str">
        <x:v>COS</x:v>
      </x:c>
      <x:c r="I1136" t="str">
        <x:v>DFW</x:v>
      </x:c>
      <x:c r="J1136" s="23" t="n">
        <x:v>5783</x:v>
      </x:c>
      <x:c r="K1136" s="24" t="n">
        <x:v>0.23275116721424866</x:v>
      </x:c>
      <x:c r="L1136" s="24" t="n">
        <x:v>0.02126923742002421</x:v>
      </x:c>
    </x:row>
    <x:row r="1137">
      <x:c r="G1137" t="str">
        <x:v>ORD-SLC</x:v>
      </x:c>
      <x:c r="H1137" t="str">
        <x:v>ORD</x:v>
      </x:c>
      <x:c r="I1137" t="str">
        <x:v>SLC</x:v>
      </x:c>
      <x:c r="J1137" s="23" t="n">
        <x:v>8805</x:v>
      </x:c>
      <x:c r="K1137" s="24" t="n">
        <x:v>0.23270868824531515</x:v>
      </x:c>
      <x:c r="L1137" s="24" t="n">
        <x:v>0.008858603066439524</x:v>
      </x:c>
    </x:row>
    <x:row r="1138">
      <x:c r="G1138" t="str">
        <x:v>HOU-FLL</x:v>
      </x:c>
      <x:c r="H1138" t="str">
        <x:v>HOU</x:v>
      </x:c>
      <x:c r="I1138" t="str">
        <x:v>FLL</x:v>
      </x:c>
      <x:c r="J1138" s="23" t="n">
        <x:v>2875</x:v>
      </x:c>
      <x:c r="K1138" s="24" t="n">
        <x:v>0.23269565217391305</x:v>
      </x:c>
      <x:c r="L1138" s="24" t="n">
        <x:v>0.010782608695652174</x:v>
      </x:c>
    </x:row>
    <x:row r="1139">
      <x:c r="G1139" t="str">
        <x:v>CLT-CHA</x:v>
      </x:c>
      <x:c r="H1139" t="str">
        <x:v>CLT</x:v>
      </x:c>
      <x:c r="I1139" t="str">
        <x:v>CHA</x:v>
      </x:c>
      <x:c r="J1139" s="23" t="n">
        <x:v>2205</x:v>
      </x:c>
      <x:c r="K1139" s="24" t="n">
        <x:v>0.23265306122448978</x:v>
      </x:c>
      <x:c r="L1139" s="24" t="n">
        <x:v>0.014512471655328799</x:v>
      </x:c>
    </x:row>
    <x:row r="1140">
      <x:c r="G1140" t="str">
        <x:v>LAS-ELP</x:v>
      </x:c>
      <x:c r="H1140" t="str">
        <x:v>LAS</x:v>
      </x:c>
      <x:c r="I1140" t="str">
        <x:v>ELP</x:v>
      </x:c>
      <x:c r="J1140" s="23" t="n">
        <x:v>4015</x:v>
      </x:c>
      <x:c r="K1140" s="24" t="n">
        <x:v>0.23262764632627647</x:v>
      </x:c>
      <x:c r="L1140" s="24" t="n">
        <x:v>0.006475716064757161</x:v>
      </x:c>
    </x:row>
    <x:row r="1141">
      <x:c r="G1141" t="str">
        <x:v>MSP-SJC</x:v>
      </x:c>
      <x:c r="H1141" t="str">
        <x:v>MSP</x:v>
      </x:c>
      <x:c r="I1141" t="str">
        <x:v>SJC</x:v>
      </x:c>
      <x:c r="J1141" s="23" t="n">
        <x:v>1410</x:v>
      </x:c>
      <x:c r="K1141" s="24" t="n">
        <x:v>0.2326241134751773</x:v>
      </x:c>
      <x:c r="L1141" s="24" t="n">
        <x:v>0.006382978723404255</x:v>
      </x:c>
    </x:row>
    <x:row r="1142">
      <x:c r="G1142" t="str">
        <x:v>SLC-DEN</x:v>
      </x:c>
      <x:c r="H1142" t="str">
        <x:v>SLC</x:v>
      </x:c>
      <x:c r="I1142" t="str">
        <x:v>DEN</x:v>
      </x:c>
      <x:c r="J1142" s="23" t="n">
        <x:v>23576</x:v>
      </x:c>
      <x:c r="K1142" s="24" t="n">
        <x:v>0.23260943332202239</x:v>
      </x:c>
      <x:c r="L1142" s="24" t="n">
        <x:v>0.008780115371564303</x:v>
      </x:c>
    </x:row>
    <x:row r="1143">
      <x:c r="G1143" t="str">
        <x:v>EWR-IAH</x:v>
      </x:c>
      <x:c r="H1143" t="str">
        <x:v>EWR</x:v>
      </x:c>
      <x:c r="I1143" t="str">
        <x:v>IAH</x:v>
      </x:c>
      <x:c r="J1143" s="23" t="n">
        <x:v>11119</x:v>
      </x:c>
      <x:c r="K1143" s="24" t="n">
        <x:v>0.2325748718409929</x:v>
      </x:c>
      <x:c r="L1143" s="24" t="n">
        <x:v>0.019785951974098392</x:v>
      </x:c>
    </x:row>
    <x:row r="1144">
      <x:c r="G1144" t="str">
        <x:v>BWI-CLT</x:v>
      </x:c>
      <x:c r="H1144" t="str">
        <x:v>BWI</x:v>
      </x:c>
      <x:c r="I1144" t="str">
        <x:v>CLT</x:v>
      </x:c>
      <x:c r="J1144" s="23" t="n">
        <x:v>9116</x:v>
      </x:c>
      <x:c r="K1144" s="24" t="n">
        <x:v>0.23255813953488372</x:v>
      </x:c>
      <x:c r="L1144" s="24" t="n">
        <x:v>0.013273365511189118</x:v>
      </x:c>
    </x:row>
    <x:row r="1145">
      <x:c r="G1145" t="str">
        <x:v>BWI-RDU</x:v>
      </x:c>
      <x:c r="H1145" t="str">
        <x:v>BWI</x:v>
      </x:c>
      <x:c r="I1145" t="str">
        <x:v>RDU</x:v>
      </x:c>
      <x:c r="J1145" s="23" t="n">
        <x:v>5440</x:v>
      </x:c>
      <x:c r="K1145" s="24" t="n">
        <x:v>0.23253676470588236</x:v>
      </x:c>
      <x:c r="L1145" s="24" t="n">
        <x:v>0.009191176470588236</x:v>
      </x:c>
    </x:row>
    <x:row r="1146">
      <x:c r="G1146" t="str">
        <x:v>BWI-DEN</x:v>
      </x:c>
      <x:c r="H1146" t="str">
        <x:v>BWI</x:v>
      </x:c>
      <x:c r="I1146" t="str">
        <x:v>DEN</x:v>
      </x:c>
      <x:c r="J1146" s="23" t="n">
        <x:v>9127</x:v>
      </x:c>
      <x:c r="K1146" s="24" t="n">
        <x:v>0.2324969869617618</x:v>
      </x:c>
      <x:c r="L1146" s="24" t="n">
        <x:v>0.009532157335378547</x:v>
      </x:c>
    </x:row>
    <x:row r="1147">
      <x:c r="G1147" t="str">
        <x:v>DAL-LIT</x:v>
      </x:c>
      <x:c r="H1147" t="str">
        <x:v>DAL</x:v>
      </x:c>
      <x:c r="I1147" t="str">
        <x:v>LIT</x:v>
      </x:c>
      <x:c r="J1147" s="23" t="n">
        <x:v>3081</x:v>
      </x:c>
      <x:c r="K1147" s="24" t="n">
        <x:v>0.2323920804933463</x:v>
      </x:c>
      <x:c r="L1147" s="24" t="n">
        <x:v>0.008763388510223954</x:v>
      </x:c>
    </x:row>
    <x:row r="1148">
      <x:c r="G1148" t="str">
        <x:v>CVG-DFW</x:v>
      </x:c>
      <x:c r="H1148" t="str">
        <x:v>CVG</x:v>
      </x:c>
      <x:c r="I1148" t="str">
        <x:v>DFW</x:v>
      </x:c>
      <x:c r="J1148" s="23" t="n">
        <x:v>5444</x:v>
      </x:c>
      <x:c r="K1148" s="24" t="n">
        <x:v>0.23236590742101396</x:v>
      </x:c>
      <x:c r="L1148" s="24" t="n">
        <x:v>0.02185892725936811</x:v>
      </x:c>
    </x:row>
    <x:row r="1149">
      <x:c r="G1149" t="str">
        <x:v>RDM-SFO</x:v>
      </x:c>
      <x:c r="H1149" t="str">
        <x:v>RDM</x:v>
      </x:c>
      <x:c r="I1149" t="str">
        <x:v>SFO</x:v>
      </x:c>
      <x:c r="J1149" s="23" t="n">
        <x:v>3456</x:v>
      </x:c>
      <x:c r="K1149" s="24" t="n">
        <x:v>0.23234953703703703</x:v>
      </x:c>
      <x:c r="L1149" s="24" t="n">
        <x:v>0.014467592592592593</x:v>
      </x:c>
    </x:row>
    <x:row r="1150">
      <x:c r="G1150" t="str">
        <x:v>DFW-OGG</x:v>
      </x:c>
      <x:c r="H1150" t="str">
        <x:v>DFW</x:v>
      </x:c>
      <x:c r="I1150" t="str">
        <x:v>OGG</x:v>
      </x:c>
      <x:c r="J1150" s="23" t="n">
        <x:v>1240</x:v>
      </x:c>
      <x:c r="K1150" s="24" t="n">
        <x:v>0.23225806451612904</x:v>
      </x:c>
      <x:c r="L1150" s="24" t="n">
        <x:v>0.0024193548387096775</x:v>
      </x:c>
    </x:row>
    <x:row r="1151">
      <x:c r="G1151" t="str">
        <x:v>ORD-BZN</x:v>
      </x:c>
      <x:c r="H1151" t="str">
        <x:v>ORD</x:v>
      </x:c>
      <x:c r="I1151" t="str">
        <x:v>BZN</x:v>
      </x:c>
      <x:c r="J1151" s="23" t="n">
        <x:v>2731</x:v>
      </x:c>
      <x:c r="K1151" s="24" t="n">
        <x:v>0.23214939582570487</x:v>
      </x:c>
      <x:c r="L1151" s="24" t="n">
        <x:v>0.006224826071036251</x:v>
      </x:c>
    </x:row>
    <x:row r="1152">
      <x:c r="G1152" t="str">
        <x:v>BWI-TPA</x:v>
      </x:c>
      <x:c r="H1152" t="str">
        <x:v>BWI</x:v>
      </x:c>
      <x:c r="I1152" t="str">
        <x:v>TPA</x:v>
      </x:c>
      <x:c r="J1152" s="23" t="n">
        <x:v>9185</x:v>
      </x:c>
      <x:c r="K1152" s="24" t="n">
        <x:v>0.2321175830157866</x:v>
      </x:c>
      <x:c r="L1152" s="24" t="n">
        <x:v>0.01763745236799129</x:v>
      </x:c>
    </x:row>
    <x:row r="1153">
      <x:c r="G1153" t="str">
        <x:v>BUF-TPA</x:v>
      </x:c>
      <x:c r="H1153" t="str">
        <x:v>BUF</x:v>
      </x:c>
      <x:c r="I1153" t="str">
        <x:v>TPA</x:v>
      </x:c>
      <x:c r="J1153" s="23" t="n">
        <x:v>2448</x:v>
      </x:c>
      <x:c r="K1153" s="24" t="n">
        <x:v>0.23202614379084968</x:v>
      </x:c>
      <x:c r="L1153" s="24" t="n">
        <x:v>0.016748366013071895</x:v>
      </x:c>
    </x:row>
    <x:row r="1154">
      <x:c r="G1154" t="str">
        <x:v>SAN-DFW</x:v>
      </x:c>
      <x:c r="H1154" t="str">
        <x:v>SAN</x:v>
      </x:c>
      <x:c r="I1154" t="str">
        <x:v>DFW</x:v>
      </x:c>
      <x:c r="J1154" s="23" t="n">
        <x:v>10471</x:v>
      </x:c>
      <x:c r="K1154" s="24" t="n">
        <x:v>0.2319740234934581</x:v>
      </x:c>
      <x:c r="L1154" s="24" t="n">
        <x:v>0.021105911565275522</x:v>
      </x:c>
    </x:row>
    <x:row r="1155">
      <x:c r="G1155" t="str">
        <x:v>PHL-BGR</x:v>
      </x:c>
      <x:c r="H1155" t="str">
        <x:v>PHL</x:v>
      </x:c>
      <x:c r="I1155" t="str">
        <x:v>BGR</x:v>
      </x:c>
      <x:c r="J1155" s="23" t="n">
        <x:v>1522</x:v>
      </x:c>
      <x:c r="K1155" s="24" t="n">
        <x:v>0.23193166885676741</x:v>
      </x:c>
      <x:c r="L1155" s="24" t="n">
        <x:v>0.023653088042049936</x:v>
      </x:c>
    </x:row>
    <x:row r="1156">
      <x:c r="G1156" t="str">
        <x:v>SEA-RNO</x:v>
      </x:c>
      <x:c r="H1156" t="str">
        <x:v>SEA</x:v>
      </x:c>
      <x:c r="I1156" t="str">
        <x:v>RNO</x:v>
      </x:c>
      <x:c r="J1156" s="23" t="n">
        <x:v>2462</x:v>
      </x:c>
      <x:c r="K1156" s="24" t="n">
        <x:v>0.23192526401299757</x:v>
      </x:c>
      <x:c r="L1156" s="24" t="n">
        <x:v>0.008935824532900082</x:v>
      </x:c>
    </x:row>
    <x:row r="1157">
      <x:c r="G1157" t="str">
        <x:v>FLL-CLT</x:v>
      </x:c>
      <x:c r="H1157" t="str">
        <x:v>FLL</x:v>
      </x:c>
      <x:c r="I1157" t="str">
        <x:v>CLT</x:v>
      </x:c>
      <x:c r="J1157" s="23" t="n">
        <x:v>9862</x:v>
      </x:c>
      <x:c r="K1157" s="24" t="n">
        <x:v>0.23190022307848307</x:v>
      </x:c>
      <x:c r="L1157" s="24" t="n">
        <x:v>0.014500101399310485</x:v>
      </x:c>
    </x:row>
    <x:row r="1158">
      <x:c r="G1158" t="str">
        <x:v>PIE-AVL</x:v>
      </x:c>
      <x:c r="H1158" t="str">
        <x:v>PIE</x:v>
      </x:c>
      <x:c r="I1158" t="str">
        <x:v>AVL</x:v>
      </x:c>
      <x:c r="J1158" s="23" t="n">
        <x:v>1436</x:v>
      </x:c>
      <x:c r="K1158" s="24" t="n">
        <x:v>0.2318941504178273</x:v>
      </x:c>
      <x:c r="L1158" s="24" t="n">
        <x:v>0.016016713091922007</x:v>
      </x:c>
    </x:row>
    <x:row r="1159">
      <x:c r="G1159" t="str">
        <x:v>MCO-GRR</x:v>
      </x:c>
      <x:c r="H1159" t="str">
        <x:v>MCO</x:v>
      </x:c>
      <x:c r="I1159" t="str">
        <x:v>GRR</x:v>
      </x:c>
      <x:c r="J1159" s="23" t="n">
        <x:v>1268</x:v>
      </x:c>
      <x:c r="K1159" s="24" t="n">
        <x:v>0.23186119873817035</x:v>
      </x:c>
      <x:c r="L1159" s="24" t="n">
        <x:v>0.012618296529968454</x:v>
      </x:c>
    </x:row>
    <x:row r="1160">
      <x:c r="G1160" t="str">
        <x:v>LGA-OKC</x:v>
      </x:c>
      <x:c r="H1160" t="str">
        <x:v>LGA</x:v>
      </x:c>
      <x:c r="I1160" t="str">
        <x:v>OKC</x:v>
      </x:c>
      <x:c r="J1160" s="23" t="n">
        <x:v>2907</x:v>
      </x:c>
      <x:c r="K1160" s="24" t="n">
        <x:v>0.23185414516683867</x:v>
      </x:c>
      <x:c r="L1160" s="24" t="n">
        <x:v>0.0412796697626419</x:v>
      </x:c>
    </x:row>
    <x:row r="1161">
      <x:c r="G1161" t="str">
        <x:v>DEN-MSN</x:v>
      </x:c>
      <x:c r="H1161" t="str">
        <x:v>DEN</x:v>
      </x:c>
      <x:c r="I1161" t="str">
        <x:v>MSN</x:v>
      </x:c>
      <x:c r="J1161" s="23" t="n">
        <x:v>3224</x:v>
      </x:c>
      <x:c r="K1161" s="24" t="n">
        <x:v>0.2316997518610422</x:v>
      </x:c>
      <x:c r="L1161" s="24" t="n">
        <x:v>0.008374689826302729</x:v>
      </x:c>
    </x:row>
    <x:row r="1162">
      <x:c r="G1162" t="str">
        <x:v>BHM-DFW</x:v>
      </x:c>
      <x:c r="H1162" t="str">
        <x:v>BHM</x:v>
      </x:c>
      <x:c r="I1162" t="str">
        <x:v>DFW</x:v>
      </x:c>
      <x:c r="J1162" s="23" t="n">
        <x:v>6433</x:v>
      </x:c>
      <x:c r="K1162" s="24" t="n">
        <x:v>0.23161821856054718</x:v>
      </x:c>
      <x:c r="L1162" s="24" t="n">
        <x:v>0.020674646354733407</x:v>
      </x:c>
    </x:row>
    <x:row r="1163">
      <x:c r="G1163" t="str">
        <x:v>CLT-MDW</x:v>
      </x:c>
      <x:c r="H1163" t="str">
        <x:v>CLT</x:v>
      </x:c>
      <x:c r="I1163" t="str">
        <x:v>MDW</x:v>
      </x:c>
      <x:c r="J1163" s="23" t="n">
        <x:v>2379</x:v>
      </x:c>
      <x:c r="K1163" s="24" t="n">
        <x:v>0.2316099201345103</x:v>
      </x:c>
      <x:c r="L1163" s="24" t="n">
        <x:v>0.008827238335435058</x:v>
      </x:c>
    </x:row>
    <x:row r="1164">
      <x:c r="G1164" t="str">
        <x:v>BWI-CVG</x:v>
      </x:c>
      <x:c r="H1164" t="str">
        <x:v>BWI</x:v>
      </x:c>
      <x:c r="I1164" t="str">
        <x:v>CVG</x:v>
      </x:c>
      <x:c r="J1164" s="23" t="n">
        <x:v>2388</x:v>
      </x:c>
      <x:c r="K1164" s="24" t="n">
        <x:v>0.2315745393634841</x:v>
      </x:c>
      <x:c r="L1164" s="24" t="n">
        <x:v>0.006700167504187605</x:v>
      </x:c>
    </x:row>
    <x:row r="1165">
      <x:c r="G1165" t="str">
        <x:v>PIT-FLL</x:v>
      </x:c>
      <x:c r="H1165" t="str">
        <x:v>PIT</x:v>
      </x:c>
      <x:c r="I1165" t="str">
        <x:v>FLL</x:v>
      </x:c>
      <x:c r="J1165" s="23" t="n">
        <x:v>3131</x:v>
      </x:c>
      <x:c r="K1165" s="24" t="n">
        <x:v>0.23155541360587673</x:v>
      </x:c>
      <x:c r="L1165" s="24" t="n">
        <x:v>0.014372404982433726</x:v>
      </x:c>
    </x:row>
    <x:row r="1166">
      <x:c r="G1166" t="str">
        <x:v>PBI-ISP</x:v>
      </x:c>
      <x:c r="H1166" t="str">
        <x:v>PBI</x:v>
      </x:c>
      <x:c r="I1166" t="str">
        <x:v>ISP</x:v>
      </x:c>
      <x:c r="J1166" s="23" t="n">
        <x:v>3036</x:v>
      </x:c>
      <x:c r="K1166" s="24" t="n">
        <x:v>0.2315546772068511</x:v>
      </x:c>
      <x:c r="L1166" s="24" t="n">
        <x:v>0.011198945981554678</x:v>
      </x:c>
    </x:row>
    <x:row r="1167">
      <x:c r="G1167" t="str">
        <x:v>SEA-LAS</x:v>
      </x:c>
      <x:c r="H1167" t="str">
        <x:v>SEA</x:v>
      </x:c>
      <x:c r="I1167" t="str">
        <x:v>LAS</x:v>
      </x:c>
      <x:c r="J1167" s="23" t="n">
        <x:v>19366</x:v>
      </x:c>
      <x:c r="K1167" s="24" t="n">
        <x:v>0.2315398120417226</x:v>
      </x:c>
      <x:c r="L1167" s="24" t="n">
        <x:v>0.008468449860580398</x:v>
      </x:c>
    </x:row>
    <x:row r="1168">
      <x:c r="G1168" t="str">
        <x:v>TPA-MCI</x:v>
      </x:c>
      <x:c r="H1168" t="str">
        <x:v>TPA</x:v>
      </x:c>
      <x:c r="I1168" t="str">
        <x:v>MCI</x:v>
      </x:c>
      <x:c r="J1168" s="23" t="n">
        <x:v>1858</x:v>
      </x:c>
      <x:c r="K1168" s="24" t="n">
        <x:v>0.23143164693218515</x:v>
      </x:c>
      <x:c r="L1168" s="24" t="n">
        <x:v>0.013993541442411194</x:v>
      </x:c>
    </x:row>
    <x:row r="1169">
      <x:c r="G1169" t="str">
        <x:v>DTW-MIA</x:v>
      </x:c>
      <x:c r="H1169" t="str">
        <x:v>DTW</x:v>
      </x:c>
      <x:c r="I1169" t="str">
        <x:v>MIA</x:v>
      </x:c>
      <x:c r="J1169" s="23" t="n">
        <x:v>4972</x:v>
      </x:c>
      <x:c r="K1169" s="24" t="n">
        <x:v>0.23129525341914722</x:v>
      </x:c>
      <x:c r="L1169" s="24" t="n">
        <x:v>0.011263073209975865</x:v>
      </x:c>
    </x:row>
    <x:row r="1170">
      <x:c r="G1170" t="str">
        <x:v>CLT-SAV</x:v>
      </x:c>
      <x:c r="H1170" t="str">
        <x:v>CLT</x:v>
      </x:c>
      <x:c r="I1170" t="str">
        <x:v>SAV</x:v>
      </x:c>
      <x:c r="J1170" s="23" t="n">
        <x:v>7957</x:v>
      </x:c>
      <x:c r="K1170" s="24" t="n">
        <x:v>0.23124293075279628</x:v>
      </x:c>
      <x:c r="L1170" s="24" t="n">
        <x:v>0.013949981148674124</x:v>
      </x:c>
    </x:row>
    <x:row r="1171">
      <x:c r="G1171" t="str">
        <x:v>MDW-MCO</x:v>
      </x:c>
      <x:c r="H1171" t="str">
        <x:v>MDW</x:v>
      </x:c>
      <x:c r="I1171" t="str">
        <x:v>MCO</x:v>
      </x:c>
      <x:c r="J1171" s="23" t="n">
        <x:v>8832</x:v>
      </x:c>
      <x:c r="K1171" s="24" t="n">
        <x:v>0.23120471014492755</x:v>
      </x:c>
      <x:c r="L1171" s="24" t="n">
        <x:v>0.015398550724637682</x:v>
      </x:c>
    </x:row>
    <x:row r="1172">
      <x:c r="G1172" t="str">
        <x:v>XNA-DFW</x:v>
      </x:c>
      <x:c r="H1172" t="str">
        <x:v>XNA</x:v>
      </x:c>
      <x:c r="I1172" t="str">
        <x:v>DFW</x:v>
      </x:c>
      <x:c r="J1172" s="23" t="n">
        <x:v>9574</x:v>
      </x:c>
      <x:c r="K1172" s="24" t="n">
        <x:v>0.2311468560685189</x:v>
      </x:c>
      <x:c r="L1172" s="24" t="n">
        <x:v>0.01827867140171297</x:v>
      </x:c>
    </x:row>
    <x:row r="1173">
      <x:c r="G1173" t="str">
        <x:v>DEN-BIL</x:v>
      </x:c>
      <x:c r="H1173" t="str">
        <x:v>DEN</x:v>
      </x:c>
      <x:c r="I1173" t="str">
        <x:v>BIL</x:v>
      </x:c>
      <x:c r="J1173" s="23" t="n">
        <x:v>4206</x:v>
      </x:c>
      <x:c r="K1173" s="24" t="n">
        <x:v>0.23109843081312412</x:v>
      </x:c>
      <x:c r="L1173" s="24" t="n">
        <x:v>0.009747979077508321</x:v>
      </x:c>
    </x:row>
    <x:row r="1174">
      <x:c r="G1174" t="str">
        <x:v>SAN-BNA</x:v>
      </x:c>
      <x:c r="H1174" t="str">
        <x:v>SAN</x:v>
      </x:c>
      <x:c r="I1174" t="str">
        <x:v>BNA</x:v>
      </x:c>
      <x:c r="J1174" s="23" t="n">
        <x:v>2389</x:v>
      </x:c>
      <x:c r="K1174" s="24" t="n">
        <x:v>0.23105902051067392</x:v>
      </x:c>
      <x:c r="L1174" s="24" t="n">
        <x:v>0.006697362913352867</x:v>
      </x:c>
    </x:row>
    <x:row r="1175">
      <x:c r="G1175" t="str">
        <x:v>LAS-MDW</x:v>
      </x:c>
      <x:c r="H1175" t="str">
        <x:v>LAS</x:v>
      </x:c>
      <x:c r="I1175" t="str">
        <x:v>MDW</x:v>
      </x:c>
      <x:c r="J1175" s="23" t="n">
        <x:v>9028</x:v>
      </x:c>
      <x:c r="K1175" s="24" t="n">
        <x:v>0.23105892778023926</x:v>
      </x:c>
      <x:c r="L1175" s="24" t="n">
        <x:v>0.00974745237040319</x:v>
      </x:c>
    </x:row>
    <x:row r="1176">
      <x:c r="G1176" t="str">
        <x:v>BOS-MEM</x:v>
      </x:c>
      <x:c r="H1176" t="str">
        <x:v>BOS</x:v>
      </x:c>
      <x:c r="I1176" t="str">
        <x:v>MEM</x:v>
      </x:c>
      <x:c r="J1176" s="23" t="n">
        <x:v>1476</x:v>
      </x:c>
      <x:c r="K1176" s="24" t="n">
        <x:v>0.231029810298103</x:v>
      </x:c>
      <x:c r="L1176" s="24" t="n">
        <x:v>0.03929539295392954</x:v>
      </x:c>
    </x:row>
    <x:row r="1177">
      <x:c r="G1177" t="str">
        <x:v>SEA-CMH</x:v>
      </x:c>
      <x:c r="H1177" t="str">
        <x:v>SEA</x:v>
      </x:c>
      <x:c r="I1177" t="str">
        <x:v>CMH</x:v>
      </x:c>
      <x:c r="J1177" s="23" t="n">
        <x:v>1394</x:v>
      </x:c>
      <x:c r="K1177" s="24" t="n">
        <x:v>0.2309899569583931</x:v>
      </x:c>
      <x:c r="L1177" s="24" t="n">
        <x:v>0.00430416068866571</x:v>
      </x:c>
    </x:row>
    <x:row r="1178">
      <x:c r="G1178" t="str">
        <x:v>LAS-TUL</x:v>
      </x:c>
      <x:c r="H1178" t="str">
        <x:v>LAS</x:v>
      </x:c>
      <x:c r="I1178" t="str">
        <x:v>TUL</x:v>
      </x:c>
      <x:c r="J1178" s="23" t="n">
        <x:v>2087</x:v>
      </x:c>
      <x:c r="K1178" s="24" t="n">
        <x:v>0.23095352180162912</x:v>
      </x:c>
      <x:c r="L1178" s="24" t="n">
        <x:v>0.003833253473885961</x:v>
      </x:c>
    </x:row>
    <x:row r="1179">
      <x:c r="G1179" t="str">
        <x:v>ATL-SNA</x:v>
      </x:c>
      <x:c r="H1179" t="str">
        <x:v>ATL</x:v>
      </x:c>
      <x:c r="I1179" t="str">
        <x:v>SNA</x:v>
      </x:c>
      <x:c r="J1179" s="23" t="n">
        <x:v>3144</x:v>
      </x:c>
      <x:c r="K1179" s="24" t="n">
        <x:v>0.23091603053435114</x:v>
      </x:c>
      <x:c r="L1179" s="24" t="n">
        <x:v>0.006997455470737914</x:v>
      </x:c>
    </x:row>
    <x:row r="1180">
      <x:c r="G1180" t="str">
        <x:v>PHX-EWR</x:v>
      </x:c>
      <x:c r="H1180" t="str">
        <x:v>PHX</x:v>
      </x:c>
      <x:c r="I1180" t="str">
        <x:v>EWR</x:v>
      </x:c>
      <x:c r="J1180" s="23" t="n">
        <x:v>7856</x:v>
      </x:c>
      <x:c r="K1180" s="24" t="n">
        <x:v>0.23090631364562117</x:v>
      </x:c>
      <x:c r="L1180" s="24" t="n">
        <x:v>0.014129327902240326</x:v>
      </x:c>
    </x:row>
    <x:row r="1181">
      <x:c r="G1181" t="str">
        <x:v>SAN-HOU</x:v>
      </x:c>
      <x:c r="H1181" t="str">
        <x:v>SAN</x:v>
      </x:c>
      <x:c r="I1181" t="str">
        <x:v>HOU</x:v>
      </x:c>
      <x:c r="J1181" s="23" t="n">
        <x:v>2443</x:v>
      </x:c>
      <x:c r="K1181" s="24" t="n">
        <x:v>0.23086369218174377</x:v>
      </x:c>
      <x:c r="L1181" s="24" t="n">
        <x:v>0.007367990176013099</x:v>
      </x:c>
    </x:row>
    <x:row r="1182">
      <x:c r="G1182" t="str">
        <x:v>MDW-RSW</x:v>
      </x:c>
      <x:c r="H1182" t="str">
        <x:v>MDW</x:v>
      </x:c>
      <x:c r="I1182" t="str">
        <x:v>RSW</x:v>
      </x:c>
      <x:c r="J1182" s="23" t="n">
        <x:v>3509</x:v>
      </x:c>
      <x:c r="K1182" s="24" t="n">
        <x:v>0.23083499572527785</x:v>
      </x:c>
      <x:c r="L1182" s="24" t="n">
        <x:v>0.012539184952978056</x:v>
      </x:c>
    </x:row>
    <x:row r="1183">
      <x:c r="G1183" t="str">
        <x:v>EYW-EWR</x:v>
      </x:c>
      <x:c r="H1183" t="str">
        <x:v>EYW</x:v>
      </x:c>
      <x:c r="I1183" t="str">
        <x:v>EWR</x:v>
      </x:c>
      <x:c r="J1183" s="23" t="n">
        <x:v>1551</x:v>
      </x:c>
      <x:c r="K1183" s="24" t="n">
        <x:v>0.2308188265635074</x:v>
      </x:c>
      <x:c r="L1183" s="24" t="n">
        <x:v>0.029013539651837523</x:v>
      </x:c>
    </x:row>
    <x:row r="1184">
      <x:c r="G1184" t="str">
        <x:v>IAH-OKC</x:v>
      </x:c>
      <x:c r="H1184" t="str">
        <x:v>IAH</x:v>
      </x:c>
      <x:c r="I1184" t="str">
        <x:v>OKC</x:v>
      </x:c>
      <x:c r="J1184" s="23" t="n">
        <x:v>2903</x:v>
      </x:c>
      <x:c r="K1184" s="24" t="n">
        <x:v>0.23079572855666552</x:v>
      </x:c>
      <x:c r="L1184" s="24" t="n">
        <x:v>0.012056493282810886</x:v>
      </x:c>
    </x:row>
    <x:row r="1185">
      <x:c r="G1185" t="str">
        <x:v>TPA-MKE</x:v>
      </x:c>
      <x:c r="H1185" t="str">
        <x:v>TPA</x:v>
      </x:c>
      <x:c r="I1185" t="str">
        <x:v>MKE</x:v>
      </x:c>
      <x:c r="J1185" s="23" t="n">
        <x:v>1456</x:v>
      </x:c>
      <x:c r="K1185" s="24" t="n">
        <x:v>0.23076923076923078</x:v>
      </x:c>
      <x:c r="L1185" s="24" t="n">
        <x:v>0.019230769230769232</x:v>
      </x:c>
    </x:row>
    <x:row r="1186">
      <x:c r="G1186" t="str">
        <x:v>ORD-BNA</x:v>
      </x:c>
      <x:c r="H1186" t="str">
        <x:v>ORD</x:v>
      </x:c>
      <x:c r="I1186" t="str">
        <x:v>BNA</x:v>
      </x:c>
      <x:c r="J1186" s="23" t="n">
        <x:v>14330</x:v>
      </x:c>
      <x:c r="K1186" s="24" t="n">
        <x:v>0.23070481507327287</x:v>
      </x:c>
      <x:c r="L1186" s="24" t="n">
        <x:v>0.01374738311235171</x:v>
      </x:c>
    </x:row>
    <x:row r="1187">
      <x:c r="G1187" t="str">
        <x:v>HOU-MEM</x:v>
      </x:c>
      <x:c r="H1187" t="str">
        <x:v>HOU</x:v>
      </x:c>
      <x:c r="I1187" t="str">
        <x:v>MEM</x:v>
      </x:c>
      <x:c r="J1187" s="23" t="n">
        <x:v>1981</x:v>
      </x:c>
      <x:c r="K1187" s="24" t="n">
        <x:v>0.23069156991418477</x:v>
      </x:c>
      <x:c r="L1187" s="24" t="n">
        <x:v>0.008076728924785462</x:v>
      </x:c>
    </x:row>
    <x:row r="1188">
      <x:c r="G1188" t="str">
        <x:v>ATL-PHX</x:v>
      </x:c>
      <x:c r="H1188" t="str">
        <x:v>ATL</x:v>
      </x:c>
      <x:c r="I1188" t="str">
        <x:v>PHX</x:v>
      </x:c>
      <x:c r="J1188" s="23" t="n">
        <x:v>11104</x:v>
      </x:c>
      <x:c r="K1188" s="24" t="n">
        <x:v>0.23054755043227665</x:v>
      </x:c>
      <x:c r="L1188" s="24" t="n">
        <x:v>0.006394092219020173</x:v>
      </x:c>
    </x:row>
    <x:row r="1189">
      <x:c r="G1189" t="str">
        <x:v>ORD-CMH</x:v>
      </x:c>
      <x:c r="H1189" t="str">
        <x:v>ORD</x:v>
      </x:c>
      <x:c r="I1189" t="str">
        <x:v>CMH</x:v>
      </x:c>
      <x:c r="J1189" s="23" t="n">
        <x:v>10721</x:v>
      </x:c>
      <x:c r="K1189" s="24" t="n">
        <x:v>0.2304822311351553</x:v>
      </x:c>
      <x:c r="L1189" s="24" t="n">
        <x:v>0.011006435966794143</x:v>
      </x:c>
    </x:row>
    <x:row r="1190">
      <x:c r="G1190" t="str">
        <x:v>SHV-IAH</x:v>
      </x:c>
      <x:c r="H1190" t="str">
        <x:v>SHV</x:v>
      </x:c>
      <x:c r="I1190" t="str">
        <x:v>IAH</x:v>
      </x:c>
      <x:c r="J1190" s="23" t="n">
        <x:v>1202</x:v>
      </x:c>
      <x:c r="K1190" s="24" t="n">
        <x:v>0.23044925124792012</x:v>
      </x:c>
      <x:c r="L1190" s="24" t="n">
        <x:v>0.018302828618968387</x:v>
      </x:c>
    </x:row>
    <x:row r="1191">
      <x:c r="G1191" t="str">
        <x:v>EWR-PDX</x:v>
      </x:c>
      <x:c r="H1191" t="str">
        <x:v>EWR</x:v>
      </x:c>
      <x:c r="I1191" t="str">
        <x:v>PDX</x:v>
      </x:c>
      <x:c r="J1191" s="23" t="n">
        <x:v>2530</x:v>
      </x:c>
      <x:c r="K1191" s="24" t="n">
        <x:v>0.23043478260869565</x:v>
      </x:c>
      <x:c r="L1191" s="24" t="n">
        <x:v>0.01699604743083004</x:v>
      </x:c>
    </x:row>
    <x:row r="1192">
      <x:c r="G1192" t="str">
        <x:v>TPA-PHL</x:v>
      </x:c>
      <x:c r="H1192" t="str">
        <x:v>TPA</x:v>
      </x:c>
      <x:c r="I1192" t="str">
        <x:v>PHL</x:v>
      </x:c>
      <x:c r="J1192" s="23" t="n">
        <x:v>7739</x:v>
      </x:c>
      <x:c r="K1192" s="24" t="n">
        <x:v>0.23039152345264247</x:v>
      </x:c>
      <x:c r="L1192" s="24" t="n">
        <x:v>0.01834862385321101</x:v>
      </x:c>
    </x:row>
    <x:row r="1193">
      <x:c r="G1193" t="str">
        <x:v>CLE-DFW</x:v>
      </x:c>
      <x:c r="H1193" t="str">
        <x:v>CLE</x:v>
      </x:c>
      <x:c r="I1193" t="str">
        <x:v>DFW</x:v>
      </x:c>
      <x:c r="J1193" s="23" t="n">
        <x:v>5218</x:v>
      </x:c>
      <x:c r="K1193" s="24" t="n">
        <x:v>0.23035645841318514</x:v>
      </x:c>
      <x:c r="L1193" s="24" t="n">
        <x:v>0.020314296665389038</x:v>
      </x:c>
    </x:row>
    <x:row r="1194">
      <x:c r="G1194" t="str">
        <x:v>AVL-CLT</x:v>
      </x:c>
      <x:c r="H1194" t="str">
        <x:v>AVL</x:v>
      </x:c>
      <x:c r="I1194" t="str">
        <x:v>CLT</x:v>
      </x:c>
      <x:c r="J1194" s="23" t="n">
        <x:v>5701</x:v>
      </x:c>
      <x:c r="K1194" s="24" t="n">
        <x:v>0.23031047184704437</x:v>
      </x:c>
      <x:c r="L1194" s="24" t="n">
        <x:v>0.022452201368181022</x:v>
      </x:c>
    </x:row>
    <x:row r="1195">
      <x:c r="G1195" t="str">
        <x:v>IAH-TUL</x:v>
      </x:c>
      <x:c r="H1195" t="str">
        <x:v>IAH</x:v>
      </x:c>
      <x:c r="I1195" t="str">
        <x:v>TUL</x:v>
      </x:c>
      <x:c r="J1195" s="23" t="n">
        <x:v>1989</x:v>
      </x:c>
      <x:c r="K1195" s="24" t="n">
        <x:v>0.2302664655605832</x:v>
      </x:c>
      <x:c r="L1195" s="24" t="n">
        <x:v>0.010055304172951232</x:v>
      </x:c>
    </x:row>
    <x:row r="1196">
      <x:c r="G1196" t="str">
        <x:v>DCA-PBI</x:v>
      </x:c>
      <x:c r="H1196" t="str">
        <x:v>DCA</x:v>
      </x:c>
      <x:c r="I1196" t="str">
        <x:v>PBI</x:v>
      </x:c>
      <x:c r="J1196" s="23" t="n">
        <x:v>5108</x:v>
      </x:c>
      <x:c r="K1196" s="24" t="n">
        <x:v>0.23022709475332812</x:v>
      </x:c>
      <x:c r="L1196" s="24" t="n">
        <x:v>0.014291307752545028</x:v>
      </x:c>
    </x:row>
    <x:row r="1197">
      <x:c r="G1197" t="str">
        <x:v>PVD-MCO</x:v>
      </x:c>
      <x:c r="H1197" t="str">
        <x:v>PVD</x:v>
      </x:c>
      <x:c r="I1197" t="str">
        <x:v>MCO</x:v>
      </x:c>
      <x:c r="J1197" s="23" t="n">
        <x:v>4778</x:v>
      </x:c>
      <x:c r="K1197" s="24" t="n">
        <x:v>0.23022185014650481</x:v>
      </x:c>
      <x:c r="L1197" s="24" t="n">
        <x:v>0.010464629552113856</x:v>
      </x:c>
    </x:row>
    <x:row r="1198">
      <x:c r="G1198" t="str">
        <x:v>PVD-TPA</x:v>
      </x:c>
      <x:c r="H1198" t="str">
        <x:v>PVD</x:v>
      </x:c>
      <x:c r="I1198" t="str">
        <x:v>TPA</x:v>
      </x:c>
      <x:c r="J1198" s="23" t="n">
        <x:v>1629</x:v>
      </x:c>
      <x:c r="K1198" s="24" t="n">
        <x:v>0.2302025782688766</x:v>
      </x:c>
      <x:c r="L1198" s="24" t="n">
        <x:v>0.009821976672805401</x:v>
      </x:c>
    </x:row>
    <x:row r="1199">
      <x:c r="G1199" t="str">
        <x:v>CLT-PHX</x:v>
      </x:c>
      <x:c r="H1199" t="str">
        <x:v>CLT</x:v>
      </x:c>
      <x:c r="I1199" t="str">
        <x:v>PHX</x:v>
      </x:c>
      <x:c r="J1199" s="23" t="n">
        <x:v>8524</x:v>
      </x:c>
      <x:c r="K1199" s="24" t="n">
        <x:v>0.23017362740497418</x:v>
      </x:c>
      <x:c r="L1199" s="24" t="n">
        <x:v>0.004809948381041765</x:v>
      </x:c>
    </x:row>
    <x:row r="1200">
      <x:c r="G1200" t="str">
        <x:v>MSP-EWR</x:v>
      </x:c>
      <x:c r="H1200" t="str">
        <x:v>MSP</x:v>
      </x:c>
      <x:c r="I1200" t="str">
        <x:v>EWR</x:v>
      </x:c>
      <x:c r="J1200" s="23" t="n">
        <x:v>6791</x:v>
      </x:c>
      <x:c r="K1200" s="24" t="n">
        <x:v>0.23015756147842734</x:v>
      </x:c>
      <x:c r="L1200" s="24" t="n">
        <x:v>0.02091002797820645</x:v>
      </x:c>
    </x:row>
    <x:row r="1201">
      <x:c r="G1201" t="str">
        <x:v>DTW-BHM</x:v>
      </x:c>
      <x:c r="H1201" t="str">
        <x:v>DTW</x:v>
      </x:c>
      <x:c r="I1201" t="str">
        <x:v>BHM</x:v>
      </x:c>
      <x:c r="J1201" s="23" t="n">
        <x:v>1221</x:v>
      </x:c>
      <x:c r="K1201" s="24" t="n">
        <x:v>0.23013923013923013</x:v>
      </x:c>
      <x:c r="L1201" s="24" t="n">
        <x:v>0.004095004095004095</x:v>
      </x:c>
    </x:row>
    <x:row r="1202">
      <x:c r="G1202" t="str">
        <x:v>MCO-ALB</x:v>
      </x:c>
      <x:c r="H1202" t="str">
        <x:v>MCO</x:v>
      </x:c>
      <x:c r="I1202" t="str">
        <x:v>ALB</x:v>
      </x:c>
      <x:c r="J1202" s="23" t="n">
        <x:v>3116</x:v>
      </x:c>
      <x:c r="K1202" s="24" t="n">
        <x:v>0.23010269576379974</x:v>
      </x:c>
      <x:c r="L1202" s="24" t="n">
        <x:v>0.00994865211810013</x:v>
      </x:c>
    </x:row>
    <x:row r="1203">
      <x:c r="G1203" t="str">
        <x:v>BOS-SFO</x:v>
      </x:c>
      <x:c r="H1203" t="str">
        <x:v>BOS</x:v>
      </x:c>
      <x:c r="I1203" t="str">
        <x:v>SFO</x:v>
      </x:c>
      <x:c r="J1203" s="23" t="n">
        <x:v>13677</x:v>
      </x:c>
      <x:c r="K1203" s="24" t="n">
        <x:v>0.23009431892958981</x:v>
      </x:c>
      <x:c r="L1203" s="24" t="n">
        <x:v>0.00877385391533231</x:v>
      </x:c>
    </x:row>
    <x:row r="1204">
      <x:c r="G1204" t="str">
        <x:v>ORD-MDT</x:v>
      </x:c>
      <x:c r="H1204" t="str">
        <x:v>ORD</x:v>
      </x:c>
      <x:c r="I1204" t="str">
        <x:v>MDT</x:v>
      </x:c>
      <x:c r="J1204" s="23" t="n">
        <x:v>3399</x:v>
      </x:c>
      <x:c r="K1204" s="24" t="n">
        <x:v>0.23006766696087083</x:v>
      </x:c>
      <x:c r="L1204" s="24" t="n">
        <x:v>0.012650779641070904</x:v>
      </x:c>
    </x:row>
    <x:row r="1205">
      <x:c r="G1205" t="str">
        <x:v>JFK-DTW</x:v>
      </x:c>
      <x:c r="H1205" t="str">
        <x:v>JFK</x:v>
      </x:c>
      <x:c r="I1205" t="str">
        <x:v>DTW</x:v>
      </x:c>
      <x:c r="J1205" s="23" t="n">
        <x:v>5264</x:v>
      </x:c>
      <x:c r="K1205" s="24" t="n">
        <x:v>0.2300531914893617</x:v>
      </x:c>
      <x:c r="L1205" s="24" t="n">
        <x:v>0.021466565349544074</x:v>
      </x:c>
    </x:row>
    <x:row r="1206">
      <x:c r="G1206" t="str">
        <x:v>DEN-MSP</x:v>
      </x:c>
      <x:c r="H1206" t="str">
        <x:v>DEN</x:v>
      </x:c>
      <x:c r="I1206" t="str">
        <x:v>MSP</x:v>
      </x:c>
      <x:c r="J1206" s="23" t="n">
        <x:v>18459</x:v>
      </x:c>
      <x:c r="K1206" s="24" t="n">
        <x:v>0.23002329486971126</x:v>
      </x:c>
      <x:c r="L1206" s="24" t="n">
        <x:v>0.009317947884500785</x:v>
      </x:c>
    </x:row>
    <x:row r="1207">
      <x:c r="G1207" t="str">
        <x:v>DFW-MSP</x:v>
      </x:c>
      <x:c r="H1207" t="str">
        <x:v>DFW</x:v>
      </x:c>
      <x:c r="I1207" t="str">
        <x:v>MSP</x:v>
      </x:c>
      <x:c r="J1207" s="23" t="n">
        <x:v>9522</x:v>
      </x:c>
      <x:c r="K1207" s="24" t="n">
        <x:v>0.22999369880277254</x:v>
      </x:c>
      <x:c r="L1207" s="24" t="n">
        <x:v>0.016593152699012813</x:v>
      </x:c>
    </x:row>
    <x:row r="1208">
      <x:c r="G1208" t="str">
        <x:v>BNA-EWR</x:v>
      </x:c>
      <x:c r="H1208" t="str">
        <x:v>BNA</x:v>
      </x:c>
      <x:c r="I1208" t="str">
        <x:v>EWR</x:v>
      </x:c>
      <x:c r="J1208" s="23" t="n">
        <x:v>6131</x:v>
      </x:c>
      <x:c r="K1208" s="24" t="n">
        <x:v>0.22997879628119394</x:v>
      </x:c>
      <x:c r="L1208" s="24" t="n">
        <x:v>0.030337628445604305</x:v>
      </x:c>
    </x:row>
    <x:row r="1209">
      <x:c r="G1209" t="str">
        <x:v>ORD-SCE</x:v>
      </x:c>
      <x:c r="H1209" t="str">
        <x:v>ORD</x:v>
      </x:c>
      <x:c r="I1209" t="str">
        <x:v>SCE</x:v>
      </x:c>
      <x:c r="J1209" s="23" t="n">
        <x:v>2009</x:v>
      </x:c>
      <x:c r="K1209" s="24" t="n">
        <x:v>0.22996515679442509</x:v>
      </x:c>
      <x:c r="L1209" s="24" t="n">
        <x:v>0.013937282229965157</x:v>
      </x:c>
    </x:row>
    <x:row r="1210">
      <x:c r="G1210" t="str">
        <x:v>MDW-SLC</x:v>
      </x:c>
      <x:c r="H1210" t="str">
        <x:v>MDW</x:v>
      </x:c>
      <x:c r="I1210" t="str">
        <x:v>SLC</x:v>
      </x:c>
      <x:c r="J1210" s="23" t="n">
        <x:v>2009</x:v>
      </x:c>
      <x:c r="K1210" s="24" t="n">
        <x:v>0.22996515679442509</x:v>
      </x:c>
      <x:c r="L1210" s="24" t="n">
        <x:v>0.010950721752115481</x:v>
      </x:c>
    </x:row>
    <x:row r="1211">
      <x:c r="G1211" t="str">
        <x:v>TYS-ORD</x:v>
      </x:c>
      <x:c r="H1211" t="str">
        <x:v>TYS</x:v>
      </x:c>
      <x:c r="I1211" t="str">
        <x:v>ORD</x:v>
      </x:c>
      <x:c r="J1211" s="23" t="n">
        <x:v>5258</x:v>
      </x:c>
      <x:c r="K1211" s="24" t="n">
        <x:v>0.2299353366298973</x:v>
      </x:c>
      <x:c r="L1211" s="24" t="n">
        <x:v>0.016546215290985166</x:v>
      </x:c>
    </x:row>
    <x:row r="1212">
      <x:c r="G1212" t="str">
        <x:v>LEX-ORD</x:v>
      </x:c>
      <x:c r="H1212" t="str">
        <x:v>LEX</x:v>
      </x:c>
      <x:c r="I1212" t="str">
        <x:v>ORD</x:v>
      </x:c>
      <x:c r="J1212" s="23" t="n">
        <x:v>4532</x:v>
      </x:c>
      <x:c r="K1212" s="24" t="n">
        <x:v>0.22992056487202117</x:v>
      </x:c>
      <x:c r="L1212" s="24" t="n">
        <x:v>0.015225066195939982</x:v>
      </x:c>
    </x:row>
    <x:row r="1213">
      <x:c r="G1213" t="str">
        <x:v>DCA-ALB</x:v>
      </x:c>
      <x:c r="H1213" t="str">
        <x:v>DCA</x:v>
      </x:c>
      <x:c r="I1213" t="str">
        <x:v>ALB</x:v>
      </x:c>
      <x:c r="J1213" s="23" t="n">
        <x:v>3728</x:v>
      </x:c>
      <x:c r="K1213" s="24" t="n">
        <x:v>0.22988197424892703</x:v>
      </x:c>
      <x:c r="L1213" s="24" t="n">
        <x:v>0.04130901287553648</x:v>
      </x:c>
    </x:row>
    <x:row r="1214">
      <x:c r="G1214" t="str">
        <x:v>RDU-LGA</x:v>
      </x:c>
      <x:c r="H1214" t="str">
        <x:v>RDU</x:v>
      </x:c>
      <x:c r="I1214" t="str">
        <x:v>LGA</x:v>
      </x:c>
      <x:c r="J1214" s="23" t="n">
        <x:v>10934</x:v>
      </x:c>
      <x:c r="K1214" s="24" t="n">
        <x:v>0.22983354673495518</x:v>
      </x:c>
      <x:c r="L1214" s="24" t="n">
        <x:v>0.03201024327784891</x:v>
      </x:c>
    </x:row>
    <x:row r="1215">
      <x:c r="G1215" t="str">
        <x:v>BHM-MCO</x:v>
      </x:c>
      <x:c r="H1215" t="str">
        <x:v>BHM</x:v>
      </x:c>
      <x:c r="I1215" t="str">
        <x:v>MCO</x:v>
      </x:c>
      <x:c r="J1215" s="23" t="n">
        <x:v>2163</x:v>
      </x:c>
      <x:c r="K1215" s="24" t="n">
        <x:v>0.2297734627831715</x:v>
      </x:c>
      <x:c r="L1215" s="24" t="n">
        <x:v>0.006472491909385114</x:v>
      </x:c>
    </x:row>
    <x:row r="1216">
      <x:c r="G1216" t="str">
        <x:v>PHX-MCO</x:v>
      </x:c>
      <x:c r="H1216" t="str">
        <x:v>PHX</x:v>
      </x:c>
      <x:c r="I1216" t="str">
        <x:v>MCO</x:v>
      </x:c>
      <x:c r="J1216" s="23" t="n">
        <x:v>5167</x:v>
      </x:c>
      <x:c r="K1216" s="24" t="n">
        <x:v>0.22972711437971743</x:v>
      </x:c>
      <x:c r="L1216" s="24" t="n">
        <x:v>0.008515579640023224</x:v>
      </x:c>
    </x:row>
    <x:row r="1217">
      <x:c r="G1217" t="str">
        <x:v>MCO-IAH</x:v>
      </x:c>
      <x:c r="H1217" t="str">
        <x:v>MCO</x:v>
      </x:c>
      <x:c r="I1217" t="str">
        <x:v>IAH</x:v>
      </x:c>
      <x:c r="J1217" s="23" t="n">
        <x:v>11189</x:v>
      </x:c>
      <x:c r="K1217" s="24" t="n">
        <x:v>0.22968987398337654</x:v>
      </x:c>
      <x:c r="L1217" s="24" t="n">
        <x:v>0.013942264724282777</x:v>
      </x:c>
    </x:row>
    <x:row r="1218">
      <x:c r="G1218" t="str">
        <x:v>CMH-LAS</x:v>
      </x:c>
      <x:c r="H1218" t="str">
        <x:v>CMH</x:v>
      </x:c>
      <x:c r="I1218" t="str">
        <x:v>LAS</x:v>
      </x:c>
      <x:c r="J1218" s="23" t="n">
        <x:v>3135</x:v>
      </x:c>
      <x:c r="K1218" s="24" t="n">
        <x:v>0.22966507177033493</x:v>
      </x:c>
      <x:c r="L1218" s="24" t="n">
        <x:v>0.006060606060606061</x:v>
      </x:c>
    </x:row>
    <x:row r="1219">
      <x:c r="G1219" t="str">
        <x:v>PBI-HPN</x:v>
      </x:c>
      <x:c r="H1219" t="str">
        <x:v>PBI</x:v>
      </x:c>
      <x:c r="I1219" t="str">
        <x:v>HPN</x:v>
      </x:c>
      <x:c r="J1219" s="23" t="n">
        <x:v>5295</x:v>
      </x:c>
      <x:c r="K1219" s="24" t="n">
        <x:v>0.22965061378659113</x:v>
      </x:c>
      <x:c r="L1219" s="24" t="n">
        <x:v>0.013408876298394712</x:v>
      </x:c>
    </x:row>
    <x:row r="1220">
      <x:c r="G1220" t="str">
        <x:v>BUF-CLT</x:v>
      </x:c>
      <x:c r="H1220" t="str">
        <x:v>BUF</x:v>
      </x:c>
      <x:c r="I1220" t="str">
        <x:v>CLT</x:v>
      </x:c>
      <x:c r="J1220" s="23" t="n">
        <x:v>3519</x:v>
      </x:c>
      <x:c r="K1220" s="24" t="n">
        <x:v>0.2296106848536516</x:v>
      </x:c>
      <x:c r="L1220" s="24" t="n">
        <x:v>0.014492753623188406</x:v>
      </x:c>
    </x:row>
    <x:row r="1221">
      <x:c r="G1221" t="str">
        <x:v>AGS-DFW</x:v>
      </x:c>
      <x:c r="H1221" t="str">
        <x:v>AGS</x:v>
      </x:c>
      <x:c r="I1221" t="str">
        <x:v>DFW</x:v>
      </x:c>
      <x:c r="J1221" s="23" t="n">
        <x:v>1189</x:v>
      </x:c>
      <x:c r="K1221" s="24" t="n">
        <x:v>0.22960470984020184</x:v>
      </x:c>
      <x:c r="L1221" s="24" t="n">
        <x:v>0.021867115222876366</x:v>
      </x:c>
    </x:row>
    <x:row r="1222">
      <x:c r="G1222" t="str">
        <x:v>MSP-ORD</x:v>
      </x:c>
      <x:c r="H1222" t="str">
        <x:v>MSP</x:v>
      </x:c>
      <x:c r="I1222" t="str">
        <x:v>ORD</x:v>
      </x:c>
      <x:c r="J1222" s="23" t="n">
        <x:v>17127</x:v>
      </x:c>
      <x:c r="K1222" s="24" t="n">
        <x:v>0.22957902726688853</x:v>
      </x:c>
      <x:c r="L1222" s="24" t="n">
        <x:v>0.013253926548724237</x:v>
      </x:c>
    </x:row>
    <x:row r="1223">
      <x:c r="G1223" t="str">
        <x:v>DCA-GSO</x:v>
      </x:c>
      <x:c r="H1223" t="str">
        <x:v>DCA</x:v>
      </x:c>
      <x:c r="I1223" t="str">
        <x:v>GSO</x:v>
      </x:c>
      <x:c r="J1223" s="23" t="n">
        <x:v>2509</x:v>
      </x:c>
      <x:c r="K1223" s="24" t="n">
        <x:v>0.22957353527301713</x:v>
      </x:c>
      <x:c r="L1223" s="24" t="n">
        <x:v>0.03188521323236349</x:v>
      </x:c>
    </x:row>
    <x:row r="1224">
      <x:c r="G1224" t="str">
        <x:v>CVG-VPS</x:v>
      </x:c>
      <x:c r="H1224" t="str">
        <x:v>CVG</x:v>
      </x:c>
      <x:c r="I1224" t="str">
        <x:v>VPS</x:v>
      </x:c>
      <x:c r="J1224" s="23" t="n">
        <x:v>1211</x:v>
      </x:c>
      <x:c r="K1224" s="24" t="n">
        <x:v>0.2295623451692816</x:v>
      </x:c>
      <x:c r="L1224" s="24" t="n">
        <x:v>0.00990916597853014</x:v>
      </x:c>
    </x:row>
    <x:row r="1225">
      <x:c r="G1225" t="str">
        <x:v>BOS-LAS</x:v>
      </x:c>
      <x:c r="H1225" t="str">
        <x:v>BOS</x:v>
      </x:c>
      <x:c r="I1225" t="str">
        <x:v>LAS</x:v>
      </x:c>
      <x:c r="J1225" s="23" t="n">
        <x:v>4884</x:v>
      </x:c>
      <x:c r="K1225" s="24" t="n">
        <x:v>0.22952497952497952</x:v>
      </x:c>
      <x:c r="L1225" s="24" t="n">
        <x:v>0.006347256347256347</x:v>
      </x:c>
    </x:row>
    <x:row r="1226">
      <x:c r="G1226" t="str">
        <x:v>BOS-MDW</x:v>
      </x:c>
      <x:c r="H1226" t="str">
        <x:v>BOS</x:v>
      </x:c>
      <x:c r="I1226" t="str">
        <x:v>MDW</x:v>
      </x:c>
      <x:c r="J1226" s="23" t="n">
        <x:v>4074</x:v>
      </x:c>
      <x:c r="K1226" s="24" t="n">
        <x:v>0.22950417280314186</x:v>
      </x:c>
      <x:c r="L1226" s="24" t="n">
        <x:v>0.013745704467353952</x:v>
      </x:c>
    </x:row>
    <x:row r="1227">
      <x:c r="G1227" t="str">
        <x:v>RNO-SEA</x:v>
      </x:c>
      <x:c r="H1227" t="str">
        <x:v>RNO</x:v>
      </x:c>
      <x:c r="I1227" t="str">
        <x:v>SEA</x:v>
      </x:c>
      <x:c r="J1227" s="23" t="n">
        <x:v>2462</x:v>
      </x:c>
      <x:c r="K1227" s="24" t="n">
        <x:v>0.22948822095857027</x:v>
      </x:c>
      <x:c r="L1227" s="24" t="n">
        <x:v>0.012997562956945572</x:v>
      </x:c>
    </x:row>
    <x:row r="1228">
      <x:c r="G1228" t="str">
        <x:v>PHX-LAS</x:v>
      </x:c>
      <x:c r="H1228" t="str">
        <x:v>PHX</x:v>
      </x:c>
      <x:c r="I1228" t="str">
        <x:v>LAS</x:v>
      </x:c>
      <x:c r="J1228" s="23" t="n">
        <x:v>20407</x:v>
      </x:c>
      <x:c r="K1228" s="24" t="n">
        <x:v>0.22943107757142156</x:v>
      </x:c>
      <x:c r="L1228" s="24" t="n">
        <x:v>0.008918508354976235</x:v>
      </x:c>
    </x:row>
    <x:row r="1229">
      <x:c r="G1229" t="str">
        <x:v>EWR-BUF</x:v>
      </x:c>
      <x:c r="H1229" t="str">
        <x:v>EWR</x:v>
      </x:c>
      <x:c r="I1229" t="str">
        <x:v>BUF</x:v>
      </x:c>
      <x:c r="J1229" s="23" t="n">
        <x:v>2315</x:v>
      </x:c>
      <x:c r="K1229" s="24" t="n">
        <x:v>0.22937365010799135</x:v>
      </x:c>
      <x:c r="L1229" s="24" t="n">
        <x:v>0.041900647948164144</x:v>
      </x:c>
    </x:row>
    <x:row r="1230">
      <x:c r="G1230" t="str">
        <x:v>MDW-BHM</x:v>
      </x:c>
      <x:c r="H1230" t="str">
        <x:v>MDW</x:v>
      </x:c>
      <x:c r="I1230" t="str">
        <x:v>BHM</x:v>
      </x:c>
      <x:c r="J1230" s="23" t="n">
        <x:v>1818</x:v>
      </x:c>
      <x:c r="K1230" s="24" t="n">
        <x:v>0.22937293729372937</x:v>
      </x:c>
      <x:c r="L1230" s="24" t="n">
        <x:v>0.009900990099009901</x:v>
      </x:c>
    </x:row>
    <x:row r="1231">
      <x:c r="G1231" t="str">
        <x:v>SUX-ORD</x:v>
      </x:c>
      <x:c r="H1231" t="str">
        <x:v>SUX</x:v>
      </x:c>
      <x:c r="I1231" t="str">
        <x:v>ORD</x:v>
      </x:c>
      <x:c r="J1231" s="23" t="n">
        <x:v>1090</x:v>
      </x:c>
      <x:c r="K1231" s="24" t="n">
        <x:v>0.22935779816513763</x:v>
      </x:c>
      <x:c r="L1231" s="24" t="n">
        <x:v>0.014678899082568808</x:v>
      </x:c>
    </x:row>
    <x:row r="1232">
      <x:c r="G1232" t="str">
        <x:v>DTW-AUS</x:v>
      </x:c>
      <x:c r="H1232" t="str">
        <x:v>DTW</x:v>
      </x:c>
      <x:c r="I1232" t="str">
        <x:v>AUS</x:v>
      </x:c>
      <x:c r="J1232" s="23" t="n">
        <x:v>4103</x:v>
      </x:c>
      <x:c r="K1232" s="24" t="n">
        <x:v>0.22934438215939557</x:v>
      </x:c>
      <x:c r="L1232" s="24" t="n">
        <x:v>0.007799171338045333</x:v>
      </x:c>
    </x:row>
    <x:row r="1233">
      <x:c r="G1233" t="str">
        <x:v>TPA-BHM</x:v>
      </x:c>
      <x:c r="H1233" t="str">
        <x:v>TPA</x:v>
      </x:c>
      <x:c r="I1233" t="str">
        <x:v>BHM</x:v>
      </x:c>
      <x:c r="J1233" s="23" t="n">
        <x:v>1256</x:v>
      </x:c>
      <x:c r="K1233" s="24" t="n">
        <x:v>0.22929936305732485</x:v>
      </x:c>
      <x:c r="L1233" s="24" t="n">
        <x:v>0.009554140127388535</x:v>
      </x:c>
    </x:row>
    <x:row r="1234">
      <x:c r="G1234" t="str">
        <x:v>SDF-CLT</x:v>
      </x:c>
      <x:c r="H1234" t="str">
        <x:v>SDF</x:v>
      </x:c>
      <x:c r="I1234" t="str">
        <x:v>CLT</x:v>
      </x:c>
      <x:c r="J1234" s="23" t="n">
        <x:v>5609</x:v>
      </x:c>
      <x:c r="K1234" s="24" t="n">
        <x:v>0.22927438045997503</x:v>
      </x:c>
      <x:c r="L1234" s="24" t="n">
        <x:v>0.014975931538598681</x:v>
      </x:c>
    </x:row>
    <x:row r="1235">
      <x:c r="G1235" t="str">
        <x:v>DAL-RDU</x:v>
      </x:c>
      <x:c r="H1235" t="str">
        <x:v>DAL</x:v>
      </x:c>
      <x:c r="I1235" t="str">
        <x:v>RDU</x:v>
      </x:c>
      <x:c r="J1235" s="23" t="n">
        <x:v>1239</x:v>
      </x:c>
      <x:c r="K1235" s="24" t="n">
        <x:v>0.22921711057304278</x:v>
      </x:c>
      <x:c r="L1235" s="24" t="n">
        <x:v>0.007263922518159807</x:v>
      </x:c>
    </x:row>
    <x:row r="1236">
      <x:c r="G1236" t="str">
        <x:v>MDW-RDU</x:v>
      </x:c>
      <x:c r="H1236" t="str">
        <x:v>MDW</x:v>
      </x:c>
      <x:c r="I1236" t="str">
        <x:v>RDU</x:v>
      </x:c>
      <x:c r="J1236" s="23" t="n">
        <x:v>3259</x:v>
      </x:c>
      <x:c r="K1236" s="24" t="n">
        <x:v>0.22921141454433874</x:v>
      </x:c>
      <x:c r="L1236" s="24" t="n">
        <x:v>0.012887388769561215</x:v>
      </x:c>
    </x:row>
    <x:row r="1237">
      <x:c r="G1237" t="str">
        <x:v>CLT-CHS</x:v>
      </x:c>
      <x:c r="H1237" t="str">
        <x:v>CLT</x:v>
      </x:c>
      <x:c r="I1237" t="str">
        <x:v>CHS</x:v>
      </x:c>
      <x:c r="J1237" s="23" t="n">
        <x:v>8032</x:v>
      </x:c>
      <x:c r="K1237" s="24" t="n">
        <x:v>0.22920816733067728</x:v>
      </x:c>
      <x:c r="L1237" s="24" t="n">
        <x:v>0.01245019920318725</x:v>
      </x:c>
    </x:row>
    <x:row r="1238">
      <x:c r="G1238" t="str">
        <x:v>DCA-PWM</x:v>
      </x:c>
      <x:c r="H1238" t="str">
        <x:v>DCA</x:v>
      </x:c>
      <x:c r="I1238" t="str">
        <x:v>PWM</x:v>
      </x:c>
      <x:c r="J1238" s="23" t="n">
        <x:v>3617</x:v>
      </x:c>
      <x:c r="K1238" s="24" t="n">
        <x:v>0.2291954658556815</x:v>
      </x:c>
      <x:c r="L1238" s="24" t="n">
        <x:v>0.028753110312413604</x:v>
      </x:c>
    </x:row>
    <x:row r="1239">
      <x:c r="G1239" t="str">
        <x:v>BDL-ORD</x:v>
      </x:c>
      <x:c r="H1239" t="str">
        <x:v>BDL</x:v>
      </x:c>
      <x:c r="I1239" t="str">
        <x:v>ORD</x:v>
      </x:c>
      <x:c r="J1239" s="23" t="n">
        <x:v>6172</x:v>
      </x:c>
      <x:c r="K1239" s="24" t="n">
        <x:v>0.229099157485418</x:v>
      </x:c>
      <x:c r="L1239" s="24" t="n">
        <x:v>0.012151652624756967</x:v>
      </x:c>
    </x:row>
    <x:row r="1240">
      <x:c r="G1240" t="str">
        <x:v>ATL-AUS</x:v>
      </x:c>
      <x:c r="H1240" t="str">
        <x:v>ATL</x:v>
      </x:c>
      <x:c r="I1240" t="str">
        <x:v>AUS</x:v>
      </x:c>
      <x:c r="J1240" s="23" t="n">
        <x:v>13027</x:v>
      </x:c>
      <x:c r="K1240" s="24" t="n">
        <x:v>0.22906271589775082</x:v>
      </x:c>
      <x:c r="L1240" s="24" t="n">
        <x:v>0.009365164658017964</x:v>
      </x:c>
    </x:row>
    <x:row r="1241">
      <x:c r="G1241" t="str">
        <x:v>DEN-BZN</x:v>
      </x:c>
      <x:c r="H1241" t="str">
        <x:v>DEN</x:v>
      </x:c>
      <x:c r="I1241" t="str">
        <x:v>BZN</x:v>
      </x:c>
      <x:c r="J1241" s="23" t="n">
        <x:v>7972</x:v>
      </x:c>
      <x:c r="K1241" s="24" t="n">
        <x:v>0.22905168088309083</x:v>
      </x:c>
      <x:c r="L1241" s="24" t="n">
        <x:v>0.006271951831409934</x:v>
      </x:c>
    </x:row>
    <x:row r="1242">
      <x:c r="G1242" t="str">
        <x:v>DAL-SLC</x:v>
      </x:c>
      <x:c r="H1242" t="str">
        <x:v>DAL</x:v>
      </x:c>
      <x:c r="I1242" t="str">
        <x:v>SLC</x:v>
      </x:c>
      <x:c r="J1242" s="23" t="n">
        <x:v>2052</x:v>
      </x:c>
      <x:c r="K1242" s="24" t="n">
        <x:v>0.2290448343079922</x:v>
      </x:c>
      <x:c r="L1242" s="24" t="n">
        <x:v>0.01023391812865497</x:v>
      </x:c>
    </x:row>
    <x:row r="1243">
      <x:c r="G1243" t="str">
        <x:v>ATL-HNL</x:v>
      </x:c>
      <x:c r="H1243" t="str">
        <x:v>ATL</x:v>
      </x:c>
      <x:c r="I1243" t="str">
        <x:v>HNL</x:v>
      </x:c>
      <x:c r="J1243" s="23" t="n">
        <x:v>1109</x:v>
      </x:c>
      <x:c r="K1243" s="24" t="n">
        <x:v>0.2290351668169522</x:v>
      </x:c>
      <x:c r="L1243" s="24" t="n">
        <x:v>0.0009017132551848512</x:v>
      </x:c>
    </x:row>
    <x:row r="1244">
      <x:c r="G1244" t="str">
        <x:v>RSW-MKE</x:v>
      </x:c>
      <x:c r="H1244" t="str">
        <x:v>RSW</x:v>
      </x:c>
      <x:c r="I1244" t="str">
        <x:v>MKE</x:v>
      </x:c>
      <x:c r="J1244" s="23" t="n">
        <x:v>1227</x:v>
      </x:c>
      <x:c r="K1244" s="24" t="n">
        <x:v>0.22901385493072535</x:v>
      </x:c>
      <x:c r="L1244" s="24" t="n">
        <x:v>0.012224938875305624</x:v>
      </x:c>
    </x:row>
    <x:row r="1245">
      <x:c r="G1245" t="str">
        <x:v>BZN-DEN</x:v>
      </x:c>
      <x:c r="H1245" t="str">
        <x:v>BZN</x:v>
      </x:c>
      <x:c r="I1245" t="str">
        <x:v>DEN</x:v>
      </x:c>
      <x:c r="J1245" s="23" t="n">
        <x:v>7975</x:v>
      </x:c>
      <x:c r="K1245" s="24" t="n">
        <x:v>0.2289655172413793</x:v>
      </x:c>
      <x:c r="L1245" s="24" t="n">
        <x:v>0.008025078369905956</x:v>
      </x:c>
    </x:row>
    <x:row r="1246">
      <x:c r="G1246" t="str">
        <x:v>IAH-IAD</x:v>
      </x:c>
      <x:c r="H1246" t="str">
        <x:v>IAH</x:v>
      </x:c>
      <x:c r="I1246" t="str">
        <x:v>IAD</x:v>
      </x:c>
      <x:c r="J1246" s="23" t="n">
        <x:v>5320</x:v>
      </x:c>
      <x:c r="K1246" s="24" t="n">
        <x:v>0.22894736842105262</x:v>
      </x:c>
      <x:c r="L1246" s="24" t="n">
        <x:v>0.008646616541353383</x:v>
      </x:c>
    </x:row>
    <x:row r="1247">
      <x:c r="G1247" t="str">
        <x:v>CMH-FLL</x:v>
      </x:c>
      <x:c r="H1247" t="str">
        <x:v>CMH</x:v>
      </x:c>
      <x:c r="I1247" t="str">
        <x:v>FLL</x:v>
      </x:c>
      <x:c r="J1247" s="23" t="n">
        <x:v>3093</x:v>
      </x:c>
      <x:c r="K1247" s="24" t="n">
        <x:v>0.2289039767216295</x:v>
      </x:c>
      <x:c r="L1247" s="24" t="n">
        <x:v>0.008406078241189783</x:v>
      </x:c>
    </x:row>
    <x:row r="1248">
      <x:c r="G1248" t="str">
        <x:v>MCI-SAN</x:v>
      </x:c>
      <x:c r="H1248" t="str">
        <x:v>MCI</x:v>
      </x:c>
      <x:c r="I1248" t="str">
        <x:v>SAN</x:v>
      </x:c>
      <x:c r="J1248" s="23" t="n">
        <x:v>1481</x:v>
      </x:c>
      <x:c r="K1248" s="24" t="n">
        <x:v>0.2288993923024983</x:v>
      </x:c>
      <x:c r="L1248" s="24" t="n">
        <x:v>0.004051316677920324</x:v>
      </x:c>
    </x:row>
    <x:row r="1249">
      <x:c r="G1249" t="str">
        <x:v>DCA-DAY</x:v>
      </x:c>
      <x:c r="H1249" t="str">
        <x:v>DCA</x:v>
      </x:c>
      <x:c r="I1249" t="str">
        <x:v>DAY</x:v>
      </x:c>
      <x:c r="J1249" s="23" t="n">
        <x:v>3469</x:v>
      </x:c>
      <x:c r="K1249" s="24" t="n">
        <x:v>0.2288844047275872</x:v>
      </x:c>
      <x:c r="L1249" s="24" t="n">
        <x:v>0.02334966849236091</x:v>
      </x:c>
    </x:row>
    <x:row r="1250">
      <x:c r="G1250" t="str">
        <x:v>SEA-BUR</x:v>
      </x:c>
      <x:c r="H1250" t="str">
        <x:v>SEA</x:v>
      </x:c>
      <x:c r="I1250" t="str">
        <x:v>BUR</x:v>
      </x:c>
      <x:c r="J1250" s="23" t="n">
        <x:v>4649</x:v>
      </x:c>
      <x:c r="K1250" s="24" t="n">
        <x:v>0.2288664228866423</x:v>
      </x:c>
      <x:c r="L1250" s="24" t="n">
        <x:v>0.015702301570230157</x:v>
      </x:c>
    </x:row>
    <x:row r="1251">
      <x:c r="G1251" t="str">
        <x:v>MSP-BOS</x:v>
      </x:c>
      <x:c r="H1251" t="str">
        <x:v>MSP</x:v>
      </x:c>
      <x:c r="I1251" t="str">
        <x:v>BOS</x:v>
      </x:c>
      <x:c r="J1251" s="23" t="n">
        <x:v>6315</x:v>
      </x:c>
      <x:c r="K1251" s="24" t="n">
        <x:v>0.2288202692003167</x:v>
      </x:c>
      <x:c r="L1251" s="24" t="n">
        <x:v>0.00665083135391924</x:v>
      </x:c>
    </x:row>
    <x:row r="1252">
      <x:c r="G1252" t="str">
        <x:v>ORD-LSE</x:v>
      </x:c>
      <x:c r="H1252" t="str">
        <x:v>ORD</x:v>
      </x:c>
      <x:c r="I1252" t="str">
        <x:v>LSE</x:v>
      </x:c>
      <x:c r="J1252" s="23" t="n">
        <x:v>1499</x:v>
      </x:c>
      <x:c r="K1252" s="24" t="n">
        <x:v>0.22881921280853904</x:v>
      </x:c>
      <x:c r="L1252" s="24" t="n">
        <x:v>0.022014676450967312</x:v>
      </x:c>
    </x:row>
    <x:row r="1253">
      <x:c r="G1253" t="str">
        <x:v>BDL-PBI</x:v>
      </x:c>
      <x:c r="H1253" t="str">
        <x:v>BDL</x:v>
      </x:c>
      <x:c r="I1253" t="str">
        <x:v>PBI</x:v>
      </x:c>
      <x:c r="J1253" s="23" t="n">
        <x:v>1530</x:v>
      </x:c>
      <x:c r="K1253" s="24" t="n">
        <x:v>0.22875816993464052</x:v>
      </x:c>
      <x:c r="L1253" s="24" t="n">
        <x:v>0.01437908496732026</x:v>
      </x:c>
    </x:row>
    <x:row r="1254">
      <x:c r="G1254" t="str">
        <x:v>PHL-GSP</x:v>
      </x:c>
      <x:c r="H1254" t="str">
        <x:v>PHL</x:v>
      </x:c>
      <x:c r="I1254" t="str">
        <x:v>GSP</x:v>
      </x:c>
      <x:c r="J1254" s="23" t="n">
        <x:v>1482</x:v>
      </x:c>
      <x:c r="K1254" s="24" t="n">
        <x:v>0.22874493927125505</x:v>
      </x:c>
      <x:c r="L1254" s="24" t="n">
        <x:v>0.020242914979757085</x:v>
      </x:c>
    </x:row>
    <x:row r="1255">
      <x:c r="G1255" t="str">
        <x:v>TPA-SJU</x:v>
      </x:c>
      <x:c r="H1255" t="str">
        <x:v>TPA</x:v>
      </x:c>
      <x:c r="I1255" t="str">
        <x:v>SJU</x:v>
      </x:c>
      <x:c r="J1255" s="23" t="n">
        <x:v>4656</x:v>
      </x:c>
      <x:c r="K1255" s="24" t="n">
        <x:v>0.22873711340206185</x:v>
      </x:c>
      <x:c r="L1255" s="24" t="n">
        <x:v>0.01138316151202749</x:v>
      </x:c>
    </x:row>
    <x:row r="1256">
      <x:c r="G1256" t="str">
        <x:v>IAH-DCA</x:v>
      </x:c>
      <x:c r="H1256" t="str">
        <x:v>IAH</x:v>
      </x:c>
      <x:c r="I1256" t="str">
        <x:v>DCA</x:v>
      </x:c>
      <x:c r="J1256" s="23" t="n">
        <x:v>6895</x:v>
      </x:c>
      <x:c r="K1256" s="24" t="n">
        <x:v>0.22871646120377084</x:v>
      </x:c>
      <x:c r="L1256" s="24" t="n">
        <x:v>0.014358230601885425</x:v>
      </x:c>
    </x:row>
    <x:row r="1257">
      <x:c r="G1257" t="str">
        <x:v>EWR-RSW</x:v>
      </x:c>
      <x:c r="H1257" t="str">
        <x:v>EWR</x:v>
      </x:c>
      <x:c r="I1257" t="str">
        <x:v>RSW</x:v>
      </x:c>
      <x:c r="J1257" s="23" t="n">
        <x:v>6266</x:v>
      </x:c>
      <x:c r="K1257" s="24" t="n">
        <x:v>0.22869454197255026</x:v>
      </x:c>
      <x:c r="L1257" s="24" t="n">
        <x:v>0.021864028088094477</x:v>
      </x:c>
    </x:row>
    <x:row r="1258">
      <x:c r="G1258" t="str">
        <x:v>DAL-SNA</x:v>
      </x:c>
      <x:c r="H1258" t="str">
        <x:v>DAL</x:v>
      </x:c>
      <x:c r="I1258" t="str">
        <x:v>SNA</x:v>
      </x:c>
      <x:c r="J1258" s="23" t="n">
        <x:v>1102</x:v>
      </x:c>
      <x:c r="K1258" s="24" t="n">
        <x:v>0.22867513611615245</x:v>
      </x:c>
      <x:c r="L1258" s="24" t="n">
        <x:v>0.010889292196007259</x:v>
      </x:c>
    </x:row>
    <x:row r="1259">
      <x:c r="G1259" t="str">
        <x:v>CLT-CRW</x:v>
      </x:c>
      <x:c r="H1259" t="str">
        <x:v>CLT</x:v>
      </x:c>
      <x:c r="I1259" t="str">
        <x:v>CRW</x:v>
      </x:c>
      <x:c r="J1259" s="23" t="n">
        <x:v>3468</x:v>
      </x:c>
      <x:c r="K1259" s="24" t="n">
        <x:v>0.2286620530565167</x:v>
      </x:c>
      <x:c r="L1259" s="24" t="n">
        <x:v>0.01787773933102653</x:v>
      </x:c>
    </x:row>
    <x:row r="1260">
      <x:c r="G1260" t="str">
        <x:v>TPA-EWR</x:v>
      </x:c>
      <x:c r="H1260" t="str">
        <x:v>TPA</x:v>
      </x:c>
      <x:c r="I1260" t="str">
        <x:v>EWR</x:v>
      </x:c>
      <x:c r="J1260" s="23" t="n">
        <x:v>8809</x:v>
      </x:c>
      <x:c r="K1260" s="24" t="n">
        <x:v>0.22862981042116018</x:v>
      </x:c>
      <x:c r="L1260" s="24" t="n">
        <x:v>0.028266545578385743</x:v>
      </x:c>
    </x:row>
    <x:row r="1261">
      <x:c r="G1261" t="str">
        <x:v>ORD-IAD</x:v>
      </x:c>
      <x:c r="H1261" t="str">
        <x:v>ORD</x:v>
      </x:c>
      <x:c r="I1261" t="str">
        <x:v>IAD</x:v>
      </x:c>
      <x:c r="J1261" s="23" t="n">
        <x:v>5333</x:v>
      </x:c>
      <x:c r="K1261" s="24" t="n">
        <x:v>0.22857678604912807</x:v>
      </x:c>
      <x:c r="L1261" s="24" t="n">
        <x:v>0.009000562535158447</x:v>
      </x:c>
    </x:row>
    <x:row r="1262">
      <x:c r="G1262" t="str">
        <x:v>TPA-BNA</x:v>
      </x:c>
      <x:c r="H1262" t="str">
        <x:v>TPA</x:v>
      </x:c>
      <x:c r="I1262" t="str">
        <x:v>BNA</x:v>
      </x:c>
      <x:c r="J1262" s="23" t="n">
        <x:v>7019</x:v>
      </x:c>
      <x:c r="K1262" s="24" t="n">
        <x:v>0.2285225815643254</x:v>
      </x:c>
      <x:c r="L1262" s="24" t="n">
        <x:v>0.015101866362729734</x:v>
      </x:c>
    </x:row>
    <x:row r="1263">
      <x:c r="G1263" t="str">
        <x:v>RDU-DFW</x:v>
      </x:c>
      <x:c r="H1263" t="str">
        <x:v>RDU</x:v>
      </x:c>
      <x:c r="I1263" t="str">
        <x:v>DFW</x:v>
      </x:c>
      <x:c r="J1263" s="23" t="n">
        <x:v>6425</x:v>
      </x:c>
      <x:c r="K1263" s="24" t="n">
        <x:v>0.22848249027237355</x:v>
      </x:c>
      <x:c r="L1263" s="24" t="n">
        <x:v>0.018832684824902725</x:v>
      </x:c>
    </x:row>
    <x:row r="1264">
      <x:c r="G1264" t="str">
        <x:v>SAN-ABQ</x:v>
      </x:c>
      <x:c r="H1264" t="str">
        <x:v>SAN</x:v>
      </x:c>
      <x:c r="I1264" t="str">
        <x:v>ABQ</x:v>
      </x:c>
      <x:c r="J1264" s="23" t="n">
        <x:v>1882</x:v>
      </x:c>
      <x:c r="K1264" s="24" t="n">
        <x:v>0.22848034006376194</x:v>
      </x:c>
      <x:c r="L1264" s="24" t="n">
        <x:v>0.008501594048884165</x:v>
      </x:c>
    </x:row>
    <x:row r="1265">
      <x:c r="G1265" t="str">
        <x:v>ORD-DEN</x:v>
      </x:c>
      <x:c r="H1265" t="str">
        <x:v>ORD</x:v>
      </x:c>
      <x:c r="I1265" t="str">
        <x:v>DEN</x:v>
      </x:c>
      <x:c r="J1265" s="23" t="n">
        <x:v>19083</x:v>
      </x:c>
      <x:c r="K1265" s="24" t="n">
        <x:v>0.22847560656081328</x:v>
      </x:c>
      <x:c r="L1265" s="24" t="n">
        <x:v>0.01200020961064822</x:v>
      </x:c>
    </x:row>
    <x:row r="1266">
      <x:c r="G1266" t="str">
        <x:v>EWR-DFW</x:v>
      </x:c>
      <x:c r="H1266" t="str">
        <x:v>EWR</x:v>
      </x:c>
      <x:c r="I1266" t="str">
        <x:v>DFW</x:v>
      </x:c>
      <x:c r="J1266" s="23" t="n">
        <x:v>10789</x:v>
      </x:c>
      <x:c r="K1266" s="24" t="n">
        <x:v>0.22847344517564186</x:v>
      </x:c>
      <x:c r="L1266" s="24" t="n">
        <x:v>0.02576698489201965</x:v>
      </x:c>
    </x:row>
    <x:row r="1267">
      <x:c r="G1267" t="str">
        <x:v>DCA-BUF</x:v>
      </x:c>
      <x:c r="H1267" t="str">
        <x:v>DCA</x:v>
      </x:c>
      <x:c r="I1267" t="str">
        <x:v>BUF</x:v>
      </x:c>
      <x:c r="J1267" s="23" t="n">
        <x:v>3489</x:v>
      </x:c>
      <x:c r="K1267" s="24" t="n">
        <x:v>0.2284322155345371</x:v>
      </x:c>
      <x:c r="L1267" s="24" t="n">
        <x:v>0.03840642017770135</x:v>
      </x:c>
    </x:row>
    <x:row r="1268">
      <x:c r="G1268" t="str">
        <x:v>ORD-MIA</x:v>
      </x:c>
      <x:c r="H1268" t="str">
        <x:v>ORD</x:v>
      </x:c>
      <x:c r="I1268" t="str">
        <x:v>MIA</x:v>
      </x:c>
      <x:c r="J1268" s="23" t="n">
        <x:v>12816</x:v>
      </x:c>
      <x:c r="K1268" s="24" t="n">
        <x:v>0.2283863920099875</x:v>
      </x:c>
      <x:c r="L1268" s="24" t="n">
        <x:v>0.010611735330836454</x:v>
      </x:c>
    </x:row>
    <x:row r="1269">
      <x:c r="G1269" t="str">
        <x:v>MDW-CVG</x:v>
      </x:c>
      <x:c r="H1269" t="str">
        <x:v>MDW</x:v>
      </x:c>
      <x:c r="I1269" t="str">
        <x:v>CVG</x:v>
      </x:c>
      <x:c r="J1269" s="23" t="n">
        <x:v>2347</x:v>
      </x:c>
      <x:c r="K1269" s="24" t="n">
        <x:v>0.22837665104388583</x:v>
      </x:c>
      <x:c r="L1269" s="24" t="n">
        <x:v>0.008095440988495952</x:v>
      </x:c>
    </x:row>
    <x:row r="1270">
      <x:c r="G1270" t="str">
        <x:v>ORD-LAX</x:v>
      </x:c>
      <x:c r="H1270" t="str">
        <x:v>ORD</x:v>
      </x:c>
      <x:c r="I1270" t="str">
        <x:v>LAX</x:v>
      </x:c>
      <x:c r="J1270" s="23" t="n">
        <x:v>20455</x:v>
      </x:c>
      <x:c r="K1270" s="24" t="n">
        <x:v>0.2283549254461012</x:v>
      </x:c>
      <x:c r="L1270" s="24" t="n">
        <x:v>0.011293082375947202</x:v>
      </x:c>
    </x:row>
    <x:row r="1271">
      <x:c r="G1271" t="str">
        <x:v>SYR-CLT</x:v>
      </x:c>
      <x:c r="H1271" t="str">
        <x:v>SYR</x:v>
      </x:c>
      <x:c r="I1271" t="str">
        <x:v>CLT</x:v>
      </x:c>
      <x:c r="J1271" s="23" t="n">
        <x:v>3372</x:v>
      </x:c>
      <x:c r="K1271" s="24" t="n">
        <x:v>0.22835112692763937</x:v>
      </x:c>
      <x:c r="L1271" s="24" t="n">
        <x:v>0.009786476868327402</x:v>
      </x:c>
    </x:row>
    <x:row r="1272">
      <x:c r="G1272" t="str">
        <x:v>COU-ORD</x:v>
      </x:c>
      <x:c r="H1272" t="str">
        <x:v>COU</x:v>
      </x:c>
      <x:c r="I1272" t="str">
        <x:v>ORD</x:v>
      </x:c>
      <x:c r="J1272" s="23" t="n">
        <x:v>2256</x:v>
      </x:c>
      <x:c r="K1272" s="24" t="n">
        <x:v>0.22828014184397163</x:v>
      </x:c>
      <x:c r="L1272" s="24" t="n">
        <x:v>0.022606382978723406</x:v>
      </x:c>
    </x:row>
    <x:row r="1273">
      <x:c r="G1273" t="str">
        <x:v>AGS-DCA</x:v>
      </x:c>
      <x:c r="H1273" t="str">
        <x:v>AGS</x:v>
      </x:c>
      <x:c r="I1273" t="str">
        <x:v>DCA</x:v>
      </x:c>
      <x:c r="J1273" s="23" t="n">
        <x:v>1069</x:v>
      </x:c>
      <x:c r="K1273" s="24" t="n">
        <x:v>0.22825070159027128</x:v>
      </x:c>
      <x:c r="L1273" s="24" t="n">
        <x:v>0.037418147801683815</x:v>
      </x:c>
    </x:row>
    <x:row r="1274">
      <x:c r="G1274" t="str">
        <x:v>MHT-MCO</x:v>
      </x:c>
      <x:c r="H1274" t="str">
        <x:v>MHT</x:v>
      </x:c>
      <x:c r="I1274" t="str">
        <x:v>MCO</x:v>
      </x:c>
      <x:c r="J1274" s="23" t="n">
        <x:v>2423</x:v>
      </x:c>
      <x:c r="K1274" s="24" t="n">
        <x:v>0.2282294676021461</x:v>
      </x:c>
      <x:c r="L1274" s="24" t="n">
        <x:v>0.014857614527445316</x:v>
      </x:c>
    </x:row>
    <x:row r="1275">
      <x:c r="G1275" t="str">
        <x:v>SAN-OAK</x:v>
      </x:c>
      <x:c r="H1275" t="str">
        <x:v>SAN</x:v>
      </x:c>
      <x:c r="I1275" t="str">
        <x:v>OAK</x:v>
      </x:c>
      <x:c r="J1275" s="23" t="n">
        <x:v>10755</x:v>
      </x:c>
      <x:c r="K1275" s="24" t="n">
        <x:v>0.22817294281729428</x:v>
      </x:c>
      <x:c r="L1275" s="24" t="n">
        <x:v>0.011715481171548118</x:v>
      </x:c>
    </x:row>
    <x:row r="1276">
      <x:c r="G1276" t="str">
        <x:v>PHX-SAN</x:v>
      </x:c>
      <x:c r="H1276" t="str">
        <x:v>PHX</x:v>
      </x:c>
      <x:c r="I1276" t="str">
        <x:v>SAN</x:v>
      </x:c>
      <x:c r="J1276" s="23" t="n">
        <x:v>16724</x:v>
      </x:c>
      <x:c r="K1276" s="24" t="n">
        <x:v>0.22811528342501794</x:v>
      </x:c>
      <x:c r="L1276" s="24" t="n">
        <x:v>0.009088734752451567</x:v>
      </x:c>
    </x:row>
    <x:row r="1277">
      <x:c r="G1277" t="str">
        <x:v>ORD-CWA</x:v>
      </x:c>
      <x:c r="H1277" t="str">
        <x:v>ORD</x:v>
      </x:c>
      <x:c r="I1277" t="str">
        <x:v>CWA</x:v>
      </x:c>
      <x:c r="J1277" s="23" t="n">
        <x:v>1004</x:v>
      </x:c>
      <x:c r="K1277" s="24" t="n">
        <x:v>0.22808764940239043</x:v>
      </x:c>
      <x:c r="L1277" s="24" t="n">
        <x:v>0.0199203187250996</x:v>
      </x:c>
    </x:row>
    <x:row r="1278">
      <x:c r="G1278" t="str">
        <x:v>ORD-AVL</x:v>
      </x:c>
      <x:c r="H1278" t="str">
        <x:v>ORD</x:v>
      </x:c>
      <x:c r="I1278" t="str">
        <x:v>AVL</x:v>
      </x:c>
      <x:c r="J1278" s="23" t="n">
        <x:v>3131</x:v>
      </x:c>
      <x:c r="K1278" s="24" t="n">
        <x:v>0.22804215905461514</x:v>
      </x:c>
      <x:c r="L1278" s="24" t="n">
        <x:v>0.01820504631108272</x:v>
      </x:c>
    </x:row>
    <x:row r="1279">
      <x:c r="G1279" t="str">
        <x:v>IAH-DEN</x:v>
      </x:c>
      <x:c r="H1279" t="str">
        <x:v>IAH</x:v>
      </x:c>
      <x:c r="I1279" t="str">
        <x:v>DEN</x:v>
      </x:c>
      <x:c r="J1279" s="23" t="n">
        <x:v>14665</x:v>
      </x:c>
      <x:c r="K1279" s="24" t="n">
        <x:v>0.22802591203545858</x:v>
      </x:c>
      <x:c r="L1279" s="24" t="n">
        <x:v>0.011728605523354927</x:v>
      </x:c>
    </x:row>
    <x:row r="1280">
      <x:c r="G1280" t="str">
        <x:v>RIC-BWI</x:v>
      </x:c>
      <x:c r="H1280" t="str">
        <x:v>RIC</x:v>
      </x:c>
      <x:c r="I1280" t="str">
        <x:v>BWI</x:v>
      </x:c>
      <x:c r="J1280" s="23" t="n">
        <x:v>1149</x:v>
      </x:c>
      <x:c r="K1280" s="24" t="n">
        <x:v>0.2280243690165361</x:v>
      </x:c>
      <x:c r="L1280" s="24" t="n">
        <x:v>0.004351610095735422</x:v>
      </x:c>
    </x:row>
    <x:row r="1281">
      <x:c r="G1281" t="str">
        <x:v>JAX-JFK</x:v>
      </x:c>
      <x:c r="H1281" t="str">
        <x:v>JAX</x:v>
      </x:c>
      <x:c r="I1281" t="str">
        <x:v>JFK</x:v>
      </x:c>
      <x:c r="J1281" s="23" t="n">
        <x:v>5153</x:v>
      </x:c>
      <x:c r="K1281" s="24" t="n">
        <x:v>0.2280225111585484</x:v>
      </x:c>
      <x:c r="L1281" s="24" t="n">
        <x:v>0.028915195032020183</x:v>
      </x:c>
    </x:row>
    <x:row r="1282">
      <x:c r="G1282" t="str">
        <x:v>MDW-DCA</x:v>
      </x:c>
      <x:c r="H1282" t="str">
        <x:v>MDW</x:v>
      </x:c>
      <x:c r="I1282" t="str">
        <x:v>DCA</x:v>
      </x:c>
      <x:c r="J1282" s="23" t="n">
        <x:v>6330</x:v>
      </x:c>
      <x:c r="K1282" s="24" t="n">
        <x:v>0.22796208530805687</x:v>
      </x:c>
      <x:c r="L1282" s="24" t="n">
        <x:v>0.017061611374407582</x:v>
      </x:c>
    </x:row>
    <x:row r="1283">
      <x:c r="G1283" t="str">
        <x:v>CLT-GSP</x:v>
      </x:c>
      <x:c r="H1283" t="str">
        <x:v>CLT</x:v>
      </x:c>
      <x:c r="I1283" t="str">
        <x:v>GSP</x:v>
      </x:c>
      <x:c r="J1283" s="23" t="n">
        <x:v>7870</x:v>
      </x:c>
      <x:c r="K1283" s="24" t="n">
        <x:v>0.22795425667090216</x:v>
      </x:c>
      <x:c r="L1283" s="24" t="n">
        <x:v>0.010546378653113088</x:v>
      </x:c>
    </x:row>
    <x:row r="1284">
      <x:c r="G1284" t="str">
        <x:v>DEN-FAT</x:v>
      </x:c>
      <x:c r="H1284" t="str">
        <x:v>DEN</x:v>
      </x:c>
      <x:c r="I1284" t="str">
        <x:v>FAT</x:v>
      </x:c>
      <x:c r="J1284" s="23" t="n">
        <x:v>4362</x:v>
      </x:c>
      <x:c r="K1284" s="24" t="n">
        <x:v>0.22787712058688675</x:v>
      </x:c>
      <x:c r="L1284" s="24" t="n">
        <x:v>0.0032095369096744614</x:v>
      </x:c>
    </x:row>
    <x:row r="1285">
      <x:c r="G1285" t="str">
        <x:v>CVG-ORD</x:v>
      </x:c>
      <x:c r="H1285" t="str">
        <x:v>CVG</x:v>
      </x:c>
      <x:c r="I1285" t="str">
        <x:v>ORD</x:v>
      </x:c>
      <x:c r="J1285" s="23" t="n">
        <x:v>9256</x:v>
      </x:c>
      <x:c r="K1285" s="24" t="n">
        <x:v>0.22785220397579947</x:v>
      </x:c>
      <x:c r="L1285" s="24" t="n">
        <x:v>0.015557476231633534</x:v>
      </x:c>
    </x:row>
    <x:row r="1286">
      <x:c r="G1286" t="str">
        <x:v>ORD-DAL</x:v>
      </x:c>
      <x:c r="H1286" t="str">
        <x:v>ORD</x:v>
      </x:c>
      <x:c r="I1286" t="str">
        <x:v>DAL</x:v>
      </x:c>
      <x:c r="J1286" s="23" t="n">
        <x:v>3542</x:v>
      </x:c>
      <x:c r="K1286" s="24" t="n">
        <x:v>0.22783738001129306</x:v>
      </x:c>
      <x:c r="L1286" s="24" t="n">
        <x:v>0.019762845849802372</x:v>
      </x:c>
    </x:row>
    <x:row r="1287">
      <x:c r="G1287" t="str">
        <x:v>STL-OMA</x:v>
      </x:c>
      <x:c r="H1287" t="str">
        <x:v>STL</x:v>
      </x:c>
      <x:c r="I1287" t="str">
        <x:v>OMA</x:v>
      </x:c>
      <x:c r="J1287" s="23" t="n">
        <x:v>2322</x:v>
      </x:c>
      <x:c r="K1287" s="24" t="n">
        <x:v>0.22782084409991388</x:v>
      </x:c>
      <x:c r="L1287" s="24" t="n">
        <x:v>0.008613264427217916</x:v>
      </x:c>
    </x:row>
    <x:row r="1288">
      <x:c r="G1288" t="str">
        <x:v>BWI-MHT</x:v>
      </x:c>
      <x:c r="H1288" t="str">
        <x:v>BWI</x:v>
      </x:c>
      <x:c r="I1288" t="str">
        <x:v>MHT</x:v>
      </x:c>
      <x:c r="J1288" s="23" t="n">
        <x:v>4855</x:v>
      </x:c>
      <x:c r="K1288" s="24" t="n">
        <x:v>0.2278063851699279</x:v>
      </x:c>
      <x:c r="L1288" s="24" t="n">
        <x:v>0.010092687950566427</x:v>
      </x:c>
    </x:row>
    <x:row r="1289">
      <x:c r="G1289" t="str">
        <x:v>DAL-LAS</x:v>
      </x:c>
      <x:c r="H1289" t="str">
        <x:v>DAL</x:v>
      </x:c>
      <x:c r="I1289" t="str">
        <x:v>LAS</x:v>
      </x:c>
      <x:c r="J1289" s="23" t="n">
        <x:v>8718</x:v>
      </x:c>
      <x:c r="K1289" s="24" t="n">
        <x:v>0.2278045423262216</x:v>
      </x:c>
      <x:c r="L1289" s="24" t="n">
        <x:v>0.012732278045423262</x:v>
      </x:c>
    </x:row>
    <x:row r="1290">
      <x:c r="G1290" t="str">
        <x:v>EWR-RDU</x:v>
      </x:c>
      <x:c r="H1290" t="str">
        <x:v>EWR</x:v>
      </x:c>
      <x:c r="I1290" t="str">
        <x:v>RDU</x:v>
      </x:c>
      <x:c r="J1290" s="23" t="n">
        <x:v>7305</x:v>
      </x:c>
      <x:c r="K1290" s="24" t="n">
        <x:v>0.22778918548939084</x:v>
      </x:c>
      <x:c r="L1290" s="24" t="n">
        <x:v>0.02505133470225873</x:v>
      </x:c>
    </x:row>
    <x:row r="1291">
      <x:c r="G1291" t="str">
        <x:v>MSN-ORD</x:v>
      </x:c>
      <x:c r="H1291" t="str">
        <x:v>MSN</x:v>
      </x:c>
      <x:c r="I1291" t="str">
        <x:v>ORD</x:v>
      </x:c>
      <x:c r="J1291" s="23" t="n">
        <x:v>7371</x:v>
      </x:c>
      <x:c r="K1291" s="24" t="n">
        <x:v>0.22778456111789444</x:v>
      </x:c>
      <x:c r="L1291" s="24" t="n">
        <x:v>0.022249355582688916</x:v>
      </x:c>
    </x:row>
    <x:row r="1292">
      <x:c r="G1292" t="str">
        <x:v>SLC-DFW</x:v>
      </x:c>
      <x:c r="H1292" t="str">
        <x:v>SLC</x:v>
      </x:c>
      <x:c r="I1292" t="str">
        <x:v>DFW</x:v>
      </x:c>
      <x:c r="J1292" s="23" t="n">
        <x:v>11396</x:v>
      </x:c>
      <x:c r="K1292" s="24" t="n">
        <x:v>0.2277114777114777</x:v>
      </x:c>
      <x:c r="L1292" s="24" t="n">
        <x:v>0.01597051597051597</x:v>
      </x:c>
    </x:row>
    <x:row r="1293">
      <x:c r="G1293" t="str">
        <x:v>LAS-FAT</x:v>
      </x:c>
      <x:c r="H1293" t="str">
        <x:v>LAS</x:v>
      </x:c>
      <x:c r="I1293" t="str">
        <x:v>FAT</x:v>
      </x:c>
      <x:c r="J1293" s="23" t="n">
        <x:v>5372</x:v>
      </x:c>
      <x:c r="K1293" s="24" t="n">
        <x:v>0.22766195085629187</x:v>
      </x:c>
      <x:c r="L1293" s="24" t="n">
        <x:v>0.004653760238272524</x:v>
      </x:c>
    </x:row>
    <x:row r="1294">
      <x:c r="G1294" t="str">
        <x:v>ORD-TUS</x:v>
      </x:c>
      <x:c r="H1294" t="str">
        <x:v>ORD</x:v>
      </x:c>
      <x:c r="I1294" t="str">
        <x:v>TUS</x:v>
      </x:c>
      <x:c r="J1294" s="23" t="n">
        <x:v>2873</x:v>
      </x:c>
      <x:c r="K1294" s="24" t="n">
        <x:v>0.22763661677688826</x:v>
      </x:c>
      <x:c r="L1294" s="24" t="n">
        <x:v>0.006961364427427776</x:v>
      </x:c>
    </x:row>
    <x:row r="1295">
      <x:c r="G1295" t="str">
        <x:v>TPA-DCA</x:v>
      </x:c>
      <x:c r="H1295" t="str">
        <x:v>TPA</x:v>
      </x:c>
      <x:c r="I1295" t="str">
        <x:v>DCA</x:v>
      </x:c>
      <x:c r="J1295" s="23" t="n">
        <x:v>6437</x:v>
      </x:c>
      <x:c r="K1295" s="24" t="n">
        <x:v>0.2275904924654342</x:v>
      </x:c>
      <x:c r="L1295" s="24" t="n">
        <x:v>0.019574335870747243</x:v>
      </x:c>
    </x:row>
    <x:row r="1296">
      <x:c r="G1296" t="str">
        <x:v>BNA-CLE</x:v>
      </x:c>
      <x:c r="H1296" t="str">
        <x:v>BNA</x:v>
      </x:c>
      <x:c r="I1296" t="str">
        <x:v>CLE</x:v>
      </x:c>
      <x:c r="J1296" s="23" t="n">
        <x:v>2465</x:v>
      </x:c>
      <x:c r="K1296" s="24" t="n">
        <x:v>0.22758620689655173</x:v>
      </x:c>
      <x:c r="L1296" s="24" t="n">
        <x:v>0.006490872210953347</x:v>
      </x:c>
    </x:row>
    <x:row r="1297">
      <x:c r="G1297" t="str">
        <x:v>BDL-DCA</x:v>
      </x:c>
      <x:c r="H1297" t="str">
        <x:v>BDL</x:v>
      </x:c>
      <x:c r="I1297" t="str">
        <x:v>DCA</x:v>
      </x:c>
      <x:c r="J1297" s="23" t="n">
        <x:v>5748</x:v>
      </x:c>
      <x:c r="K1297" s="24" t="n">
        <x:v>0.22755741127348644</x:v>
      </x:c>
      <x:c r="L1297" s="24" t="n">
        <x:v>0.03322894919972164</x:v>
      </x:c>
    </x:row>
    <x:row r="1298">
      <x:c r="G1298" t="str">
        <x:v>ATL-PVD</x:v>
      </x:c>
      <x:c r="H1298" t="str">
        <x:v>ATL</x:v>
      </x:c>
      <x:c r="I1298" t="str">
        <x:v>PVD</x:v>
      </x:c>
      <x:c r="J1298" s="23" t="n">
        <x:v>3033</x:v>
      </x:c>
      <x:c r="K1298" s="24" t="n">
        <x:v>0.2274975272007913</x:v>
      </x:c>
      <x:c r="L1298" s="24" t="n">
        <x:v>0.01153972964061985</x:v>
      </x:c>
    </x:row>
    <x:row r="1299">
      <x:c r="G1299" t="str">
        <x:v>LAS-SAT</x:v>
      </x:c>
      <x:c r="H1299" t="str">
        <x:v>LAS</x:v>
      </x:c>
      <x:c r="I1299" t="str">
        <x:v>SAT</x:v>
      </x:c>
      <x:c r="J1299" s="23" t="n">
        <x:v>6669</x:v>
      </x:c>
      <x:c r="K1299" s="24" t="n">
        <x:v>0.2274703853651222</x:v>
      </x:c>
      <x:c r="L1299" s="24" t="n">
        <x:v>0.007947218473534263</x:v>
      </x:c>
    </x:row>
    <x:row r="1300">
      <x:c r="G1300" t="str">
        <x:v>DEN-SAV</x:v>
      </x:c>
      <x:c r="H1300" t="str">
        <x:v>DEN</x:v>
      </x:c>
      <x:c r="I1300" t="str">
        <x:v>SAV</x:v>
      </x:c>
      <x:c r="J1300" s="23" t="n">
        <x:v>1187</x:v>
      </x:c>
      <x:c r="K1300" s="24" t="n">
        <x:v>0.22746419545071608</x:v>
      </x:c>
      <x:c r="L1300" s="24" t="n">
        <x:v>0.005897219882055603</x:v>
      </x:c>
    </x:row>
    <x:row r="1301">
      <x:c r="G1301" t="str">
        <x:v>BOS-BUF</x:v>
      </x:c>
      <x:c r="H1301" t="str">
        <x:v>BOS</x:v>
      </x:c>
      <x:c r="I1301" t="str">
        <x:v>BUF</x:v>
      </x:c>
      <x:c r="J1301" s="23" t="n">
        <x:v>3003</x:v>
      </x:c>
      <x:c r="K1301" s="24" t="n">
        <x:v>0.22743922743922743</x:v>
      </x:c>
      <x:c r="L1301" s="24" t="n">
        <x:v>0.015651015651015652</x:v>
      </x:c>
    </x:row>
    <x:row r="1302">
      <x:c r="G1302" t="str">
        <x:v>ORD-BWI</x:v>
      </x:c>
      <x:c r="H1302" t="str">
        <x:v>ORD</x:v>
      </x:c>
      <x:c r="I1302" t="str">
        <x:v>BWI</x:v>
      </x:c>
      <x:c r="J1302" s="23" t="n">
        <x:v>8202</x:v>
      </x:c>
      <x:c r="K1302" s="24" t="n">
        <x:v>0.22738356498415022</x:v>
      </x:c>
      <x:c r="L1302" s="24" t="n">
        <x:v>0.014386734942696903</x:v>
      </x:c>
    </x:row>
    <x:row r="1303">
      <x:c r="G1303" t="str">
        <x:v>RSW-CMH</x:v>
      </x:c>
      <x:c r="H1303" t="str">
        <x:v>RSW</x:v>
      </x:c>
      <x:c r="I1303" t="str">
        <x:v>CMH</x:v>
      </x:c>
      <x:c r="J1303" s="23" t="n">
        <x:v>1909</x:v>
      </x:c>
      <x:c r="K1303" s="24" t="n">
        <x:v>0.22734415924567836</x:v>
      </x:c>
      <x:c r="L1303" s="24" t="n">
        <x:v>0.007333682556312206</x:v>
      </x:c>
    </x:row>
    <x:row r="1304">
      <x:c r="G1304" t="str">
        <x:v>DCA-LGA</x:v>
      </x:c>
      <x:c r="H1304" t="str">
        <x:v>DCA</x:v>
      </x:c>
      <x:c r="I1304" t="str">
        <x:v>LGA</x:v>
      </x:c>
      <x:c r="J1304" s="23" t="n">
        <x:v>14772</x:v>
      </x:c>
      <x:c r="K1304" s="24" t="n">
        <x:v>0.22732196046574601</x:v>
      </x:c>
      <x:c r="L1304" s="24" t="n">
        <x:v>0.033441646357974544</x:v>
      </x:c>
    </x:row>
    <x:row r="1305">
      <x:c r="G1305" t="str">
        <x:v>DEN-SBA</x:v>
      </x:c>
      <x:c r="H1305" t="str">
        <x:v>DEN</x:v>
      </x:c>
      <x:c r="I1305" t="str">
        <x:v>SBA</x:v>
      </x:c>
      <x:c r="J1305" s="23" t="n">
        <x:v>3428</x:v>
      </x:c>
      <x:c r="K1305" s="24" t="n">
        <x:v>0.22724620770128354</x:v>
      </x:c>
      <x:c r="L1305" s="24" t="n">
        <x:v>0.010793465577596266</x:v>
      </x:c>
    </x:row>
    <x:row r="1306">
      <x:c r="G1306" t="str">
        <x:v>DCA-BHM</x:v>
      </x:c>
      <x:c r="H1306" t="str">
        <x:v>DCA</x:v>
      </x:c>
      <x:c r="I1306" t="str">
        <x:v>BHM</x:v>
      </x:c>
      <x:c r="J1306" s="23" t="n">
        <x:v>3010</x:v>
      </x:c>
      <x:c r="K1306" s="24" t="n">
        <x:v>0.22724252491694352</x:v>
      </x:c>
      <x:c r="L1306" s="24" t="n">
        <x:v>0.02956810631229236</x:v>
      </x:c>
    </x:row>
    <x:row r="1307">
      <x:c r="G1307" t="str">
        <x:v>TPA-LGA</x:v>
      </x:c>
      <x:c r="H1307" t="str">
        <x:v>TPA</x:v>
      </x:c>
      <x:c r="I1307" t="str">
        <x:v>LGA</x:v>
      </x:c>
      <x:c r="J1307" s="23" t="n">
        <x:v>8032</x:v>
      </x:c>
      <x:c r="K1307" s="24" t="n">
        <x:v>0.22721613545816732</x:v>
      </x:c>
      <x:c r="L1307" s="24" t="n">
        <x:v>0.022161354581673308</x:v>
      </x:c>
    </x:row>
    <x:row r="1308">
      <x:c r="G1308" t="str">
        <x:v>DEN-HSV</x:v>
      </x:c>
      <x:c r="H1308" t="str">
        <x:v>DEN</x:v>
      </x:c>
      <x:c r="I1308" t="str">
        <x:v>HSV</x:v>
      </x:c>
      <x:c r="J1308" s="23" t="n">
        <x:v>2104</x:v>
      </x:c>
      <x:c r="K1308" s="24" t="n">
        <x:v>0.22718631178707224</x:v>
      </x:c>
      <x:c r="L1308" s="24" t="n">
        <x:v>0.00903041825095057</x:v>
      </x:c>
    </x:row>
    <x:row r="1309">
      <x:c r="G1309" t="str">
        <x:v>ORD-ALB</x:v>
      </x:c>
      <x:c r="H1309" t="str">
        <x:v>ORD</x:v>
      </x:c>
      <x:c r="I1309" t="str">
        <x:v>ALB</x:v>
      </x:c>
      <x:c r="J1309" s="23" t="n">
        <x:v>4120</x:v>
      </x:c>
      <x:c r="K1309" s="24" t="n">
        <x:v>0.22718446601941747</x:v>
      </x:c>
      <x:c r="L1309" s="24" t="n">
        <x:v>0.010194174757281554</x:v>
      </x:c>
    </x:row>
    <x:row r="1310">
      <x:c r="G1310" t="str">
        <x:v>FAR-ORD</x:v>
      </x:c>
      <x:c r="H1310" t="str">
        <x:v>FAR</x:v>
      </x:c>
      <x:c r="I1310" t="str">
        <x:v>ORD</x:v>
      </x:c>
      <x:c r="J1310" s="23" t="n">
        <x:v>5379</x:v>
      </x:c>
      <x:c r="K1310" s="24" t="n">
        <x:v>0.22717977319204313</x:v>
      </x:c>
      <x:c r="L1310" s="24" t="n">
        <x:v>0.015430377393567578</x:v>
      </x:c>
    </x:row>
    <x:row r="1311">
      <x:c r="G1311" t="str">
        <x:v>SDF-BOS</x:v>
      </x:c>
      <x:c r="H1311" t="str">
        <x:v>SDF</x:v>
      </x:c>
      <x:c r="I1311" t="str">
        <x:v>BOS</x:v>
      </x:c>
      <x:c r="J1311" s="23" t="n">
        <x:v>2136</x:v>
      </x:c>
      <x:c r="K1311" s="24" t="n">
        <x:v>0.22705992509363296</x:v>
      </x:c>
      <x:c r="L1311" s="24" t="n">
        <x:v>0.018258426966292134</x:v>
      </x:c>
    </x:row>
    <x:row r="1312">
      <x:c r="G1312" t="str">
        <x:v>PHL-PIT</x:v>
      </x:c>
      <x:c r="H1312" t="str">
        <x:v>PHL</x:v>
      </x:c>
      <x:c r="I1312" t="str">
        <x:v>PIT</x:v>
      </x:c>
      <x:c r="J1312" s="23" t="n">
        <x:v>4510</x:v>
      </x:c>
      <x:c r="K1312" s="24" t="n">
        <x:v>0.2270509977827051</x:v>
      </x:c>
      <x:c r="L1312" s="24" t="n">
        <x:v>0.019068736141906874</x:v>
      </x:c>
    </x:row>
    <x:row r="1313">
      <x:c r="G1313" t="str">
        <x:v>DAL-IND</x:v>
      </x:c>
      <x:c r="H1313" t="str">
        <x:v>DAL</x:v>
      </x:c>
      <x:c r="I1313" t="str">
        <x:v>IND</x:v>
      </x:c>
      <x:c r="J1313" s="23" t="n">
        <x:v>2084</x:v>
      </x:c>
      <x:c r="K1313" s="24" t="n">
        <x:v>0.22696737044145873</x:v>
      </x:c>
      <x:c r="L1313" s="24" t="n">
        <x:v>0.01199616122840691</x:v>
      </x:c>
    </x:row>
    <x:row r="1314">
      <x:c r="G1314" t="str">
        <x:v>DEN-CPR</x:v>
      </x:c>
      <x:c r="H1314" t="str">
        <x:v>DEN</x:v>
      </x:c>
      <x:c r="I1314" t="str">
        <x:v>CPR</x:v>
      </x:c>
      <x:c r="J1314" s="23" t="n">
        <x:v>4829</x:v>
      </x:c>
      <x:c r="K1314" s="24" t="n">
        <x:v>0.22696210395527025</x:v>
      </x:c>
      <x:c r="L1314" s="24" t="n">
        <x:v>0.015945330296127564</x:v>
      </x:c>
    </x:row>
    <x:row r="1315">
      <x:c r="G1315" t="str">
        <x:v>MSY-SAT</x:v>
      </x:c>
      <x:c r="H1315" t="str">
        <x:v>MSY</x:v>
      </x:c>
      <x:c r="I1315" t="str">
        <x:v>SAT</x:v>
      </x:c>
      <x:c r="J1315" s="23" t="n">
        <x:v>1181</x:v>
      </x:c>
      <x:c r="K1315" s="24" t="n">
        <x:v>0.22692633361558</x:v>
      </x:c>
      <x:c r="L1315" s="24" t="n">
        <x:v>0.002540220152413209</x:v>
      </x:c>
    </x:row>
    <x:row r="1316">
      <x:c r="G1316" t="str">
        <x:v>IAD-MCO</x:v>
      </x:c>
      <x:c r="H1316" t="str">
        <x:v>IAD</x:v>
      </x:c>
      <x:c r="I1316" t="str">
        <x:v>MCO</x:v>
      </x:c>
      <x:c r="J1316" s="23" t="n">
        <x:v>5363</x:v>
      </x:c>
      <x:c r="K1316" s="24" t="n">
        <x:v>0.22692522841693083</x:v>
      </x:c>
      <x:c r="L1316" s="24" t="n">
        <x:v>0.010628379638262167</x:v>
      </x:c>
    </x:row>
    <x:row r="1317">
      <x:c r="G1317" t="str">
        <x:v>SHV-DFW</x:v>
      </x:c>
      <x:c r="H1317" t="str">
        <x:v>SHV</x:v>
      </x:c>
      <x:c r="I1317" t="str">
        <x:v>DFW</x:v>
      </x:c>
      <x:c r="J1317" s="23" t="n">
        <x:v>5954</x:v>
      </x:c>
      <x:c r="K1317" s="24" t="n">
        <x:v>0.22690628149143433</x:v>
      </x:c>
      <x:c r="L1317" s="24" t="n">
        <x:v>0.02720859926100101</x:v>
      </x:c>
    </x:row>
    <x:row r="1318">
      <x:c r="G1318" t="str">
        <x:v>ICT-DFW</x:v>
      </x:c>
      <x:c r="H1318" t="str">
        <x:v>ICT</x:v>
      </x:c>
      <x:c r="I1318" t="str">
        <x:v>DFW</x:v>
      </x:c>
      <x:c r="J1318" s="23" t="n">
        <x:v>7705</x:v>
      </x:c>
      <x:c r="K1318" s="24" t="n">
        <x:v>0.22686567164179106</x:v>
      </x:c>
      <x:c r="L1318" s="24" t="n">
        <x:v>0.02946138870863076</x:v>
      </x:c>
    </x:row>
    <x:row r="1319">
      <x:c r="G1319" t="str">
        <x:v>DAL-COS</x:v>
      </x:c>
      <x:c r="H1319" t="str">
        <x:v>DAL</x:v>
      </x:c>
      <x:c r="I1319" t="str">
        <x:v>COS</x:v>
      </x:c>
      <x:c r="J1319" s="23" t="n">
        <x:v>2756</x:v>
      </x:c>
      <x:c r="K1319" s="24" t="n">
        <x:v>0.22677793904208998</x:v>
      </x:c>
      <x:c r="L1319" s="24" t="n">
        <x:v>0.007982583454281567</x:v>
      </x:c>
    </x:row>
    <x:row r="1320">
      <x:c r="G1320" t="str">
        <x:v>STL-RSW</x:v>
      </x:c>
      <x:c r="H1320" t="str">
        <x:v>STL</x:v>
      </x:c>
      <x:c r="I1320" t="str">
        <x:v>RSW</x:v>
      </x:c>
      <x:c r="J1320" s="23" t="n">
        <x:v>2630</x:v>
      </x:c>
      <x:c r="K1320" s="24" t="n">
        <x:v>0.22661596958174904</x:v>
      </x:c>
      <x:c r="L1320" s="24" t="n">
        <x:v>0.011026615969581748</x:v>
      </x:c>
    </x:row>
    <x:row r="1321">
      <x:c r="G1321" t="str">
        <x:v>ABE-ORD</x:v>
      </x:c>
      <x:c r="H1321" t="str">
        <x:v>ABE</x:v>
      </x:c>
      <x:c r="I1321" t="str">
        <x:v>ORD</x:v>
      </x:c>
      <x:c r="J1321" s="23" t="n">
        <x:v>1077</x:v>
      </x:c>
      <x:c r="K1321" s="24" t="n">
        <x:v>0.2265552460538533</x:v>
      </x:c>
      <x:c r="L1321" s="24" t="n">
        <x:v>0.017641597028783658</x:v>
      </x:c>
    </x:row>
    <x:row r="1322">
      <x:c r="G1322" t="str">
        <x:v>LGA-LIT</x:v>
      </x:c>
      <x:c r="H1322" t="str">
        <x:v>LGA</x:v>
      </x:c>
      <x:c r="I1322" t="str">
        <x:v>LIT</x:v>
      </x:c>
      <x:c r="J1322" s="23" t="n">
        <x:v>1439</x:v>
      </x:c>
      <x:c r="K1322" s="24" t="n">
        <x:v>0.226546212647672</x:v>
      </x:c>
      <x:c r="L1322" s="24" t="n">
        <x:v>0.03683113273106324</x:v>
      </x:c>
    </x:row>
    <x:row r="1323">
      <x:c r="G1323" t="str">
        <x:v>TPA-DAL</x:v>
      </x:c>
      <x:c r="H1323" t="str">
        <x:v>TPA</x:v>
      </x:c>
      <x:c r="I1323" t="str">
        <x:v>DAL</x:v>
      </x:c>
      <x:c r="J1323" s="23" t="n">
        <x:v>4049</x:v>
      </x:c>
      <x:c r="K1323" s="24" t="n">
        <x:v>0.22647567300568042</x:v>
      </x:c>
      <x:c r="L1323" s="24" t="n">
        <x:v>0.01975796492961225</x:v>
      </x:c>
    </x:row>
    <x:row r="1324">
      <x:c r="G1324" t="str">
        <x:v>ORD-CVG</x:v>
      </x:c>
      <x:c r="H1324" t="str">
        <x:v>ORD</x:v>
      </x:c>
      <x:c r="I1324" t="str">
        <x:v>CVG</x:v>
      </x:c>
      <x:c r="J1324" s="23" t="n">
        <x:v>9463</x:v>
      </x:c>
      <x:c r="K1324" s="24" t="n">
        <x:v>0.22646095318609322</x:v>
      </x:c>
      <x:c r="L1324" s="24" t="n">
        <x:v>0.014477438444467928</x:v>
      </x:c>
    </x:row>
    <x:row r="1325">
      <x:c r="G1325" t="str">
        <x:v>SEA-MCI</x:v>
      </x:c>
      <x:c r="H1325" t="str">
        <x:v>SEA</x:v>
      </x:c>
      <x:c r="I1325" t="str">
        <x:v>MCI</x:v>
      </x:c>
      <x:c r="J1325" s="23" t="n">
        <x:v>3440</x:v>
      </x:c>
      <x:c r="K1325" s="24" t="n">
        <x:v>0.22645348837209303</x:v>
      </x:c>
      <x:c r="L1325" s="24" t="n">
        <x:v>0.009302325581395349</x:v>
      </x:c>
    </x:row>
    <x:row r="1326">
      <x:c r="G1326" t="str">
        <x:v>SAN-RNO</x:v>
      </x:c>
      <x:c r="H1326" t="str">
        <x:v>SAN</x:v>
      </x:c>
      <x:c r="I1326" t="str">
        <x:v>RNO</x:v>
      </x:c>
      <x:c r="J1326" s="23" t="n">
        <x:v>2769</x:v>
      </x:c>
      <x:c r="K1326" s="24" t="n">
        <x:v>0.22643553629469124</x:v>
      </x:c>
      <x:c r="L1326" s="24" t="n">
        <x:v>0.012639942217407007</x:v>
      </x:c>
    </x:row>
    <x:row r="1327">
      <x:c r="G1327" t="str">
        <x:v>EWR-CLT</x:v>
      </x:c>
      <x:c r="H1327" t="str">
        <x:v>EWR</x:v>
      </x:c>
      <x:c r="I1327" t="str">
        <x:v>CLT</x:v>
      </x:c>
      <x:c r="J1327" s="23" t="n">
        <x:v>11599</x:v>
      </x:c>
      <x:c r="K1327" s="24" t="n">
        <x:v>0.22631261315630657</x:v>
      </x:c>
      <x:c r="L1327" s="24" t="n">
        <x:v>0.025260798344684886</x:v>
      </x:c>
    </x:row>
    <x:row r="1328">
      <x:c r="G1328" t="str">
        <x:v>ABQ-BUR</x:v>
      </x:c>
      <x:c r="H1328" t="str">
        <x:v>ABQ</x:v>
      </x:c>
      <x:c r="I1328" t="str">
        <x:v>BUR</x:v>
      </x:c>
      <x:c r="J1328" s="23" t="n">
        <x:v>1034</x:v>
      </x:c>
      <x:c r="K1328" s="24" t="n">
        <x:v>0.2263056092843327</x:v>
      </x:c>
      <x:c r="L1328" s="24" t="n">
        <x:v>0.005802707930367505</x:v>
      </x:c>
    </x:row>
    <x:row r="1329">
      <x:c r="G1329" t="str">
        <x:v>BNA-PHL</x:v>
      </x:c>
      <x:c r="H1329" t="str">
        <x:v>BNA</x:v>
      </x:c>
      <x:c r="I1329" t="str">
        <x:v>PHL</x:v>
      </x:c>
      <x:c r="J1329" s="23" t="n">
        <x:v>8286</x:v>
      </x:c>
      <x:c r="K1329" s="24" t="n">
        <x:v>0.22628530050687906</x:v>
      </x:c>
      <x:c r="L1329" s="24" t="n">
        <x:v>0.013637460777214578</x:v>
      </x:c>
    </x:row>
    <x:row r="1330">
      <x:c r="G1330" t="str">
        <x:v>LAS-KOA</x:v>
      </x:c>
      <x:c r="H1330" t="str">
        <x:v>LAS</x:v>
      </x:c>
      <x:c r="I1330" t="str">
        <x:v>KOA</x:v>
      </x:c>
      <x:c r="J1330" s="23" t="n">
        <x:v>1096</x:v>
      </x:c>
      <x:c r="K1330" s="24" t="n">
        <x:v>0.22627737226277372</x:v>
      </x:c>
      <x:c r="L1330" s="24" t="n">
        <x:v>0</x:v>
      </x:c>
    </x:row>
    <x:row r="1331">
      <x:c r="G1331" t="str">
        <x:v>LGA-ORD</x:v>
      </x:c>
      <x:c r="H1331" t="str">
        <x:v>LGA</x:v>
      </x:c>
      <x:c r="I1331" t="str">
        <x:v>ORD</x:v>
      </x:c>
      <x:c r="J1331" s="23" t="n">
        <x:v>32439</x:v>
      </x:c>
      <x:c r="K1331" s="24" t="n">
        <x:v>0.22627084682018558</x:v>
      </x:c>
      <x:c r="L1331" s="24" t="n">
        <x:v>0.025401522858287864</x:v>
      </x:c>
    </x:row>
    <x:row r="1332">
      <x:c r="G1332" t="str">
        <x:v>PHL-BOS</x:v>
      </x:c>
      <x:c r="H1332" t="str">
        <x:v>PHL</x:v>
      </x:c>
      <x:c r="I1332" t="str">
        <x:v>BOS</x:v>
      </x:c>
      <x:c r="J1332" s="23" t="n">
        <x:v>14831</x:v>
      </x:c>
      <x:c r="K1332" s="24" t="n">
        <x:v>0.22621535971950643</x:v>
      </x:c>
      <x:c r="L1332" s="24" t="n">
        <x:v>0.01860966893668667</x:v>
      </x:c>
    </x:row>
    <x:row r="1333">
      <x:c r="G1333" t="str">
        <x:v>SJU-MIA</x:v>
      </x:c>
      <x:c r="H1333" t="str">
        <x:v>SJU</x:v>
      </x:c>
      <x:c r="I1333" t="str">
        <x:v>MIA</x:v>
      </x:c>
      <x:c r="J1333" s="23" t="n">
        <x:v>8298</x:v>
      </x:c>
      <x:c r="K1333" s="24" t="n">
        <x:v>0.22619908411665463</x:v>
      </x:c>
      <x:c r="L1333" s="24" t="n">
        <x:v>0.006869125090383225</x:v>
      </x:c>
    </x:row>
    <x:row r="1334">
      <x:c r="G1334" t="str">
        <x:v>DFW-IDA</x:v>
      </x:c>
      <x:c r="H1334" t="str">
        <x:v>DFW</x:v>
      </x:c>
      <x:c r="I1334" t="str">
        <x:v>IDA</x:v>
      </x:c>
      <x:c r="J1334" s="23" t="n">
        <x:v>1614</x:v>
      </x:c>
      <x:c r="K1334" s="24" t="n">
        <x:v>0.22614622057001238</x:v>
      </x:c>
      <x:c r="L1334" s="24" t="n">
        <x:v>0.016728624535315983</x:v>
      </x:c>
    </x:row>
    <x:row r="1335">
      <x:c r="G1335" t="str">
        <x:v>HLN-DEN</x:v>
      </x:c>
      <x:c r="H1335" t="str">
        <x:v>HLN</x:v>
      </x:c>
      <x:c r="I1335" t="str">
        <x:v>DEN</x:v>
      </x:c>
      <x:c r="J1335" s="23" t="n">
        <x:v>2189</x:v>
      </x:c>
      <x:c r="K1335" s="24" t="n">
        <x:v>0.22613065326633167</x:v>
      </x:c>
      <x:c r="L1335" s="24" t="n">
        <x:v>0.011420740063956145</x:v>
      </x:c>
    </x:row>
    <x:row r="1336">
      <x:c r="G1336" t="str">
        <x:v>BOS-RDU</x:v>
      </x:c>
      <x:c r="H1336" t="str">
        <x:v>BOS</x:v>
      </x:c>
      <x:c r="I1336" t="str">
        <x:v>RDU</x:v>
      </x:c>
      <x:c r="J1336" s="23" t="n">
        <x:v>8964</x:v>
      </x:c>
      <x:c r="K1336" s="24" t="n">
        <x:v>0.22612672913877732</x:v>
      </x:c>
      <x:c r="L1336" s="24" t="n">
        <x:v>0.015394912985274432</x:v>
      </x:c>
    </x:row>
    <x:row r="1337">
      <x:c r="G1337" t="str">
        <x:v>CAE-DCA</x:v>
      </x:c>
      <x:c r="H1337" t="str">
        <x:v>CAE</x:v>
      </x:c>
      <x:c r="I1337" t="str">
        <x:v>DCA</x:v>
      </x:c>
      <x:c r="J1337" s="23" t="n">
        <x:v>3180</x:v>
      </x:c>
      <x:c r="K1337" s="24" t="n">
        <x:v>0.22610062893081762</x:v>
      </x:c>
      <x:c r="L1337" s="24" t="n">
        <x:v>0.03773584905660377</x:v>
      </x:c>
    </x:row>
    <x:row r="1338">
      <x:c r="G1338" t="str">
        <x:v>LAS-CMH</x:v>
      </x:c>
      <x:c r="H1338" t="str">
        <x:v>LAS</x:v>
      </x:c>
      <x:c r="I1338" t="str">
        <x:v>CMH</x:v>
      </x:c>
      <x:c r="J1338" s="23" t="n">
        <x:v>3127</x:v>
      </x:c>
      <x:c r="K1338" s="24" t="n">
        <x:v>0.22609529900863448</x:v>
      </x:c>
      <x:c r="L1338" s="24" t="n">
        <x:v>0.004157339302846178</x:v>
      </x:c>
    </x:row>
    <x:row r="1339">
      <x:c r="G1339" t="str">
        <x:v>DAL-BWI</x:v>
      </x:c>
      <x:c r="H1339" t="str">
        <x:v>DAL</x:v>
      </x:c>
      <x:c r="I1339" t="str">
        <x:v>BWI</x:v>
      </x:c>
      <x:c r="J1339" s="23" t="n">
        <x:v>5436</x:v>
      </x:c>
      <x:c r="K1339" s="24" t="n">
        <x:v>0.22608535688005887</x:v>
      </x:c>
      <x:c r="L1339" s="24" t="n">
        <x:v>0.015636497424576894</x:v>
      </x:c>
    </x:row>
    <x:row r="1340">
      <x:c r="G1340" t="str">
        <x:v>ORD-GSP</x:v>
      </x:c>
      <x:c r="H1340" t="str">
        <x:v>ORD</x:v>
      </x:c>
      <x:c r="I1340" t="str">
        <x:v>GSP</x:v>
      </x:c>
      <x:c r="J1340" s="23" t="n">
        <x:v>4061</x:v>
      </x:c>
      <x:c r="K1340" s="24" t="n">
        <x:v>0.22605269638020192</x:v>
      </x:c>
      <x:c r="L1340" s="24" t="n">
        <x:v>0.01699088894360995</x:v>
      </x:c>
    </x:row>
    <x:row r="1341">
      <x:c r="G1341" t="str">
        <x:v>LAS-STL</x:v>
      </x:c>
      <x:c r="H1341" t="str">
        <x:v>LAS</x:v>
      </x:c>
      <x:c r="I1341" t="str">
        <x:v>STL</x:v>
      </x:c>
      <x:c r="J1341" s="23" t="n">
        <x:v>6158</x:v>
      </x:c>
      <x:c r="K1341" s="24" t="n">
        <x:v>0.22604741799285483</x:v>
      </x:c>
      <x:c r="L1341" s="24" t="n">
        <x:v>0.0071451770055212735</x:v>
      </x:c>
    </x:row>
    <x:row r="1342">
      <x:c r="G1342" t="str">
        <x:v>ATL-ORF</x:v>
      </x:c>
      <x:c r="H1342" t="str">
        <x:v>ATL</x:v>
      </x:c>
      <x:c r="I1342" t="str">
        <x:v>ORF</x:v>
      </x:c>
      <x:c r="J1342" s="23" t="n">
        <x:v>7712</x:v>
      </x:c>
      <x:c r="K1342" s="24" t="n">
        <x:v>0.22601141078838174</x:v>
      </x:c>
      <x:c r="L1342" s="24" t="n">
        <x:v>0.009725103734439834</x:v>
      </x:c>
    </x:row>
    <x:row r="1343">
      <x:c r="G1343" t="str">
        <x:v>ORD-CLT</x:v>
      </x:c>
      <x:c r="H1343" t="str">
        <x:v>ORD</x:v>
      </x:c>
      <x:c r="I1343" t="str">
        <x:v>CLT</x:v>
      </x:c>
      <x:c r="J1343" s="23" t="n">
        <x:v>13084</x:v>
      </x:c>
      <x:c r="K1343" s="24" t="n">
        <x:v>0.22600122286762458</x:v>
      </x:c>
      <x:c r="L1343" s="24" t="n">
        <x:v>0.010088657902782024</x:v>
      </x:c>
    </x:row>
    <x:row r="1344">
      <x:c r="G1344" t="str">
        <x:v>IND-CLT</x:v>
      </x:c>
      <x:c r="H1344" t="str">
        <x:v>IND</x:v>
      </x:c>
      <x:c r="I1344" t="str">
        <x:v>CLT</x:v>
      </x:c>
      <x:c r="J1344" s="23" t="n">
        <x:v>5571</x:v>
      </x:c>
      <x:c r="K1344" s="24" t="n">
        <x:v>0.22599174295458624</x:v>
      </x:c>
      <x:c r="L1344" s="24" t="n">
        <x:v>0.011847065158858373</x:v>
      </x:c>
    </x:row>
    <x:row r="1345">
      <x:c r="G1345" t="str">
        <x:v>CLT-BTR</x:v>
      </x:c>
      <x:c r="H1345" t="str">
        <x:v>CLT</x:v>
      </x:c>
      <x:c r="I1345" t="str">
        <x:v>BTR</x:v>
      </x:c>
      <x:c r="J1345" s="23" t="n">
        <x:v>2425</x:v>
      </x:c>
      <x:c r="K1345" s="24" t="n">
        <x:v>0.22597938144329896</x:v>
      </x:c>
      <x:c r="L1345" s="24" t="n">
        <x:v>0.014845360824742268</x:v>
      </x:c>
    </x:row>
    <x:row r="1346">
      <x:c r="G1346" t="str">
        <x:v>STL-MCI</x:v>
      </x:c>
      <x:c r="H1346" t="str">
        <x:v>STL</x:v>
      </x:c>
      <x:c r="I1346" t="str">
        <x:v>MCI</x:v>
      </x:c>
      <x:c r="J1346" s="23" t="n">
        <x:v>3222</x:v>
      </x:c>
      <x:c r="K1346" s="24" t="n">
        <x:v>0.22594661700806953</x:v>
      </x:c>
      <x:c r="L1346" s="24" t="n">
        <x:v>0.0074487895716946</x:v>
      </x:c>
    </x:row>
    <x:row r="1347">
      <x:c r="G1347" t="str">
        <x:v>ACY-FLL</x:v>
      </x:c>
      <x:c r="H1347" t="str">
        <x:v>ACY</x:v>
      </x:c>
      <x:c r="I1347" t="str">
        <x:v>FLL</x:v>
      </x:c>
      <x:c r="J1347" s="23" t="n">
        <x:v>1642</x:v>
      </x:c>
      <x:c r="K1347" s="24" t="n">
        <x:v>0.2259439707673569</x:v>
      </x:c>
      <x:c r="L1347" s="24" t="n">
        <x:v>0.014616321559074299</x:v>
      </x:c>
    </x:row>
    <x:row r="1348">
      <x:c r="G1348" t="str">
        <x:v>OAK-SAN</x:v>
      </x:c>
      <x:c r="H1348" t="str">
        <x:v>OAK</x:v>
      </x:c>
      <x:c r="I1348" t="str">
        <x:v>SAN</x:v>
      </x:c>
      <x:c r="J1348" s="23" t="n">
        <x:v>10641</x:v>
      </x:c>
      <x:c r="K1348" s="24" t="n">
        <x:v>0.22591861667136548</x:v>
      </x:c>
      <x:c r="L1348" s="24" t="n">
        <x:v>0.01127713560755568</x:v>
      </x:c>
    </x:row>
    <x:row r="1349">
      <x:c r="G1349" t="str">
        <x:v>DCA-TPA</x:v>
      </x:c>
      <x:c r="H1349" t="str">
        <x:v>DCA</x:v>
      </x:c>
      <x:c r="I1349" t="str">
        <x:v>TPA</x:v>
      </x:c>
      <x:c r="J1349" s="23" t="n">
        <x:v>6432</x:v>
      </x:c>
      <x:c r="K1349" s="24" t="n">
        <x:v>0.22590174129353233</x:v>
      </x:c>
      <x:c r="L1349" s="24" t="n">
        <x:v>0.01912313432835821</x:v>
      </x:c>
    </x:row>
    <x:row r="1350">
      <x:c r="G1350" t="str">
        <x:v>ATL-ALB</x:v>
      </x:c>
      <x:c r="H1350" t="str">
        <x:v>ATL</x:v>
      </x:c>
      <x:c r="I1350" t="str">
        <x:v>ALB</x:v>
      </x:c>
      <x:c r="J1350" s="23" t="n">
        <x:v>3055</x:v>
      </x:c>
      <x:c r="K1350" s="24" t="n">
        <x:v>0.22585924713584288</x:v>
      </x:c>
      <x:c r="L1350" s="24" t="n">
        <x:v>0.011129296235679214</x:v>
      </x:c>
    </x:row>
    <x:row r="1351">
      <x:c r="G1351" t="str">
        <x:v>MSP-FWA</x:v>
      </x:c>
      <x:c r="H1351" t="str">
        <x:v>MSP</x:v>
      </x:c>
      <x:c r="I1351" t="str">
        <x:v>FWA</x:v>
      </x:c>
      <x:c r="J1351" s="23" t="n">
        <x:v>1094</x:v>
      </x:c>
      <x:c r="K1351" s="24" t="n">
        <x:v>0.22577696526508226</x:v>
      </x:c>
      <x:c r="L1351" s="24" t="n">
        <x:v>0.010968921389396709</x:v>
      </x:c>
    </x:row>
    <x:row r="1352">
      <x:c r="G1352" t="str">
        <x:v>DAL-MDW</x:v>
      </x:c>
      <x:c r="H1352" t="str">
        <x:v>DAL</x:v>
      </x:c>
      <x:c r="I1352" t="str">
        <x:v>MDW</x:v>
      </x:c>
      <x:c r="J1352" s="23" t="n">
        <x:v>6821</x:v>
      </x:c>
      <x:c r="K1352" s="24" t="n">
        <x:v>0.22577334701656648</x:v>
      </x:c>
      <x:c r="L1352" s="24" t="n">
        <x:v>0.01729951619997068</x:v>
      </x:c>
    </x:row>
    <x:row r="1353">
      <x:c r="G1353" t="str">
        <x:v>SFO-PHX</x:v>
      </x:c>
      <x:c r="H1353" t="str">
        <x:v>SFO</x:v>
      </x:c>
      <x:c r="I1353" t="str">
        <x:v>PHX</x:v>
      </x:c>
      <x:c r="J1353" s="23" t="n">
        <x:v>13852</x:v>
      </x:c>
      <x:c r="K1353" s="24" t="n">
        <x:v>0.22574357493502742</x:v>
      </x:c>
      <x:c r="L1353" s="24" t="n">
        <x:v>0.005847531042448744</x:v>
      </x:c>
    </x:row>
    <x:row r="1354">
      <x:c r="G1354" t="str">
        <x:v>CVG-LAS</x:v>
      </x:c>
      <x:c r="H1354" t="str">
        <x:v>CVG</x:v>
      </x:c>
      <x:c r="I1354" t="str">
        <x:v>LAS</x:v>
      </x:c>
      <x:c r="J1354" s="23" t="n">
        <x:v>2215</x:v>
      </x:c>
      <x:c r="K1354" s="24" t="n">
        <x:v>0.22573363431151242</x:v>
      </x:c>
      <x:c r="L1354" s="24" t="n">
        <x:v>0.009029345372460496</x:v>
      </x:c>
    </x:row>
    <x:row r="1355">
      <x:c r="G1355" t="str">
        <x:v>XWA-DEN</x:v>
      </x:c>
      <x:c r="H1355" t="str">
        <x:v>XWA</x:v>
      </x:c>
      <x:c r="I1355" t="str">
        <x:v>DEN</x:v>
      </x:c>
      <x:c r="J1355" s="23" t="n">
        <x:v>3779</x:v>
      </x:c>
      <x:c r="K1355" s="24" t="n">
        <x:v>0.22572109023551204</x:v>
      </x:c>
      <x:c r="L1355" s="24" t="n">
        <x:v>0.018523418893887273</x:v>
      </x:c>
    </x:row>
    <x:row r="1356">
      <x:c r="G1356" t="str">
        <x:v>DCA-MHT</x:v>
      </x:c>
      <x:c r="H1356" t="str">
        <x:v>DCA</x:v>
      </x:c>
      <x:c r="I1356" t="str">
        <x:v>MHT</x:v>
      </x:c>
      <x:c r="J1356" s="23" t="n">
        <x:v>3531</x:v>
      </x:c>
      <x:c r="K1356" s="24" t="n">
        <x:v>0.22571509487397337</x:v>
      </x:c>
      <x:c r="L1356" s="24" t="n">
        <x:v>0.041631265930331354</x:v>
      </x:c>
    </x:row>
    <x:row r="1357">
      <x:c r="G1357" t="str">
        <x:v>ATL-MSY</x:v>
      </x:c>
      <x:c r="H1357" t="str">
        <x:v>ATL</x:v>
      </x:c>
      <x:c r="I1357" t="str">
        <x:v>MSY</x:v>
      </x:c>
      <x:c r="J1357" s="23" t="n">
        <x:v>13526</x:v>
      </x:c>
      <x:c r="K1357" s="24" t="n">
        <x:v>0.22571344078071862</x:v>
      </x:c>
      <x:c r="L1357" s="24" t="n">
        <x:v>0.011237616442407216</x:v>
      </x:c>
    </x:row>
    <x:row r="1358">
      <x:c r="G1358" t="str">
        <x:v>PIA-DFW</x:v>
      </x:c>
      <x:c r="H1358" t="str">
        <x:v>PIA</x:v>
      </x:c>
      <x:c r="I1358" t="str">
        <x:v>DFW</x:v>
      </x:c>
      <x:c r="J1358" s="23" t="n">
        <x:v>2344</x:v>
      </x:c>
      <x:c r="K1358" s="24" t="n">
        <x:v>0.2256825938566553</x:v>
      </x:c>
      <x:c r="L1358" s="24" t="n">
        <x:v>0.016638225255972697</x:v>
      </x:c>
    </x:row>
    <x:row r="1359">
      <x:c r="G1359" t="str">
        <x:v>RDU-MCO</x:v>
      </x:c>
      <x:c r="H1359" t="str">
        <x:v>RDU</x:v>
      </x:c>
      <x:c r="I1359" t="str">
        <x:v>MCO</x:v>
      </x:c>
      <x:c r="J1359" s="23" t="n">
        <x:v>8149</x:v>
      </x:c>
      <x:c r="K1359" s="24" t="n">
        <x:v>0.22567186157810773</x:v>
      </x:c>
      <x:c r="L1359" s="24" t="n">
        <x:v>0.01583016321020984</x:v>
      </x:c>
    </x:row>
    <x:row r="1360">
      <x:c r="G1360" t="str">
        <x:v>CID-ORD</x:v>
      </x:c>
      <x:c r="H1360" t="str">
        <x:v>CID</x:v>
      </x:c>
      <x:c r="I1360" t="str">
        <x:v>ORD</x:v>
      </x:c>
      <x:c r="J1360" s="23" t="n">
        <x:v>6257</x:v>
      </x:c>
      <x:c r="K1360" s="24" t="n">
        <x:v>0.22566725267700175</x:v>
      </x:c>
      <x:c r="L1360" s="24" t="n">
        <x:v>0.023174045069522135</x:v>
      </x:c>
    </x:row>
    <x:row r="1361">
      <x:c r="G1361" t="str">
        <x:v>DEN-RAP</x:v>
      </x:c>
      <x:c r="H1361" t="str">
        <x:v>DEN</x:v>
      </x:c>
      <x:c r="I1361" t="str">
        <x:v>RAP</x:v>
      </x:c>
      <x:c r="J1361" s="23" t="n">
        <x:v>6466</x:v>
      </x:c>
      <x:c r="K1361" s="24" t="n">
        <x:v>0.22564181874420045</x:v>
      </x:c>
      <x:c r="L1361" s="24" t="n">
        <x:v>0.017785338694710794</x:v>
      </x:c>
    </x:row>
    <x:row r="1362">
      <x:c r="G1362" t="str">
        <x:v>AUS-SJC</x:v>
      </x:c>
      <x:c r="H1362" t="str">
        <x:v>AUS</x:v>
      </x:c>
      <x:c r="I1362" t="str">
        <x:v>SJC</x:v>
      </x:c>
      <x:c r="J1362" s="23" t="n">
        <x:v>3980</x:v>
      </x:c>
      <x:c r="K1362" s="24" t="n">
        <x:v>0.22562814070351758</x:v>
      </x:c>
      <x:c r="L1362" s="24" t="n">
        <x:v>0.004522613065326633</x:v>
      </x:c>
    </x:row>
    <x:row r="1363">
      <x:c r="G1363" t="str">
        <x:v>OMA-DAL</x:v>
      </x:c>
      <x:c r="H1363" t="str">
        <x:v>OMA</x:v>
      </x:c>
      <x:c r="I1363" t="str">
        <x:v>DAL</x:v>
      </x:c>
      <x:c r="J1363" s="23" t="n">
        <x:v>1277</x:v>
      </x:c>
      <x:c r="K1363" s="24" t="n">
        <x:v>0.2255285826155051</x:v>
      </x:c>
      <x:c r="L1363" s="24" t="n">
        <x:v>0.01096319498825372</x:v>
      </x:c>
    </x:row>
    <x:row r="1364">
      <x:c r="G1364" t="str">
        <x:v>SAN-STS</x:v>
      </x:c>
      <x:c r="H1364" t="str">
        <x:v>SAN</x:v>
      </x:c>
      <x:c r="I1364" t="str">
        <x:v>STS</x:v>
      </x:c>
      <x:c r="J1364" s="23" t="n">
        <x:v>2053</x:v>
      </x:c>
      <x:c r="K1364" s="24" t="n">
        <x:v>0.22552362396492937</x:v>
      </x:c>
      <x:c r="L1364" s="24" t="n">
        <x:v>0.018509498295177788</x:v>
      </x:c>
    </x:row>
    <x:row r="1365">
      <x:c r="G1365" t="str">
        <x:v>ORD-ABQ</x:v>
      </x:c>
      <x:c r="H1365" t="str">
        <x:v>ORD</x:v>
      </x:c>
      <x:c r="I1365" t="str">
        <x:v>ABQ</x:v>
      </x:c>
      <x:c r="J1365" s="23" t="n">
        <x:v>2794</x:v>
      </x:c>
      <x:c r="K1365" s="24" t="n">
        <x:v>0.22548317823908376</x:v>
      </x:c>
      <x:c r="L1365" s="24" t="n">
        <x:v>0.0071581961345740875</x:v>
      </x:c>
    </x:row>
    <x:row r="1366">
      <x:c r="G1366" t="str">
        <x:v>DCA-PDX</x:v>
      </x:c>
      <x:c r="H1366" t="str">
        <x:v>DCA</x:v>
      </x:c>
      <x:c r="I1366" t="str">
        <x:v>PDX</x:v>
      </x:c>
      <x:c r="J1366" s="23" t="n">
        <x:v>1091</x:v>
      </x:c>
      <x:c r="K1366" s="24" t="n">
        <x:v>0.22548120989917506</x:v>
      </x:c>
      <x:c r="L1366" s="24" t="n">
        <x:v>0.006416131989000917</x:v>
      </x:c>
    </x:row>
    <x:row r="1367">
      <x:c r="G1367" t="str">
        <x:v>LGA-DAL</x:v>
      </x:c>
      <x:c r="H1367" t="str">
        <x:v>LGA</x:v>
      </x:c>
      <x:c r="I1367" t="str">
        <x:v>DAL</x:v>
      </x:c>
      <x:c r="J1367" s="23" t="n">
        <x:v>4138</x:v>
      </x:c>
      <x:c r="K1367" s="24" t="n">
        <x:v>0.22547124214596423</x:v>
      </x:c>
      <x:c r="L1367" s="24" t="n">
        <x:v>0.021749637506041565</x:v>
      </x:c>
    </x:row>
    <x:row r="1368">
      <x:c r="G1368" t="str">
        <x:v>ORD-HPN</x:v>
      </x:c>
      <x:c r="H1368" t="str">
        <x:v>ORD</x:v>
      </x:c>
      <x:c r="I1368" t="str">
        <x:v>HPN</x:v>
      </x:c>
      <x:c r="J1368" s="23" t="n">
        <x:v>3934</x:v>
      </x:c>
      <x:c r="K1368" s="24" t="n">
        <x:v>0.22547025927808845</x:v>
      </x:c>
      <x:c r="L1368" s="24" t="n">
        <x:v>0.01652262328418912</x:v>
      </x:c>
    </x:row>
    <x:row r="1369">
      <x:c r="G1369" t="str">
        <x:v>FSD-ORD</x:v>
      </x:c>
      <x:c r="H1369" t="str">
        <x:v>FSD</x:v>
      </x:c>
      <x:c r="I1369" t="str">
        <x:v>ORD</x:v>
      </x:c>
      <x:c r="J1369" s="23" t="n">
        <x:v>4187</x:v>
      </x:c>
      <x:c r="K1369" s="24" t="n">
        <x:v>0.22545975638882254</x:v>
      </x:c>
      <x:c r="L1369" s="24" t="n">
        <x:v>0.023166945306902317</x:v>
      </x:c>
    </x:row>
    <x:row r="1370">
      <x:c r="G1370" t="str">
        <x:v>LAS-LIH</x:v>
      </x:c>
      <x:c r="H1370" t="str">
        <x:v>LAS</x:v>
      </x:c>
      <x:c r="I1370" t="str">
        <x:v>LIH</x:v>
      </x:c>
      <x:c r="J1370" s="23" t="n">
        <x:v>1096</x:v>
      </x:c>
      <x:c r="K1370" s="24" t="n">
        <x:v>0.22536496350364962</x:v>
      </x:c>
      <x:c r="L1370" s="24" t="n">
        <x:v>0</x:v>
      </x:c>
    </x:row>
    <x:row r="1371">
      <x:c r="G1371" t="str">
        <x:v>BWI-GSP</x:v>
      </x:c>
      <x:c r="H1371" t="str">
        <x:v>BWI</x:v>
      </x:c>
      <x:c r="I1371" t="str">
        <x:v>GSP</x:v>
      </x:c>
      <x:c r="J1371" s="23" t="n">
        <x:v>1651</x:v>
      </x:c>
      <x:c r="K1371" s="24" t="n">
        <x:v>0.22531798909751666</x:v>
      </x:c>
      <x:c r="L1371" s="24" t="n">
        <x:v>0.005451241671714113</x:v>
      </x:c>
    </x:row>
    <x:row r="1372">
      <x:c r="G1372" t="str">
        <x:v>DAL-MKE</x:v>
      </x:c>
      <x:c r="H1372" t="str">
        <x:v>DAL</x:v>
      </x:c>
      <x:c r="I1372" t="str">
        <x:v>MKE</x:v>
      </x:c>
      <x:c r="J1372" s="23" t="n">
        <x:v>1185</x:v>
      </x:c>
      <x:c r="K1372" s="24" t="n">
        <x:v>0.22531645569620254</x:v>
      </x:c>
      <x:c r="L1372" s="24" t="n">
        <x:v>0.01181434599156118</x:v>
      </x:c>
    </x:row>
    <x:row r="1373">
      <x:c r="G1373" t="str">
        <x:v>DEN-HDN</x:v>
      </x:c>
      <x:c r="H1373" t="str">
        <x:v>DEN</x:v>
      </x:c>
      <x:c r="I1373" t="str">
        <x:v>HDN</x:v>
      </x:c>
      <x:c r="J1373" s="23" t="n">
        <x:v>4501</x:v>
      </x:c>
      <x:c r="K1373" s="24" t="n">
        <x:v>0.22528327038435902</x:v>
      </x:c>
      <x:c r="L1373" s="24" t="n">
        <x:v>0.01510775383248167</x:v>
      </x:c>
    </x:row>
    <x:row r="1374">
      <x:c r="G1374" t="str">
        <x:v>DAL-ELP</x:v>
      </x:c>
      <x:c r="H1374" t="str">
        <x:v>DAL</x:v>
      </x:c>
      <x:c r="I1374" t="str">
        <x:v>ELP</x:v>
      </x:c>
      <x:c r="J1374" s="23" t="n">
        <x:v>5256</x:v>
      </x:c>
      <x:c r="K1374" s="24" t="n">
        <x:v>0.2252663622526636</x:v>
      </x:c>
      <x:c r="L1374" s="24" t="n">
        <x:v>0.011605783866057838</x:v>
      </x:c>
    </x:row>
    <x:row r="1375">
      <x:c r="G1375" t="str">
        <x:v>PSP-LAS</x:v>
      </x:c>
      <x:c r="H1375" t="str">
        <x:v>PSP</x:v>
      </x:c>
      <x:c r="I1375" t="str">
        <x:v>LAS</x:v>
      </x:c>
      <x:c r="J1375" s="23" t="n">
        <x:v>2242</x:v>
      </x:c>
      <x:c r="K1375" s="24" t="n">
        <x:v>0.22524531668153436</x:v>
      </x:c>
      <x:c r="L1375" s="24" t="n">
        <x:v>0.007136485280999108</x:v>
      </x:c>
    </x:row>
    <x:row r="1376">
      <x:c r="G1376" t="str">
        <x:v>CMH-ORD</x:v>
      </x:c>
      <x:c r="H1376" t="str">
        <x:v>CMH</x:v>
      </x:c>
      <x:c r="I1376" t="str">
        <x:v>ORD</x:v>
      </x:c>
      <x:c r="J1376" s="23" t="n">
        <x:v>10716</x:v>
      </x:c>
      <x:c r="K1376" s="24" t="n">
        <x:v>0.225177304964539</x:v>
      </x:c>
      <x:c r="L1376" s="24" t="n">
        <x:v>0.01017170586039567</x:v>
      </x:c>
    </x:row>
    <x:row r="1377">
      <x:c r="G1377" t="str">
        <x:v>PHL-CLT</x:v>
      </x:c>
      <x:c r="H1377" t="str">
        <x:v>PHL</x:v>
      </x:c>
      <x:c r="I1377" t="str">
        <x:v>CLT</x:v>
      </x:c>
      <x:c r="J1377" s="23" t="n">
        <x:v>11098</x:v>
      </x:c>
      <x:c r="K1377" s="24" t="n">
        <x:v>0.2251757073346549</x:v>
      </x:c>
      <x:c r="L1377" s="24" t="n">
        <x:v>0.01639935123445666</x:v>
      </x:c>
    </x:row>
    <x:row r="1378">
      <x:c r="G1378" t="str">
        <x:v>SMF-HNL</x:v>
      </x:c>
      <x:c r="H1378" t="str">
        <x:v>SMF</x:v>
      </x:c>
      <x:c r="I1378" t="str">
        <x:v>HNL</x:v>
      </x:c>
      <x:c r="J1378" s="23" t="n">
        <x:v>2194</x:v>
      </x:c>
      <x:c r="K1378" s="24" t="n">
        <x:v>0.22515952597994532</x:v>
      </x:c>
      <x:c r="L1378" s="24" t="n">
        <x:v>0.0036463081130355514</x:v>
      </x:c>
    </x:row>
    <x:row r="1379">
      <x:c r="G1379" t="str">
        <x:v>CVG-TPA</x:v>
      </x:c>
      <x:c r="H1379" t="str">
        <x:v>CVG</x:v>
      </x:c>
      <x:c r="I1379" t="str">
        <x:v>TPA</x:v>
      </x:c>
      <x:c r="J1379" s="23" t="n">
        <x:v>2656</x:v>
      </x:c>
      <x:c r="K1379" s="24" t="n">
        <x:v>0.22515060240963855</x:v>
      </x:c>
      <x:c r="L1379" s="24" t="n">
        <x:v>0.01694277108433735</x:v>
      </x:c>
    </x:row>
    <x:row r="1380">
      <x:c r="G1380" t="str">
        <x:v>GRR-ORD</x:v>
      </x:c>
      <x:c r="H1380" t="str">
        <x:v>GRR</x:v>
      </x:c>
      <x:c r="I1380" t="str">
        <x:v>ORD</x:v>
      </x:c>
      <x:c r="J1380" s="23" t="n">
        <x:v>8604</x:v>
      </x:c>
      <x:c r="K1380" s="24" t="n">
        <x:v>0.22512784751278475</x:v>
      </x:c>
      <x:c r="L1380" s="24" t="n">
        <x:v>0.01789865178986518</x:v>
      </x:c>
    </x:row>
    <x:row r="1381">
      <x:c r="G1381" t="str">
        <x:v>DCA-MIA</x:v>
      </x:c>
      <x:c r="H1381" t="str">
        <x:v>DCA</x:v>
      </x:c>
      <x:c r="I1381" t="str">
        <x:v>MIA</x:v>
      </x:c>
      <x:c r="J1381" s="23" t="n">
        <x:v>11141</x:v>
      </x:c>
      <x:c r="K1381" s="24" t="n">
        <x:v>0.22511444215061485</x:v>
      </x:c>
      <x:c r="L1381" s="24" t="n">
        <x:v>0.01822098554887353</x:v>
      </x:c>
    </x:row>
    <x:row r="1382">
      <x:c r="G1382" t="str">
        <x:v>AUS-EWR</x:v>
      </x:c>
      <x:c r="H1382" t="str">
        <x:v>AUS</x:v>
      </x:c>
      <x:c r="I1382" t="str">
        <x:v>EWR</x:v>
      </x:c>
      <x:c r="J1382" s="23" t="n">
        <x:v>5957</x:v>
      </x:c>
      <x:c r="K1382" s="24" t="n">
        <x:v>0.22511331206983382</x:v>
      </x:c>
      <x:c r="L1382" s="24" t="n">
        <x:v>0.02450898103072016</x:v>
      </x:c>
    </x:row>
    <x:row r="1383">
      <x:c r="G1383" t="str">
        <x:v>LAS-MCI</x:v>
      </x:c>
      <x:c r="H1383" t="str">
        <x:v>LAS</x:v>
      </x:c>
      <x:c r="I1383" t="str">
        <x:v>MCI</x:v>
      </x:c>
      <x:c r="J1383" s="23" t="n">
        <x:v>6073</x:v>
      </x:c>
      <x:c r="K1383" s="24" t="n">
        <x:v>0.2250946813765849</x:v>
      </x:c>
      <x:c r="L1383" s="24" t="n">
        <x:v>0.007409846863164828</x:v>
      </x:c>
    </x:row>
    <x:row r="1384">
      <x:c r="G1384" t="str">
        <x:v>BNA-MCO</x:v>
      </x:c>
      <x:c r="H1384" t="str">
        <x:v>BNA</x:v>
      </x:c>
      <x:c r="I1384" t="str">
        <x:v>MCO</x:v>
      </x:c>
      <x:c r="J1384" s="23" t="n">
        <x:v>9383</x:v>
      </x:c>
      <x:c r="K1384" s="24" t="n">
        <x:v>0.2250879249706917</x:v>
      </x:c>
      <x:c r="L1384" s="24" t="n">
        <x:v>0.01406799531066823</x:v>
      </x:c>
    </x:row>
    <x:row r="1385">
      <x:c r="G1385" t="str">
        <x:v>CVG-MIA</x:v>
      </x:c>
      <x:c r="H1385" t="str">
        <x:v>CVG</x:v>
      </x:c>
      <x:c r="I1385" t="str">
        <x:v>MIA</x:v>
      </x:c>
      <x:c r="J1385" s="23" t="n">
        <x:v>3284</x:v>
      </x:c>
      <x:c r="K1385" s="24" t="n">
        <x:v>0.22503045066991473</x:v>
      </x:c>
      <x:c r="L1385" s="24" t="n">
        <x:v>0.010353227771010963</x:v>
      </x:c>
    </x:row>
    <x:row r="1386">
      <x:c r="G1386" t="str">
        <x:v>AUS-IND</x:v>
      </x:c>
      <x:c r="H1386" t="str">
        <x:v>AUS</x:v>
      </x:c>
      <x:c r="I1386" t="str">
        <x:v>IND</x:v>
      </x:c>
      <x:c r="J1386" s="23" t="n">
        <x:v>2591</x:v>
      </x:c>
      <x:c r="K1386" s="24" t="n">
        <x:v>0.2250096487842532</x:v>
      </x:c>
      <x:c r="L1386" s="24" t="n">
        <x:v>0.006561173292165187</x:v>
      </x:c>
    </x:row>
    <x:row r="1387">
      <x:c r="G1387" t="str">
        <x:v>MKE-CLT</x:v>
      </x:c>
      <x:c r="H1387" t="str">
        <x:v>MKE</x:v>
      </x:c>
      <x:c r="I1387" t="str">
        <x:v>CLT</x:v>
      </x:c>
      <x:c r="J1387" s="23" t="n">
        <x:v>3071</x:v>
      </x:c>
      <x:c r="K1387" s="24" t="n">
        <x:v>0.22500814067079128</x:v>
      </x:c>
      <x:c r="L1387" s="24" t="n">
        <x:v>0.014653207424291761</x:v>
      </x:c>
    </x:row>
    <x:row r="1388">
      <x:c r="G1388" t="str">
        <x:v>DCA-SRQ</x:v>
      </x:c>
      <x:c r="H1388" t="str">
        <x:v>DCA</x:v>
      </x:c>
      <x:c r="I1388" t="str">
        <x:v>SRQ</x:v>
      </x:c>
      <x:c r="J1388" s="23" t="n">
        <x:v>1138</x:v>
      </x:c>
      <x:c r="K1388" s="24" t="n">
        <x:v>0.22495606326889278</x:v>
      </x:c>
      <x:c r="L1388" s="24" t="n">
        <x:v>0.016695957820738138</x:v>
      </x:c>
    </x:row>
    <x:row r="1389">
      <x:c r="G1389" t="str">
        <x:v>ORD-SRQ</x:v>
      </x:c>
      <x:c r="H1389" t="str">
        <x:v>ORD</x:v>
      </x:c>
      <x:c r="I1389" t="str">
        <x:v>SRQ</x:v>
      </x:c>
      <x:c r="J1389" s="23" t="n">
        <x:v>2273</x:v>
      </x:c>
      <x:c r="K1389" s="24" t="n">
        <x:v>0.22481302243730752</x:v>
      </x:c>
      <x:c r="L1389" s="24" t="n">
        <x:v>0.010998680158380994</x:v>
      </x:c>
    </x:row>
    <x:row r="1390">
      <x:c r="G1390" t="str">
        <x:v>ATL-ROC</x:v>
      </x:c>
      <x:c r="H1390" t="str">
        <x:v>ATL</x:v>
      </x:c>
      <x:c r="I1390" t="str">
        <x:v>ROC</x:v>
      </x:c>
      <x:c r="J1390" s="23" t="n">
        <x:v>3056</x:v>
      </x:c>
      <x:c r="K1390" s="24" t="n">
        <x:v>0.22480366492146597</x:v>
      </x:c>
      <x:c r="L1390" s="24" t="n">
        <x:v>0.012761780104712041</x:v>
      </x:c>
    </x:row>
    <x:row r="1391">
      <x:c r="G1391" t="str">
        <x:v>IAH-CLT</x:v>
      </x:c>
      <x:c r="H1391" t="str">
        <x:v>IAH</x:v>
      </x:c>
      <x:c r="I1391" t="str">
        <x:v>CLT</x:v>
      </x:c>
      <x:c r="J1391" s="23" t="n">
        <x:v>7136</x:v>
      </x:c>
      <x:c r="K1391" s="24" t="n">
        <x:v>0.22477578475336324</x:v>
      </x:c>
      <x:c r="L1391" s="24" t="n">
        <x:v>0.017937219730941704</x:v>
      </x:c>
    </x:row>
    <x:row r="1392">
      <x:c r="G1392" t="str">
        <x:v>STT-JFK</x:v>
      </x:c>
      <x:c r="H1392" t="str">
        <x:v>STT</x:v>
      </x:c>
      <x:c r="I1392" t="str">
        <x:v>JFK</x:v>
      </x:c>
      <x:c r="J1392" s="23" t="n">
        <x:v>1615</x:v>
      </x:c>
      <x:c r="K1392" s="24" t="n">
        <x:v>0.22476780185758513</x:v>
      </x:c>
      <x:c r="L1392" s="24" t="n">
        <x:v>0.007430340557275541</x:v>
      </x:c>
    </x:row>
    <x:row r="1393">
      <x:c r="G1393" t="str">
        <x:v>ATL-BOS</x:v>
      </x:c>
      <x:c r="H1393" t="str">
        <x:v>ATL</x:v>
      </x:c>
      <x:c r="I1393" t="str">
        <x:v>BOS</x:v>
      </x:c>
      <x:c r="J1393" s="23" t="n">
        <x:v>15085</x:v>
      </x:c>
      <x:c r="K1393" s="24" t="n">
        <x:v>0.22472654955253563</x:v>
      </x:c>
      <x:c r="L1393" s="24" t="n">
        <x:v>0.00974477958236659</x:v>
      </x:c>
    </x:row>
    <x:row r="1394">
      <x:c r="G1394" t="str">
        <x:v>OMA-DEN</x:v>
      </x:c>
      <x:c r="H1394" t="str">
        <x:v>OMA</x:v>
      </x:c>
      <x:c r="I1394" t="str">
        <x:v>DEN</x:v>
      </x:c>
      <x:c r="J1394" s="23" t="n">
        <x:v>9844</x:v>
      </x:c>
      <x:c r="K1394" s="24" t="n">
        <x:v>0.22460381958553433</x:v>
      </x:c>
      <x:c r="L1394" s="24" t="n">
        <x:v>0.012190166598943519</x:v>
      </x:c>
    </x:row>
    <x:row r="1395">
      <x:c r="G1395" t="str">
        <x:v>JFK-SYR</x:v>
      </x:c>
      <x:c r="H1395" t="str">
        <x:v>JFK</x:v>
      </x:c>
      <x:c r="I1395" t="str">
        <x:v>SYR</x:v>
      </x:c>
      <x:c r="J1395" s="23" t="n">
        <x:v>3687</x:v>
      </x:c>
      <x:c r="K1395" s="24" t="n">
        <x:v>0.22457282343368593</x:v>
      </x:c>
      <x:c r="L1395" s="24" t="n">
        <x:v>0.03553024138866287</x:v>
      </x:c>
    </x:row>
    <x:row r="1396">
      <x:c r="G1396" t="str">
        <x:v>IAD-JAX</x:v>
      </x:c>
      <x:c r="H1396" t="str">
        <x:v>IAD</x:v>
      </x:c>
      <x:c r="I1396" t="str">
        <x:v>JAX</x:v>
      </x:c>
      <x:c r="J1396" s="23" t="n">
        <x:v>2222</x:v>
      </x:c>
      <x:c r="K1396" s="24" t="n">
        <x:v>0.22457245724572458</x:v>
      </x:c>
      <x:c r="L1396" s="24" t="n">
        <x:v>0.011251125112511251</x:v>
      </x:c>
    </x:row>
    <x:row r="1397">
      <x:c r="G1397" t="str">
        <x:v>STL-LAS</x:v>
      </x:c>
      <x:c r="H1397" t="str">
        <x:v>STL</x:v>
      </x:c>
      <x:c r="I1397" t="str">
        <x:v>LAS</x:v>
      </x:c>
      <x:c r="J1397" s="23" t="n">
        <x:v>6156</x:v>
      </x:c>
      <x:c r="K1397" s="24" t="n">
        <x:v>0.2244964262508122</x:v>
      </x:c>
      <x:c r="L1397" s="24" t="n">
        <x:v>0.00958414554905783</x:v>
      </x:c>
    </x:row>
    <x:row r="1398">
      <x:c r="G1398" t="str">
        <x:v>EWR-MSP</x:v>
      </x:c>
      <x:c r="H1398" t="str">
        <x:v>EWR</x:v>
      </x:c>
      <x:c r="I1398" t="str">
        <x:v>MSP</x:v>
      </x:c>
      <x:c r="J1398" s="23" t="n">
        <x:v>6789</x:v>
      </x:c>
      <x:c r="K1398" s="24" t="n">
        <x:v>0.22448077772867875</x:v>
      </x:c>
      <x:c r="L1398" s="24" t="n">
        <x:v>0.020326999558108707</x:v>
      </x:c>
    </x:row>
    <x:row r="1399">
      <x:c r="G1399" t="str">
        <x:v>IAH-IND</x:v>
      </x:c>
      <x:c r="H1399" t="str">
        <x:v>IAH</x:v>
      </x:c>
      <x:c r="I1399" t="str">
        <x:v>IND</x:v>
      </x:c>
      <x:c r="J1399" s="23" t="n">
        <x:v>2437</x:v>
      </x:c>
      <x:c r="K1399" s="24" t="n">
        <x:v>0.2244562987279442</x:v>
      </x:c>
      <x:c r="L1399" s="24" t="n">
        <x:v>0.01887566680344686</x:v>
      </x:c>
    </x:row>
    <x:row r="1400">
      <x:c r="G1400" t="str">
        <x:v>LAS-DFW</x:v>
      </x:c>
      <x:c r="H1400" t="str">
        <x:v>LAS</x:v>
      </x:c>
      <x:c r="I1400" t="str">
        <x:v>DFW</x:v>
      </x:c>
      <x:c r="J1400" s="23" t="n">
        <x:v>17527</x:v>
      </x:c>
      <x:c r="K1400" s="24" t="n">
        <x:v>0.22445370000570547</x:v>
      </x:c>
      <x:c r="L1400" s="24" t="n">
        <x:v>0.019569806584127346</x:v>
      </x:c>
    </x:row>
    <x:row r="1401">
      <x:c r="G1401" t="str">
        <x:v>MGM-DFW</x:v>
      </x:c>
      <x:c r="H1401" t="str">
        <x:v>MGM</x:v>
      </x:c>
      <x:c r="I1401" t="str">
        <x:v>DFW</x:v>
      </x:c>
      <x:c r="J1401" s="23" t="n">
        <x:v>2691</x:v>
      </x:c>
      <x:c r="K1401" s="24" t="n">
        <x:v>0.22445187662578966</x:v>
      </x:c>
      <x:c r="L1401" s="24" t="n">
        <x:v>0.026012634708286884</x:v>
      </x:c>
    </x:row>
    <x:row r="1402">
      <x:c r="G1402" t="str">
        <x:v>GEG-DFW</x:v>
      </x:c>
      <x:c r="H1402" t="str">
        <x:v>GEG</x:v>
      </x:c>
      <x:c r="I1402" t="str">
        <x:v>DFW</x:v>
      </x:c>
      <x:c r="J1402" s="23" t="n">
        <x:v>1827</x:v>
      </x:c>
      <x:c r="K1402" s="24" t="n">
        <x:v>0.22441160372194854</x:v>
      </x:c>
      <x:c r="L1402" s="24" t="n">
        <x:v>0.013136288998357963</x:v>
      </x:c>
    </x:row>
    <x:row r="1403">
      <x:c r="G1403" t="str">
        <x:v>MDW-LGB</x:v>
      </x:c>
      <x:c r="H1403" t="str">
        <x:v>MDW</x:v>
      </x:c>
      <x:c r="I1403" t="str">
        <x:v>LGB</x:v>
      </x:c>
      <x:c r="J1403" s="23" t="n">
        <x:v>1377</x:v>
      </x:c>
      <x:c r="K1403" s="24" t="n">
        <x:v>0.22440087145969498</x:v>
      </x:c>
      <x:c r="L1403" s="24" t="n">
        <x:v>0.013798111837327523</x:v>
      </x:c>
    </x:row>
    <x:row r="1404">
      <x:c r="G1404" t="str">
        <x:v>ORD-STL</x:v>
      </x:c>
      <x:c r="H1404" t="str">
        <x:v>ORD</x:v>
      </x:c>
      <x:c r="I1404" t="str">
        <x:v>STL</x:v>
      </x:c>
      <x:c r="J1404" s="23" t="n">
        <x:v>7500</x:v>
      </x:c>
      <x:c r="K1404" s="24" t="n">
        <x:v>0.2244</x:v>
      </x:c>
      <x:c r="L1404" s="24" t="n">
        <x:v>0.012933333333333333</x:v>
      </x:c>
    </x:row>
    <x:row r="1405">
      <x:c r="G1405" t="str">
        <x:v>MDW-DEN</x:v>
      </x:c>
      <x:c r="H1405" t="str">
        <x:v>MDW</x:v>
      </x:c>
      <x:c r="I1405" t="str">
        <x:v>DEN</x:v>
      </x:c>
      <x:c r="J1405" s="23" t="n">
        <x:v>9550</x:v>
      </x:c>
      <x:c r="K1405" s="24" t="n">
        <x:v>0.2243979057591623</x:v>
      </x:c>
      <x:c r="L1405" s="24" t="n">
        <x:v>0.01581151832460733</x:v>
      </x:c>
    </x:row>
    <x:row r="1406">
      <x:c r="G1406" t="str">
        <x:v>BWI-SDF</x:v>
      </x:c>
      <x:c r="H1406" t="str">
        <x:v>BWI</x:v>
      </x:c>
      <x:c r="I1406" t="str">
        <x:v>SDF</x:v>
      </x:c>
      <x:c r="J1406" s="23" t="n">
        <x:v>2643</x:v>
      </x:c>
      <x:c r="K1406" s="24" t="n">
        <x:v>0.22436625047294742</x:v>
      </x:c>
      <x:c r="L1406" s="24" t="n">
        <x:v>0.012485811577752554</x:v>
      </x:c>
    </x:row>
    <x:row r="1407">
      <x:c r="G1407" t="str">
        <x:v>MEM-LAS</x:v>
      </x:c>
      <x:c r="H1407" t="str">
        <x:v>MEM</x:v>
      </x:c>
      <x:c r="I1407" t="str">
        <x:v>LAS</x:v>
      </x:c>
      <x:c r="J1407" s="23" t="n">
        <x:v>1926</x:v>
      </x:c>
      <x:c r="K1407" s="24" t="n">
        <x:v>0.22429906542056074</x:v>
      </x:c>
      <x:c r="L1407" s="24" t="n">
        <x:v>0.007268951194184839</x:v>
      </x:c>
    </x:row>
    <x:row r="1408">
      <x:c r="G1408" t="str">
        <x:v>AUS-ELP</x:v>
      </x:c>
      <x:c r="H1408" t="str">
        <x:v>AUS</x:v>
      </x:c>
      <x:c r="I1408" t="str">
        <x:v>ELP</x:v>
      </x:c>
      <x:c r="J1408" s="23" t="n">
        <x:v>4017</x:v>
      </x:c>
      <x:c r="K1408" s="24" t="n">
        <x:v>0.22429673885984566</x:v>
      </x:c>
      <x:c r="L1408" s="24" t="n">
        <x:v>0.00597460791635549</x:v>
      </x:c>
    </x:row>
    <x:row r="1409">
      <x:c r="G1409" t="str">
        <x:v>DEN-DTW</x:v>
      </x:c>
      <x:c r="H1409" t="str">
        <x:v>DEN</x:v>
      </x:c>
      <x:c r="I1409" t="str">
        <x:v>DTW</x:v>
      </x:c>
      <x:c r="J1409" s="23" t="n">
        <x:v>8925</x:v>
      </x:c>
      <x:c r="K1409" s="24" t="n">
        <x:v>0.2242016806722689</x:v>
      </x:c>
      <x:c r="L1409" s="24" t="n">
        <x:v>0.006834733893557423</x:v>
      </x:c>
    </x:row>
    <x:row r="1410">
      <x:c r="G1410" t="str">
        <x:v>STS-SNA</x:v>
      </x:c>
      <x:c r="H1410" t="str">
        <x:v>STS</x:v>
      </x:c>
      <x:c r="I1410" t="str">
        <x:v>SNA</x:v>
      </x:c>
      <x:c r="J1410" s="23" t="n">
        <x:v>1905</x:v>
      </x:c>
      <x:c r="K1410" s="24" t="n">
        <x:v>0.2241469816272966</x:v>
      </x:c>
      <x:c r="L1410" s="24" t="n">
        <x:v>0.004199475065616798</x:v>
      </x:c>
    </x:row>
    <x:row r="1411">
      <x:c r="G1411" t="str">
        <x:v>DCA-DAL</x:v>
      </x:c>
      <x:c r="H1411" t="str">
        <x:v>DCA</x:v>
      </x:c>
      <x:c r="I1411" t="str">
        <x:v>DAL</x:v>
      </x:c>
      <x:c r="J1411" s="23" t="n">
        <x:v>5130</x:v>
      </x:c>
      <x:c r="K1411" s="24" t="n">
        <x:v>0.2239766081871345</x:v>
      </x:c>
      <x:c r="L1411" s="24" t="n">
        <x:v>0.01773879142300195</x:v>
      </x:c>
    </x:row>
    <x:row r="1412">
      <x:c r="G1412" t="str">
        <x:v>BUF-DCA</x:v>
      </x:c>
      <x:c r="H1412" t="str">
        <x:v>BUF</x:v>
      </x:c>
      <x:c r="I1412" t="str">
        <x:v>DCA</x:v>
      </x:c>
      <x:c r="J1412" s="23" t="n">
        <x:v>3492</x:v>
      </x:c>
      <x:c r="K1412" s="24" t="n">
        <x:v>0.22394043528064148</x:v>
      </x:c>
      <x:c r="L1412" s="24" t="n">
        <x:v>0.03980526918671248</x:v>
      </x:c>
    </x:row>
    <x:row r="1413">
      <x:c r="G1413" t="str">
        <x:v>MDW-MSY</x:v>
      </x:c>
      <x:c r="H1413" t="str">
        <x:v>MDW</x:v>
      </x:c>
      <x:c r="I1413" t="str">
        <x:v>MSY</x:v>
      </x:c>
      <x:c r="J1413" s="23" t="n">
        <x:v>3037</x:v>
      </x:c>
      <x:c r="K1413" s="24" t="n">
        <x:v>0.22390516957523873</x:v>
      </x:c>
      <x:c r="L1413" s="24" t="n">
        <x:v>0.010865986170563056</x:v>
      </x:c>
    </x:row>
    <x:row r="1414">
      <x:c r="G1414" t="str">
        <x:v>PHL-STL</x:v>
      </x:c>
      <x:c r="H1414" t="str">
        <x:v>PHL</x:v>
      </x:c>
      <x:c r="I1414" t="str">
        <x:v>STL</x:v>
      </x:c>
      <x:c r="J1414" s="23" t="n">
        <x:v>4342</x:v>
      </x:c>
      <x:c r="K1414" s="24" t="n">
        <x:v>0.22385997236296637</x:v>
      </x:c>
      <x:c r="L1414" s="24" t="n">
        <x:v>0.013357899585444496</x:v>
      </x:c>
    </x:row>
    <x:row r="1415">
      <x:c r="G1415" t="str">
        <x:v>SEA-DEN</x:v>
      </x:c>
      <x:c r="H1415" t="str">
        <x:v>SEA</x:v>
      </x:c>
      <x:c r="I1415" t="str">
        <x:v>DEN</x:v>
      </x:c>
      <x:c r="J1415" s="23" t="n">
        <x:v>19776</x:v>
      </x:c>
      <x:c r="K1415" s="24" t="n">
        <x:v>0.22385720064724918</x:v>
      </x:c>
      <x:c r="L1415" s="24" t="n">
        <x:v>0.00849514563106796</x:v>
      </x:c>
    </x:row>
    <x:row r="1416">
      <x:c r="G1416" t="str">
        <x:v>HNL-SMF</x:v>
      </x:c>
      <x:c r="H1416" t="str">
        <x:v>HNL</x:v>
      </x:c>
      <x:c r="I1416" t="str">
        <x:v>SMF</x:v>
      </x:c>
      <x:c r="J1416" s="23" t="n">
        <x:v>2194</x:v>
      </x:c>
      <x:c r="K1416" s="24" t="n">
        <x:v>0.22379216043755698</x:v>
      </x:c>
      <x:c r="L1416" s="24" t="n">
        <x:v>0.0022789425706472195</x:v>
      </x:c>
    </x:row>
    <x:row r="1417">
      <x:c r="G1417" t="str">
        <x:v>SGF-DEN</x:v>
      </x:c>
      <x:c r="H1417" t="str">
        <x:v>SGF</x:v>
      </x:c>
      <x:c r="I1417" t="str">
        <x:v>DEN</x:v>
      </x:c>
      <x:c r="J1417" s="23" t="n">
        <x:v>2641</x:v>
      </x:c>
      <x:c r="K1417" s="24" t="n">
        <x:v>0.22377887163953047</x:v>
      </x:c>
      <x:c r="L1417" s="24" t="n">
        <x:v>0.006815600151457781</x:v>
      </x:c>
    </x:row>
    <x:row r="1418">
      <x:c r="G1418" t="str">
        <x:v>SEA-PIT</x:v>
      </x:c>
      <x:c r="H1418" t="str">
        <x:v>SEA</x:v>
      </x:c>
      <x:c r="I1418" t="str">
        <x:v>PIT</x:v>
      </x:c>
      <x:c r="J1418" s="23" t="n">
        <x:v>1314</x:v>
      </x:c>
      <x:c r="K1418" s="24" t="n">
        <x:v>0.2237442922374429</x:v>
      </x:c>
      <x:c r="L1418" s="24" t="n">
        <x:v>0.00532724505327245</x:v>
      </x:c>
    </x:row>
    <x:row r="1419">
      <x:c r="G1419" t="str">
        <x:v>STL-OKC</x:v>
      </x:c>
      <x:c r="H1419" t="str">
        <x:v>STL</x:v>
      </x:c>
      <x:c r="I1419" t="str">
        <x:v>OKC</x:v>
      </x:c>
      <x:c r="J1419" s="23" t="n">
        <x:v>2065</x:v>
      </x:c>
      <x:c r="K1419" s="24" t="n">
        <x:v>0.22372881355932203</x:v>
      </x:c>
      <x:c r="L1419" s="24" t="n">
        <x:v>0.009200968523002421</x:v>
      </x:c>
    </x:row>
    <x:row r="1420">
      <x:c r="G1420" t="str">
        <x:v>TPA-JFK</x:v>
      </x:c>
      <x:c r="H1420" t="str">
        <x:v>TPA</x:v>
      </x:c>
      <x:c r="I1420" t="str">
        <x:v>JFK</x:v>
      </x:c>
      <x:c r="J1420" s="23" t="n">
        <x:v>7059</x:v>
      </x:c>
      <x:c r="K1420" s="24" t="n">
        <x:v>0.2236860745148038</x:v>
      </x:c>
      <x:c r="L1420" s="24" t="n">
        <x:v>0.021957784388723617</x:v>
      </x:c>
    </x:row>
    <x:row r="1421">
      <x:c r="G1421" t="str">
        <x:v>MDW-CHS</x:v>
      </x:c>
      <x:c r="H1421" t="str">
        <x:v>MDW</x:v>
      </x:c>
      <x:c r="I1421" t="str">
        <x:v>CHS</x:v>
      </x:c>
      <x:c r="J1421" s="23" t="n">
        <x:v>1386</x:v>
      </x:c>
      <x:c r="K1421" s="24" t="n">
        <x:v>0.22366522366522368</x:v>
      </x:c>
      <x:c r="L1421" s="24" t="n">
        <x:v>0.005050505050505051</x:v>
      </x:c>
    </x:row>
    <x:row r="1422">
      <x:c r="G1422" t="str">
        <x:v>JFK-ORD</x:v>
      </x:c>
      <x:c r="H1422" t="str">
        <x:v>JFK</x:v>
      </x:c>
      <x:c r="I1422" t="str">
        <x:v>ORD</x:v>
      </x:c>
      <x:c r="J1422" s="23" t="n">
        <x:v>7441</x:v>
      </x:c>
      <x:c r="K1422" s="24" t="n">
        <x:v>0.22362585673968552</x:v>
      </x:c>
      <x:c r="L1422" s="24" t="n">
        <x:v>0.02553420239215159</x:v>
      </x:c>
    </x:row>
    <x:row r="1423">
      <x:c r="G1423" t="str">
        <x:v>IAH-ORD</x:v>
      </x:c>
      <x:c r="H1423" t="str">
        <x:v>IAH</x:v>
      </x:c>
      <x:c r="I1423" t="str">
        <x:v>ORD</x:v>
      </x:c>
      <x:c r="J1423" s="23" t="n">
        <x:v>15601</x:v>
      </x:c>
      <x:c r="K1423" s="24" t="n">
        <x:v>0.22357541183257484</x:v>
      </x:c>
      <x:c r="L1423" s="24" t="n">
        <x:v>0.012691494134991347</x:v>
      </x:c>
    </x:row>
    <x:row r="1424">
      <x:c r="G1424" t="str">
        <x:v>DCA-SJU</x:v>
      </x:c>
      <x:c r="H1424" t="str">
        <x:v>DCA</x:v>
      </x:c>
      <x:c r="I1424" t="str">
        <x:v>SJU</x:v>
      </x:c>
      <x:c r="J1424" s="23" t="n">
        <x:v>1096</x:v>
      </x:c>
      <x:c r="K1424" s="24" t="n">
        <x:v>0.22354014598540145</x:v>
      </x:c>
      <x:c r="L1424" s="24" t="n">
        <x:v>0.008211678832116789</x:v>
      </x:c>
    </x:row>
    <x:row r="1425">
      <x:c r="G1425" t="str">
        <x:v>MSY-LGA</x:v>
      </x:c>
      <x:c r="H1425" t="str">
        <x:v>MSY</x:v>
      </x:c>
      <x:c r="I1425" t="str">
        <x:v>LGA</x:v>
      </x:c>
      <x:c r="J1425" s="23" t="n">
        <x:v>4514</x:v>
      </x:c>
      <x:c r="K1425" s="24" t="n">
        <x:v>0.2235268054940186</x:v>
      </x:c>
      <x:c r="L1425" s="24" t="n">
        <x:v>0.017058041648205582</x:v>
      </x:c>
    </x:row>
    <x:row r="1426">
      <x:c r="G1426" t="str">
        <x:v>ORD-IAH</x:v>
      </x:c>
      <x:c r="H1426" t="str">
        <x:v>ORD</x:v>
      </x:c>
      <x:c r="I1426" t="str">
        <x:v>IAH</x:v>
      </x:c>
      <x:c r="J1426" s="23" t="n">
        <x:v>15610</x:v>
      </x:c>
      <x:c r="K1426" s="24" t="n">
        <x:v>0.22351057014734144</x:v>
      </x:c>
      <x:c r="L1426" s="24" t="n">
        <x:v>0.01159513132607303</x:v>
      </x:c>
    </x:row>
    <x:row r="1427">
      <x:c r="G1427" t="str">
        <x:v>OKC-DFW</x:v>
      </x:c>
      <x:c r="H1427" t="str">
        <x:v>OKC</x:v>
      </x:c>
      <x:c r="I1427" t="str">
        <x:v>DFW</x:v>
      </x:c>
      <x:c r="J1427" s="23" t="n">
        <x:v>9329</x:v>
      </x:c>
      <x:c r="K1427" s="24" t="n">
        <x:v>0.22349662343230786</x:v>
      </x:c>
      <x:c r="L1427" s="24" t="n">
        <x:v>0.025511844785078786</x:v>
      </x:c>
    </x:row>
    <x:row r="1428">
      <x:c r="G1428" t="str">
        <x:v>SEA-MIA</x:v>
      </x:c>
      <x:c r="H1428" t="str">
        <x:v>SEA</x:v>
      </x:c>
      <x:c r="I1428" t="str">
        <x:v>MIA</x:v>
      </x:c>
      <x:c r="J1428" s="23" t="n">
        <x:v>2676</x:v>
      </x:c>
      <x:c r="K1428" s="24" t="n">
        <x:v>0.2234678624813154</x:v>
      </x:c>
      <x:c r="L1428" s="24" t="n">
        <x:v>0.009342301943198805</x:v>
      </x:c>
    </x:row>
    <x:row r="1429">
      <x:c r="G1429" t="str">
        <x:v>MEM-IAH</x:v>
      </x:c>
      <x:c r="H1429" t="str">
        <x:v>MEM</x:v>
      </x:c>
      <x:c r="I1429" t="str">
        <x:v>IAH</x:v>
      </x:c>
      <x:c r="J1429" s="23" t="n">
        <x:v>1969</x:v>
      </x:c>
      <x:c r="K1429" s="24" t="n">
        <x:v>0.22346368715083798</x:v>
      </x:c>
      <x:c r="L1429" s="24" t="n">
        <x:v>0.017267648552564754</x:v>
      </x:c>
    </x:row>
    <x:row r="1430">
      <x:c r="G1430" t="str">
        <x:v>ORD-ROC</x:v>
      </x:c>
      <x:c r="H1430" t="str">
        <x:v>ORD</x:v>
      </x:c>
      <x:c r="I1430" t="str">
        <x:v>ROC</x:v>
      </x:c>
      <x:c r="J1430" s="23" t="n">
        <x:v>5134</x:v>
      </x:c>
      <x:c r="K1430" s="24" t="n">
        <x:v>0.2234125438254772</x:v>
      </x:c>
      <x:c r="L1430" s="24" t="n">
        <x:v>0.012855473315153876</x:v>
      </x:c>
    </x:row>
    <x:row r="1431">
      <x:c r="G1431" t="str">
        <x:v>LAS-JFK</x:v>
      </x:c>
      <x:c r="H1431" t="str">
        <x:v>LAS</x:v>
      </x:c>
      <x:c r="I1431" t="str">
        <x:v>JFK</x:v>
      </x:c>
      <x:c r="J1431" s="23" t="n">
        <x:v>10253</x:v>
      </x:c>
      <x:c r="K1431" s="24" t="n">
        <x:v>0.22334926363015703</x:v>
      </x:c>
      <x:c r="L1431" s="24" t="n">
        <x:v>0.012874280698332196</x:v>
      </x:c>
    </x:row>
    <x:row r="1432">
      <x:c r="G1432" t="str">
        <x:v>MSP-SAT</x:v>
      </x:c>
      <x:c r="H1432" t="str">
        <x:v>MSP</x:v>
      </x:c>
      <x:c r="I1432" t="str">
        <x:v>SAT</x:v>
      </x:c>
      <x:c r="J1432" s="23" t="n">
        <x:v>2615</x:v>
      </x:c>
      <x:c r="K1432" s="24" t="n">
        <x:v>0.22332695984703632</x:v>
      </x:c>
      <x:c r="L1432" s="24" t="n">
        <x:v>0.0076481835564053535</x:v>
      </x:c>
    </x:row>
    <x:row r="1433">
      <x:c r="G1433" t="str">
        <x:v>MCW-ORD</x:v>
      </x:c>
      <x:c r="H1433" t="str">
        <x:v>MCW</x:v>
      </x:c>
      <x:c r="I1433" t="str">
        <x:v>ORD</x:v>
      </x:c>
      <x:c r="J1433" s="23" t="n">
        <x:v>1312</x:v>
      </x:c>
      <x:c r="K1433" s="24" t="n">
        <x:v>0.22332317073170732</x:v>
      </x:c>
      <x:c r="L1433" s="24" t="n">
        <x:v>0.042682926829268296</x:v>
      </x:c>
    </x:row>
    <x:row r="1434">
      <x:c r="G1434" t="str">
        <x:v>PHL-SAV</x:v>
      </x:c>
      <x:c r="H1434" t="str">
        <x:v>PHL</x:v>
      </x:c>
      <x:c r="I1434" t="str">
        <x:v>SAV</x:v>
      </x:c>
      <x:c r="J1434" s="23" t="n">
        <x:v>2800</x:v>
      </x:c>
      <x:c r="K1434" s="24" t="n">
        <x:v>0.22321428571428573</x:v>
      </x:c>
      <x:c r="L1434" s="24" t="n">
        <x:v>0.015714285714285715</x:v>
      </x:c>
    </x:row>
    <x:row r="1435">
      <x:c r="G1435" t="str">
        <x:v>DTW-BOS</x:v>
      </x:c>
      <x:c r="H1435" t="str">
        <x:v>DTW</x:v>
      </x:c>
      <x:c r="I1435" t="str">
        <x:v>BOS</x:v>
      </x:c>
      <x:c r="J1435" s="23" t="n">
        <x:v>8275</x:v>
      </x:c>
      <x:c r="K1435" s="24" t="n">
        <x:v>0.22320241691842901</x:v>
      </x:c>
      <x:c r="L1435" s="24" t="n">
        <x:v>0.013293051359516616</x:v>
      </x:c>
    </x:row>
    <x:row r="1436">
      <x:c r="G1436" t="str">
        <x:v>SAN-TUS</x:v>
      </x:c>
      <x:c r="H1436" t="str">
        <x:v>SAN</x:v>
      </x:c>
      <x:c r="I1436" t="str">
        <x:v>TUS</x:v>
      </x:c>
      <x:c r="J1436" s="23" t="n">
        <x:v>1815</x:v>
      </x:c>
      <x:c r="K1436" s="24" t="n">
        <x:v>0.2231404958677686</x:v>
      </x:c>
      <x:c r="L1436" s="24" t="n">
        <x:v>0.004407713498622589</x:v>
      </x:c>
    </x:row>
    <x:row r="1437">
      <x:c r="G1437" t="str">
        <x:v>BOS-EWR</x:v>
      </x:c>
      <x:c r="H1437" t="str">
        <x:v>BOS</x:v>
      </x:c>
      <x:c r="I1437" t="str">
        <x:v>EWR</x:v>
      </x:c>
      <x:c r="J1437" s="23" t="n">
        <x:v>12481</x:v>
      </x:c>
      <x:c r="K1437" s="24" t="n">
        <x:v>0.22313917154074192</x:v>
      </x:c>
      <x:c r="L1437" s="24" t="n">
        <x:v>0.03749699543305825</x:v>
      </x:c>
    </x:row>
    <x:row r="1438">
      <x:c r="G1438" t="str">
        <x:v>CHS-DFW</x:v>
      </x:c>
      <x:c r="H1438" t="str">
        <x:v>CHS</x:v>
      </x:c>
      <x:c r="I1438" t="str">
        <x:v>DFW</x:v>
      </x:c>
      <x:c r="J1438" s="23" t="n">
        <x:v>3599</x:v>
      </x:c>
      <x:c r="K1438" s="24" t="n">
        <x:v>0.22311753264795778</x:v>
      </x:c>
      <x:c r="L1438" s="24" t="n">
        <x:v>0.021394831897749374</x:v>
      </x:c>
    </x:row>
    <x:row r="1439">
      <x:c r="G1439" t="str">
        <x:v>DEN-CLT</x:v>
      </x:c>
      <x:c r="H1439" t="str">
        <x:v>DEN</x:v>
      </x:c>
      <x:c r="I1439" t="str">
        <x:v>CLT</x:v>
      </x:c>
      <x:c r="J1439" s="23" t="n">
        <x:v>8790</x:v>
      </x:c>
      <x:c r="K1439" s="24" t="n">
        <x:v>0.22309442548350397</x:v>
      </x:c>
      <x:c r="L1439" s="24" t="n">
        <x:v>0.007849829351535836</x:v>
      </x:c>
    </x:row>
    <x:row r="1440">
      <x:c r="G1440" t="str">
        <x:v>DEN-SLN</x:v>
      </x:c>
      <x:c r="H1440" t="str">
        <x:v>DEN</x:v>
      </x:c>
      <x:c r="I1440" t="str">
        <x:v>SLN</x:v>
      </x:c>
      <x:c r="J1440" s="23" t="n">
        <x:v>1094</x:v>
      </x:c>
      <x:c r="K1440" s="24" t="n">
        <x:v>0.2230347349177331</x:v>
      </x:c>
      <x:c r="L1440" s="24" t="n">
        <x:v>0.016453382084095063</x:v>
      </x:c>
    </x:row>
    <x:row r="1441">
      <x:c r="G1441" t="str">
        <x:v>DAL-MSY</x:v>
      </x:c>
      <x:c r="H1441" t="str">
        <x:v>DAL</x:v>
      </x:c>
      <x:c r="I1441" t="str">
        <x:v>MSY</x:v>
      </x:c>
      <x:c r="J1441" s="23" t="n">
        <x:v>7017</x:v>
      </x:c>
      <x:c r="K1441" s="24" t="n">
        <x:v>0.22302978480832264</x:v>
      </x:c>
      <x:c r="L1441" s="24" t="n">
        <x:v>0.01453612654980761</x:v>
      </x:c>
    </x:row>
    <x:row r="1442">
      <x:c r="G1442" t="str">
        <x:v>BUF-ORD</x:v>
      </x:c>
      <x:c r="H1442" t="str">
        <x:v>BUF</x:v>
      </x:c>
      <x:c r="I1442" t="str">
        <x:v>ORD</x:v>
      </x:c>
      <x:c r="J1442" s="23" t="n">
        <x:v>5659</x:v>
      </x:c>
      <x:c r="K1442" s="24" t="n">
        <x:v>0.2230075985156388</x:v>
      </x:c>
      <x:c r="L1442" s="24" t="n">
        <x:v>0.016610708605760735</x:v>
      </x:c>
    </x:row>
    <x:row r="1443">
      <x:c r="G1443" t="str">
        <x:v>CLT-ILM</x:v>
      </x:c>
      <x:c r="H1443" t="str">
        <x:v>CLT</x:v>
      </x:c>
      <x:c r="I1443" t="str">
        <x:v>ILM</x:v>
      </x:c>
      <x:c r="J1443" s="23" t="n">
        <x:v>7325</x:v>
      </x:c>
      <x:c r="K1443" s="24" t="n">
        <x:v>0.22293515358361773</x:v>
      </x:c>
      <x:c r="L1443" s="24" t="n">
        <x:v>0.012013651877133106</x:v>
      </x:c>
    </x:row>
    <x:row r="1444">
      <x:c r="G1444" t="str">
        <x:v>CID-DFW</x:v>
      </x:c>
      <x:c r="H1444" t="str">
        <x:v>CID</x:v>
      </x:c>
      <x:c r="I1444" t="str">
        <x:v>DFW</x:v>
      </x:c>
      <x:c r="J1444" s="23" t="n">
        <x:v>3221</x:v>
      </x:c>
      <x:c r="K1444" s="24" t="n">
        <x:v>0.22291213908723997</x:v>
      </x:c>
      <x:c r="L1444" s="24" t="n">
        <x:v>0.02887302080099348</x:v>
      </x:c>
    </x:row>
    <x:row r="1445">
      <x:c r="G1445" t="str">
        <x:v>SFO-SEA</x:v>
      </x:c>
      <x:c r="H1445" t="str">
        <x:v>SFO</x:v>
      </x:c>
      <x:c r="I1445" t="str">
        <x:v>SEA</x:v>
      </x:c>
      <x:c r="J1445" s="23" t="n">
        <x:v>20169</x:v>
      </x:c>
      <x:c r="K1445" s="24" t="n">
        <x:v>0.22286677574495514</x:v>
      </x:c>
      <x:c r="L1445" s="24" t="n">
        <x:v>0.011502801328771878</x:v>
      </x:c>
    </x:row>
    <x:row r="1446">
      <x:c r="G1446" t="str">
        <x:v>DEC-ORD</x:v>
      </x:c>
      <x:c r="H1446" t="str">
        <x:v>DEC</x:v>
      </x:c>
      <x:c r="I1446" t="str">
        <x:v>ORD</x:v>
      </x:c>
      <x:c r="J1446" s="23" t="n">
        <x:v>1876</x:v>
      </x:c>
      <x:c r="K1446" s="24" t="n">
        <x:v>0.22281449893390193</x:v>
      </x:c>
      <x:c r="L1446" s="24" t="n">
        <x:v>0.020788912579957356</x:v>
      </x:c>
    </x:row>
    <x:row r="1447">
      <x:c r="G1447" t="str">
        <x:v>STL-DEN</x:v>
      </x:c>
      <x:c r="H1447" t="str">
        <x:v>STL</x:v>
      </x:c>
      <x:c r="I1447" t="str">
        <x:v>DEN</x:v>
      </x:c>
      <x:c r="J1447" s="23" t="n">
        <x:v>11586</x:v>
      </x:c>
      <x:c r="K1447" s="24" t="n">
        <x:v>0.22276885896771967</x:v>
      </x:c>
      <x:c r="L1447" s="24" t="n">
        <x:v>0.010616261004660798</x:v>
      </x:c>
    </x:row>
    <x:row r="1448">
      <x:c r="G1448" t="str">
        <x:v>OKC-DEN</x:v>
      </x:c>
      <x:c r="H1448" t="str">
        <x:v>OKC</x:v>
      </x:c>
      <x:c r="I1448" t="str">
        <x:v>DEN</x:v>
      </x:c>
      <x:c r="J1448" s="23" t="n">
        <x:v>9235</x:v>
      </x:c>
      <x:c r="K1448" s="24" t="n">
        <x:v>0.22273957769355712</x:v>
      </x:c>
      <x:c r="L1448" s="24" t="n">
        <x:v>0.008554412560909583</x:v>
      </x:c>
    </x:row>
    <x:row r="1449">
      <x:c r="G1449" t="str">
        <x:v>DEN-ANC</x:v>
      </x:c>
      <x:c r="H1449" t="str">
        <x:v>DEN</x:v>
      </x:c>
      <x:c r="I1449" t="str">
        <x:v>ANC</x:v>
      </x:c>
      <x:c r="J1449" s="23" t="n">
        <x:v>1760</x:v>
      </x:c>
      <x:c r="K1449" s="24" t="n">
        <x:v>0.22272727272727272</x:v>
      </x:c>
      <x:c r="L1449" s="24" t="n">
        <x:v>0.005113636363636364</x:v>
      </x:c>
    </x:row>
    <x:row r="1450">
      <x:c r="G1450" t="str">
        <x:v>LAS-MIA</x:v>
      </x:c>
      <x:c r="H1450" t="str">
        <x:v>LAS</x:v>
      </x:c>
      <x:c r="I1450" t="str">
        <x:v>MIA</x:v>
      </x:c>
      <x:c r="J1450" s="23" t="n">
        <x:v>4903</x:v>
      </x:c>
      <x:c r="K1450" s="24" t="n">
        <x:v>0.22272078319396288</x:v>
      </x:c>
      <x:c r="L1450" s="24" t="n">
        <x:v>0.007342443401998776</x:v>
      </x:c>
    </x:row>
    <x:row r="1451">
      <x:c r="G1451" t="str">
        <x:v>MCI-PHL</x:v>
      </x:c>
      <x:c r="H1451" t="str">
        <x:v>MCI</x:v>
      </x:c>
      <x:c r="I1451" t="str">
        <x:v>PHL</x:v>
      </x:c>
      <x:c r="J1451" s="23" t="n">
        <x:v>2084</x:v>
      </x:c>
      <x:c r="K1451" s="24" t="n">
        <x:v>0.22264875239923224</x:v>
      </x:c>
      <x:c r="L1451" s="24" t="n">
        <x:v>0.023512476007677544</x:v>
      </x:c>
    </x:row>
    <x:row r="1452">
      <x:c r="G1452" t="str">
        <x:v>DFW-LIT</x:v>
      </x:c>
      <x:c r="H1452" t="str">
        <x:v>DFW</x:v>
      </x:c>
      <x:c r="I1452" t="str">
        <x:v>LIT</x:v>
      </x:c>
      <x:c r="J1452" s="23" t="n">
        <x:v>8418</x:v>
      </x:c>
      <x:c r="K1452" s="24" t="n">
        <x:v>0.22261819909717273</x:v>
      </x:c>
      <x:c r="L1452" s="24" t="n">
        <x:v>0.023045854122119267</x:v>
      </x:c>
    </x:row>
    <x:row r="1453">
      <x:c r="G1453" t="str">
        <x:v>EWR-SRQ</x:v>
      </x:c>
      <x:c r="H1453" t="str">
        <x:v>EWR</x:v>
      </x:c>
      <x:c r="I1453" t="str">
        <x:v>SRQ</x:v>
      </x:c>
      <x:c r="J1453" s="23" t="n">
        <x:v>2961</x:v>
      </x:c>
      <x:c r="K1453" s="24" t="n">
        <x:v>0.22255994596420128</x:v>
      </x:c>
      <x:c r="L1453" s="24" t="n">
        <x:v>0.024991556906450524</x:v>
      </x:c>
    </x:row>
    <x:row r="1454">
      <x:c r="G1454" t="str">
        <x:v>ONT-LAS</x:v>
      </x:c>
      <x:c r="H1454" t="str">
        <x:v>ONT</x:v>
      </x:c>
      <x:c r="I1454" t="str">
        <x:v>LAS</x:v>
      </x:c>
      <x:c r="J1454" s="23" t="n">
        <x:v>8017</x:v>
      </x:c>
      <x:c r="K1454" s="24" t="n">
        <x:v>0.22252712984907072</x:v>
      </x:c>
      <x:c r="L1454" s="24" t="n">
        <x:v>0.009729325183984033</x:v>
      </x:c>
    </x:row>
    <x:row r="1455">
      <x:c r="G1455" t="str">
        <x:v>SEA-BZN</x:v>
      </x:c>
      <x:c r="H1455" t="str">
        <x:v>SEA</x:v>
      </x:c>
      <x:c r="I1455" t="str">
        <x:v>BZN</x:v>
      </x:c>
      <x:c r="J1455" s="23" t="n">
        <x:v>2557</x:v>
      </x:c>
      <x:c r="K1455" s="24" t="n">
        <x:v>0.22252639812280015</x:v>
      </x:c>
      <x:c r="L1455" s="24" t="n">
        <x:v>0.007039499413375049</x:v>
      </x:c>
    </x:row>
    <x:row r="1456">
      <x:c r="G1456" t="str">
        <x:v>DEN-IAD</x:v>
      </x:c>
      <x:c r="H1456" t="str">
        <x:v>DEN</x:v>
      </x:c>
      <x:c r="I1456" t="str">
        <x:v>IAD</x:v>
      </x:c>
      <x:c r="J1456" s="23" t="n">
        <x:v>9547</x:v>
      </x:c>
      <x:c r="K1456" s="24" t="n">
        <x:v>0.2224782654236933</x:v>
      </x:c>
      <x:c r="L1456" s="24" t="n">
        <x:v>0.010474494605635279</x:v>
      </x:c>
    </x:row>
    <x:row r="1457">
      <x:c r="G1457" t="str">
        <x:v>PIT-MCO</x:v>
      </x:c>
      <x:c r="H1457" t="str">
        <x:v>PIT</x:v>
      </x:c>
      <x:c r="I1457" t="str">
        <x:v>MCO</x:v>
      </x:c>
      <x:c r="J1457" s="23" t="n">
        <x:v>6761</x:v>
      </x:c>
      <x:c r="K1457" s="24" t="n">
        <x:v>0.22245229995562787</x:v>
      </x:c>
      <x:c r="L1457" s="24" t="n">
        <x:v>0.012424197603904747</x:v>
      </x:c>
    </x:row>
    <x:row r="1458">
      <x:c r="G1458" t="str">
        <x:v>DEN-PRC</x:v>
      </x:c>
      <x:c r="H1458" t="str">
        <x:v>DEN</x:v>
      </x:c>
      <x:c r="I1458" t="str">
        <x:v>PRC</x:v>
      </x:c>
      <x:c r="J1458" s="23" t="n">
        <x:v>1160</x:v>
      </x:c>
      <x:c r="K1458" s="24" t="n">
        <x:v>0.22241379310344828</x:v>
      </x:c>
      <x:c r="L1458" s="24" t="n">
        <x:v>0.005172413793103448</x:v>
      </x:c>
    </x:row>
    <x:row r="1459">
      <x:c r="G1459" t="str">
        <x:v>PHX-OAK</x:v>
      </x:c>
      <x:c r="H1459" t="str">
        <x:v>PHX</x:v>
      </x:c>
      <x:c r="I1459" t="str">
        <x:v>OAK</x:v>
      </x:c>
      <x:c r="J1459" s="23" t="n">
        <x:v>6157</x:v>
      </x:c>
      <x:c r="K1459" s="24" t="n">
        <x:v>0.22234854636998538</x:v>
      </x:c>
      <x:c r="L1459" s="24" t="n">
        <x:v>0.0027610849439662173</x:v>
      </x:c>
    </x:row>
    <x:row r="1460">
      <x:c r="G1460" t="str">
        <x:v>MCI-TPA</x:v>
      </x:c>
      <x:c r="H1460" t="str">
        <x:v>MCI</x:v>
      </x:c>
      <x:c r="I1460" t="str">
        <x:v>TPA</x:v>
      </x:c>
      <x:c r="J1460" s="23" t="n">
        <x:v>1862</x:v>
      </x:c>
      <x:c r="K1460" s="24" t="n">
        <x:v>0.22234156820622986</x:v>
      </x:c>
      <x:c r="L1460" s="24" t="n">
        <x:v>0.014500537056928034</x:v>
      </x:c>
    </x:row>
    <x:row r="1461">
      <x:c r="G1461" t="str">
        <x:v>GRR-LAS</x:v>
      </x:c>
      <x:c r="H1461" t="str">
        <x:v>GRR</x:v>
      </x:c>
      <x:c r="I1461" t="str">
        <x:v>LAS</x:v>
      </x:c>
      <x:c r="J1461" s="23" t="n">
        <x:v>1003</x:v>
      </x:c>
      <x:c r="K1461" s="24" t="n">
        <x:v>0.22233300099700898</x:v>
      </x:c>
      <x:c r="L1461" s="24" t="n">
        <x:v>0.0009970089730807576</x:v>
      </x:c>
    </x:row>
    <x:row r="1462">
      <x:c r="G1462" t="str">
        <x:v>LAS-EWR</x:v>
      </x:c>
      <x:c r="H1462" t="str">
        <x:v>LAS</x:v>
      </x:c>
      <x:c r="I1462" t="str">
        <x:v>EWR</x:v>
      </x:c>
      <x:c r="J1462" s="23" t="n">
        <x:v>9216</x:v>
      </x:c>
      <x:c r="K1462" s="24" t="n">
        <x:v>0.22233072916666666</x:v>
      </x:c>
      <x:c r="L1462" s="24" t="n">
        <x:v>0.017035590277777776</x:v>
      </x:c>
    </x:row>
    <x:row r="1463">
      <x:c r="G1463" t="str">
        <x:v>DSM-CLT</x:v>
      </x:c>
      <x:c r="H1463" t="str">
        <x:v>DSM</x:v>
      </x:c>
      <x:c r="I1463" t="str">
        <x:v>CLT</x:v>
      </x:c>
      <x:c r="J1463" s="23" t="n">
        <x:v>2276</x:v>
      </x:c>
      <x:c r="K1463" s="24" t="n">
        <x:v>0.22231985940246046</x:v>
      </x:c>
      <x:c r="L1463" s="24" t="n">
        <x:v>0.016695957820738138</x:v>
      </x:c>
    </x:row>
    <x:row r="1464">
      <x:c r="G1464" t="str">
        <x:v>MSP-BIL</x:v>
      </x:c>
      <x:c r="H1464" t="str">
        <x:v>MSP</x:v>
      </x:c>
      <x:c r="I1464" t="str">
        <x:v>BIL</x:v>
      </x:c>
      <x:c r="J1464" s="23" t="n">
        <x:v>1210</x:v>
      </x:c>
      <x:c r="K1464" s="24" t="n">
        <x:v>0.22231404958677686</x:v>
      </x:c>
      <x:c r="L1464" s="24" t="n">
        <x:v>0.012396694214876033</x:v>
      </x:c>
    </x:row>
    <x:row r="1465">
      <x:c r="G1465" t="str">
        <x:v>GRB-ORD</x:v>
      </x:c>
      <x:c r="H1465" t="str">
        <x:v>GRB</x:v>
      </x:c>
      <x:c r="I1465" t="str">
        <x:v>ORD</x:v>
      </x:c>
      <x:c r="J1465" s="23" t="n">
        <x:v>5592</x:v>
      </x:c>
      <x:c r="K1465" s="24" t="n">
        <x:v>0.2222818311874106</x:v>
      </x:c>
      <x:c r="L1465" s="24" t="n">
        <x:v>0.020028612303290415</x:v>
      </x:c>
    </x:row>
    <x:row r="1466">
      <x:c r="G1466" t="str">
        <x:v>CLT-PIA</x:v>
      </x:c>
      <x:c r="H1466" t="str">
        <x:v>CLT</x:v>
      </x:c>
      <x:c r="I1466" t="str">
        <x:v>PIA</x:v>
      </x:c>
      <x:c r="J1466" s="23" t="n">
        <x:v>2254</x:v>
      </x:c>
      <x:c r="K1466" s="24" t="n">
        <x:v>0.2222715173025732</x:v>
      </x:c>
      <x:c r="L1466" s="24" t="n">
        <x:v>0.023957409050576754</x:v>
      </x:c>
    </x:row>
    <x:row r="1467">
      <x:c r="G1467" t="str">
        <x:v>DFW-TLH</x:v>
      </x:c>
      <x:c r="H1467" t="str">
        <x:v>DFW</x:v>
      </x:c>
      <x:c r="I1467" t="str">
        <x:v>TLH</x:v>
      </x:c>
      <x:c r="J1467" s="23" t="n">
        <x:v>3145</x:v>
      </x:c>
      <x:c r="K1467" s="24" t="n">
        <x:v>0.22225755166931638</x:v>
      </x:c>
      <x:c r="L1467" s="24" t="n">
        <x:v>0.01971383147853736</x:v>
      </x:c>
    </x:row>
    <x:row r="1468">
      <x:c r="G1468" t="str">
        <x:v>DCA-VPS</x:v>
      </x:c>
      <x:c r="H1468" t="str">
        <x:v>DCA</x:v>
      </x:c>
      <x:c r="I1468" t="str">
        <x:v>VPS</x:v>
      </x:c>
      <x:c r="J1468" s="23" t="n">
        <x:v>1206</x:v>
      </x:c>
      <x:c r="K1468" s="24" t="n">
        <x:v>0.2222222222222222</x:v>
      </x:c>
      <x:c r="L1468" s="24" t="n">
        <x:v>0.02570480928689884</x:v>
      </x:c>
    </x:row>
    <x:row r="1469">
      <x:c r="G1469" t="str">
        <x:v>HOU-LGA</x:v>
      </x:c>
      <x:c r="H1469" t="str">
        <x:v>HOU</x:v>
      </x:c>
      <x:c r="I1469" t="str">
        <x:v>LGA</x:v>
      </x:c>
      <x:c r="J1469" s="23" t="n">
        <x:v>3600</x:v>
      </x:c>
      <x:c r="K1469" s="24" t="n">
        <x:v>0.2222222222222222</x:v>
      </x:c>
      <x:c r="L1469" s="24" t="n">
        <x:v>0.01638888888888889</x:v>
      </x:c>
    </x:row>
    <x:row r="1470">
      <x:c r="G1470" t="str">
        <x:v>IAH-BWI</x:v>
      </x:c>
      <x:c r="H1470" t="str">
        <x:v>IAH</x:v>
      </x:c>
      <x:c r="I1470" t="str">
        <x:v>BWI</x:v>
      </x:c>
      <x:c r="J1470" s="23" t="n">
        <x:v>3353</x:v>
      </x:c>
      <x:c r="K1470" s="24" t="n">
        <x:v>0.22218908440202803</x:v>
      </x:c>
      <x:c r="L1470" s="24" t="n">
        <x:v>0.013420817178645988</x:v>
      </x:c>
    </x:row>
    <x:row r="1471">
      <x:c r="G1471" t="str">
        <x:v>PHL-BDL</x:v>
      </x:c>
      <x:c r="H1471" t="str">
        <x:v>PHL</x:v>
      </x:c>
      <x:c r="I1471" t="str">
        <x:v>BDL</x:v>
      </x:c>
      <x:c r="J1471" s="23" t="n">
        <x:v>1778</x:v>
      </x:c>
      <x:c r="K1471" s="24" t="n">
        <x:v>0.22215973003374578</x:v>
      </x:c>
      <x:c r="L1471" s="24" t="n">
        <x:v>0.021934758155230598</x:v>
      </x:c>
    </x:row>
    <x:row r="1472">
      <x:c r="G1472" t="str">
        <x:v>PHL-PWM</x:v>
      </x:c>
      <x:c r="H1472" t="str">
        <x:v>PHL</x:v>
      </x:c>
      <x:c r="I1472" t="str">
        <x:v>PWM</x:v>
      </x:c>
      <x:c r="J1472" s="23" t="n">
        <x:v>2476</x:v>
      </x:c>
      <x:c r="K1472" s="24" t="n">
        <x:v>0.22213247172859452</x:v>
      </x:c>
      <x:c r="L1472" s="24" t="n">
        <x:v>0.022617124394184167</x:v>
      </x:c>
    </x:row>
    <x:row r="1473">
      <x:c r="G1473" t="str">
        <x:v>IAD-LGA</x:v>
      </x:c>
      <x:c r="H1473" t="str">
        <x:v>IAD</x:v>
      </x:c>
      <x:c r="I1473" t="str">
        <x:v>LGA</x:v>
      </x:c>
      <x:c r="J1473" s="23" t="n">
        <x:v>2650</x:v>
      </x:c>
      <x:c r="K1473" s="24" t="n">
        <x:v>0.2218867924528302</x:v>
      </x:c>
      <x:c r="L1473" s="24" t="n">
        <x:v>0.03547169811320755</x:v>
      </x:c>
    </x:row>
    <x:row r="1474">
      <x:c r="G1474" t="str">
        <x:v>OAK-LAS</x:v>
      </x:c>
      <x:c r="H1474" t="str">
        <x:v>OAK</x:v>
      </x:c>
      <x:c r="I1474" t="str">
        <x:v>LAS</x:v>
      </x:c>
      <x:c r="J1474" s="23" t="n">
        <x:v>13812</x:v>
      </x:c>
      <x:c r="K1474" s="24" t="n">
        <x:v>0.2218360845641471</x:v>
      </x:c>
      <x:c r="L1474" s="24" t="n">
        <x:v>0.009050101361135245</x:v>
      </x:c>
    </x:row>
    <x:row r="1475">
      <x:c r="G1475" t="str">
        <x:v>BOS-SAT</x:v>
      </x:c>
      <x:c r="H1475" t="str">
        <x:v>BOS</x:v>
      </x:c>
      <x:c r="I1475" t="str">
        <x:v>SAT</x:v>
      </x:c>
      <x:c r="J1475" s="23" t="n">
        <x:v>1037</x:v>
      </x:c>
      <x:c r="K1475" s="24" t="n">
        <x:v>0.22179363548698167</x:v>
      </x:c>
      <x:c r="L1475" s="24" t="n">
        <x:v>0.010607521697203472</x:v>
      </x:c>
    </x:row>
    <x:row r="1476">
      <x:c r="G1476" t="str">
        <x:v>LAS-RNO</x:v>
      </x:c>
      <x:c r="H1476" t="str">
        <x:v>LAS</x:v>
      </x:c>
      <x:c r="I1476" t="str">
        <x:v>RNO</x:v>
      </x:c>
      <x:c r="J1476" s="23" t="n">
        <x:v>12537</x:v>
      </x:c>
      <x:c r="K1476" s="24" t="n">
        <x:v>0.22174363882906598</x:v>
      </x:c>
      <x:c r="L1476" s="24" t="n">
        <x:v>0.011326473638031426</x:v>
      </x:c>
    </x:row>
    <x:row r="1477">
      <x:c r="G1477" t="str">
        <x:v>DCA-MCO</x:v>
      </x:c>
      <x:c r="H1477" t="str">
        <x:v>DCA</x:v>
      </x:c>
      <x:c r="I1477" t="str">
        <x:v>MCO</x:v>
      </x:c>
      <x:c r="J1477" s="23" t="n">
        <x:v>14058</x:v>
      </x:c>
      <x:c r="K1477" s="24" t="n">
        <x:v>0.2217242851045668</x:v>
      </x:c>
      <x:c r="L1477" s="24" t="n">
        <x:v>0.015151515151515152</x:v>
      </x:c>
    </x:row>
    <x:row r="1478">
      <x:c r="G1478" t="str">
        <x:v>PHL-SLC</x:v>
      </x:c>
      <x:c r="H1478" t="str">
        <x:v>PHL</x:v>
      </x:c>
      <x:c r="I1478" t="str">
        <x:v>SLC</x:v>
      </x:c>
      <x:c r="J1478" s="23" t="n">
        <x:v>1926</x:v>
      </x:c>
      <x:c r="K1478" s="24" t="n">
        <x:v>0.2217030114226376</x:v>
      </x:c>
      <x:c r="L1478" s="24" t="n">
        <x:v>0.017653167185877467</x:v>
      </x:c>
    </x:row>
    <x:row r="1479">
      <x:c r="G1479" t="str">
        <x:v>ABQ-DFW</x:v>
      </x:c>
      <x:c r="H1479" t="str">
        <x:v>ABQ</x:v>
      </x:c>
      <x:c r="I1479" t="str">
        <x:v>DFW</x:v>
      </x:c>
      <x:c r="J1479" s="23" t="n">
        <x:v>7148</x:v>
      </x:c>
      <x:c r="K1479" s="24" t="n">
        <x:v>0.22160044767767206</x:v>
      </x:c>
      <x:c r="L1479" s="24" t="n">
        <x:v>0.024482372691662004</x:v>
      </x:c>
    </x:row>
    <x:row r="1480">
      <x:c r="G1480" t="str">
        <x:v>PIE-GRR</x:v>
      </x:c>
      <x:c r="H1480" t="str">
        <x:v>PIE</x:v>
      </x:c>
      <x:c r="I1480" t="str">
        <x:v>GRR</x:v>
      </x:c>
      <x:c r="J1480" s="23" t="n">
        <x:v>1056</x:v>
      </x:c>
      <x:c r="K1480" s="24" t="n">
        <x:v>0.2215909090909091</x:v>
      </x:c>
      <x:c r="L1480" s="24" t="n">
        <x:v>0.008522727272727272</x:v>
      </x:c>
    </x:row>
    <x:row r="1481">
      <x:c r="G1481" t="str">
        <x:v>ATL-LGA</x:v>
      </x:c>
      <x:c r="H1481" t="str">
        <x:v>ATL</x:v>
      </x:c>
      <x:c r="I1481" t="str">
        <x:v>LGA</x:v>
      </x:c>
      <x:c r="J1481" s="23" t="n">
        <x:v>23740</x:v>
      </x:c>
      <x:c r="K1481" s="24" t="n">
        <x:v>0.22156697556866048</x:v>
      </x:c>
      <x:c r="L1481" s="24" t="n">
        <x:v>0.017775905644481886</x:v>
      </x:c>
    </x:row>
    <x:row r="1482">
      <x:c r="G1482" t="str">
        <x:v>AUS-MSY</x:v>
      </x:c>
      <x:c r="H1482" t="str">
        <x:v>AUS</x:v>
      </x:c>
      <x:c r="I1482" t="str">
        <x:v>MSY</x:v>
      </x:c>
      <x:c r="J1482" s="23" t="n">
        <x:v>6057</x:v>
      </x:c>
      <x:c r="K1482" s="24" t="n">
        <x:v>0.2215618292884266</x:v>
      </x:c>
      <x:c r="L1482" s="24" t="n">
        <x:v>0.00709922403830279</x:v>
      </x:c>
    </x:row>
    <x:row r="1483">
      <x:c r="G1483" t="str">
        <x:v>DEN-BFL</x:v>
      </x:c>
      <x:c r="H1483" t="str">
        <x:v>DEN</x:v>
      </x:c>
      <x:c r="I1483" t="str">
        <x:v>BFL</x:v>
      </x:c>
      <x:c r="J1483" s="23" t="n">
        <x:v>1634</x:v>
      </x:c>
      <x:c r="K1483" s="24" t="n">
        <x:v>0.2215422276621787</x:v>
      </x:c>
      <x:c r="L1483" s="24" t="n">
        <x:v>0.006119951040391677</x:v>
      </x:c>
    </x:row>
    <x:row r="1484">
      <x:c r="G1484" t="str">
        <x:v>DFW-LBB</x:v>
      </x:c>
      <x:c r="H1484" t="str">
        <x:v>DFW</x:v>
      </x:c>
      <x:c r="I1484" t="str">
        <x:v>LBB</x:v>
      </x:c>
      <x:c r="J1484" s="23" t="n">
        <x:v>7620</x:v>
      </x:c>
      <x:c r="K1484" s="24" t="n">
        <x:v>0.2215223097112861</x:v>
      </x:c>
      <x:c r="L1484" s="24" t="n">
        <x:v>0.02125984251968504</x:v>
      </x:c>
    </x:row>
    <x:row r="1485">
      <x:c r="G1485" t="str">
        <x:v>LAS-OGG</x:v>
      </x:c>
      <x:c r="H1485" t="str">
        <x:v>LAS</x:v>
      </x:c>
      <x:c r="I1485" t="str">
        <x:v>OGG</x:v>
      </x:c>
      <x:c r="J1485" s="23" t="n">
        <x:v>2474</x:v>
      </x:c>
      <x:c r="K1485" s="24" t="n">
        <x:v>0.22150363783346808</x:v>
      </x:c>
      <x:c r="L1485" s="24" t="n">
        <x:v>0.0028294260307194824</x:v>
      </x:c>
    </x:row>
    <x:row r="1486">
      <x:c r="G1486" t="str">
        <x:v>JFK-MCI</x:v>
      </x:c>
      <x:c r="H1486" t="str">
        <x:v>JFK</x:v>
      </x:c>
      <x:c r="I1486" t="str">
        <x:v>MCI</x:v>
      </x:c>
      <x:c r="J1486" s="23" t="n">
        <x:v>1517</x:v>
      </x:c>
      <x:c r="K1486" s="24" t="n">
        <x:v>0.22148978246539222</x:v>
      </x:c>
      <x:c r="L1486" s="24" t="n">
        <x:v>0.024390243902439025</x:v>
      </x:c>
    </x:row>
    <x:row r="1487">
      <x:c r="G1487" t="str">
        <x:v>BNA-ORD</x:v>
      </x:c>
      <x:c r="H1487" t="str">
        <x:v>BNA</x:v>
      </x:c>
      <x:c r="I1487" t="str">
        <x:v>ORD</x:v>
      </x:c>
      <x:c r="J1487" s="23" t="n">
        <x:v>14312</x:v>
      </x:c>
      <x:c r="K1487" s="24" t="n">
        <x:v>0.22142258244829513</x:v>
      </x:c>
      <x:c r="L1487" s="24" t="n">
        <x:v>0.015162101732811626</x:v>
      </x:c>
    </x:row>
    <x:row r="1488">
      <x:c r="G1488" t="str">
        <x:v>MHT-DCA</x:v>
      </x:c>
      <x:c r="H1488" t="str">
        <x:v>MHT</x:v>
      </x:c>
      <x:c r="I1488" t="str">
        <x:v>DCA</x:v>
      </x:c>
      <x:c r="J1488" s="23" t="n">
        <x:v>3532</x:v>
      </x:c>
      <x:c r="K1488" s="24" t="n">
        <x:v>0.22140430351075877</x:v>
      </x:c>
      <x:c r="L1488" s="24" t="n">
        <x:v>0.03850509626274066</x:v>
      </x:c>
    </x:row>
    <x:row r="1489">
      <x:c r="G1489" t="str">
        <x:v>LAS-BWI</x:v>
      </x:c>
      <x:c r="H1489" t="str">
        <x:v>LAS</x:v>
      </x:c>
      <x:c r="I1489" t="str">
        <x:v>BWI</x:v>
      </x:c>
      <x:c r="J1489" s="23" t="n">
        <x:v>5873</x:v>
      </x:c>
      <x:c r="K1489" s="24" t="n">
        <x:v>0.2213519495998638</x:v>
      </x:c>
      <x:c r="L1489" s="24" t="n">
        <x:v>0.005618934105227311</x:v>
      </x:c>
    </x:row>
    <x:row r="1490">
      <x:c r="G1490" t="str">
        <x:v>ACT-DFW</x:v>
      </x:c>
      <x:c r="H1490" t="str">
        <x:v>ACT</x:v>
      </x:c>
      <x:c r="I1490" t="str">
        <x:v>DFW</x:v>
      </x:c>
      <x:c r="J1490" s="23" t="n">
        <x:v>3244</x:v>
      </x:c>
      <x:c r="K1490" s="24" t="n">
        <x:v>0.22133168927250307</x:v>
      </x:c>
      <x:c r="L1490" s="24" t="n">
        <x:v>0.030517879161528975</x:v>
      </x:c>
    </x:row>
    <x:row r="1491">
      <x:c r="G1491" t="str">
        <x:v>PHL-DEN</x:v>
      </x:c>
      <x:c r="H1491" t="str">
        <x:v>PHL</x:v>
      </x:c>
      <x:c r="I1491" t="str">
        <x:v>DEN</x:v>
      </x:c>
      <x:c r="J1491" s="23" t="n">
        <x:v>8748</x:v>
      </x:c>
      <x:c r="K1491" s="24" t="n">
        <x:v>0.22130772748056698</x:v>
      </x:c>
      <x:c r="L1491" s="24" t="n">
        <x:v>0.012002743484224965</x:v>
      </x:c>
    </x:row>
    <x:row r="1492">
      <x:c r="G1492" t="str">
        <x:v>SEA-ORD</x:v>
      </x:c>
      <x:c r="H1492" t="str">
        <x:v>SEA</x:v>
      </x:c>
      <x:c r="I1492" t="str">
        <x:v>ORD</x:v>
      </x:c>
      <x:c r="J1492" s="23" t="n">
        <x:v>15341</x:v>
      </x:c>
      <x:c r="K1492" s="24" t="n">
        <x:v>0.22130239228211981</x:v>
      </x:c>
      <x:c r="L1492" s="24" t="n">
        <x:v>0.00919105664559025</x:v>
      </x:c>
    </x:row>
    <x:row r="1493">
      <x:c r="G1493" t="str">
        <x:v>AUS-CMH</x:v>
      </x:c>
      <x:c r="H1493" t="str">
        <x:v>AUS</x:v>
      </x:c>
      <x:c r="I1493" t="str">
        <x:v>CMH</x:v>
      </x:c>
      <x:c r="J1493" s="23" t="n">
        <x:v>1080</x:v>
      </x:c>
      <x:c r="K1493" s="24" t="n">
        <x:v>0.2212962962962963</x:v>
      </x:c>
      <x:c r="L1493" s="24" t="n">
        <x:v>0.004629629629629629</x:v>
      </x:c>
    </x:row>
    <x:row r="1494">
      <x:c r="G1494" t="str">
        <x:v>HPN-FLL</x:v>
      </x:c>
      <x:c r="H1494" t="str">
        <x:v>HPN</x:v>
      </x:c>
      <x:c r="I1494" t="str">
        <x:v>FLL</x:v>
      </x:c>
      <x:c r="J1494" s="23" t="n">
        <x:v>2811</x:v>
      </x:c>
      <x:c r="K1494" s="24" t="n">
        <x:v>0.22127356812522234</x:v>
      </x:c>
      <x:c r="L1494" s="24" t="n">
        <x:v>0.013874066168623266</x:v>
      </x:c>
    </x:row>
    <x:row r="1495">
      <x:c r="G1495" t="str">
        <x:v>ORD-MSY</x:v>
      </x:c>
      <x:c r="H1495" t="str">
        <x:v>ORD</x:v>
      </x:c>
      <x:c r="I1495" t="str">
        <x:v>MSY</x:v>
      </x:c>
      <x:c r="J1495" s="23" t="n">
        <x:v>5510</x:v>
      </x:c>
      <x:c r="K1495" s="24" t="n">
        <x:v>0.22123411978221416</x:v>
      </x:c>
      <x:c r="L1495" s="24" t="n">
        <x:v>0.011070780399274047</x:v>
      </x:c>
    </x:row>
    <x:row r="1496">
      <x:c r="G1496" t="str">
        <x:v>TUS-SFO</x:v>
      </x:c>
      <x:c r="H1496" t="str">
        <x:v>TUS</x:v>
      </x:c>
      <x:c r="I1496" t="str">
        <x:v>SFO</x:v>
      </x:c>
      <x:c r="J1496" s="23" t="n">
        <x:v>2789</x:v>
      </x:c>
      <x:c r="K1496" s="24" t="n">
        <x:v>0.22122624596629617</x:v>
      </x:c>
      <x:c r="L1496" s="24" t="n">
        <x:v>0.00932233775546791</x:v>
      </x:c>
    </x:row>
    <x:row r="1497">
      <x:c r="G1497" t="str">
        <x:v>PHX-PIT</x:v>
      </x:c>
      <x:c r="H1497" t="str">
        <x:v>PHX</x:v>
      </x:c>
      <x:c r="I1497" t="str">
        <x:v>PIT</x:v>
      </x:c>
      <x:c r="J1497" s="23" t="n">
        <x:v>1994</x:v>
      </x:c>
      <x:c r="K1497" s="24" t="n">
        <x:v>0.22116349047141423</x:v>
      </x:c>
      <x:c r="L1497" s="24" t="n">
        <x:v>0.0015045135406218655</x:v>
      </x:c>
    </x:row>
    <x:row r="1498">
      <x:c r="G1498" t="str">
        <x:v>AUS-JFK</x:v>
      </x:c>
      <x:c r="H1498" t="str">
        <x:v>AUS</x:v>
      </x:c>
      <x:c r="I1498" t="str">
        <x:v>JFK</x:v>
      </x:c>
      <x:c r="J1498" s="23" t="n">
        <x:v>7060</x:v>
      </x:c>
      <x:c r="K1498" s="24" t="n">
        <x:v>0.22110481586402267</x:v>
      </x:c>
      <x:c r="L1498" s="24" t="n">
        <x:v>0.01614730878186969</x:v>
      </x:c>
    </x:row>
    <x:row r="1499">
      <x:c r="G1499" t="str">
        <x:v>DTW-SFO</x:v>
      </x:c>
      <x:c r="H1499" t="str">
        <x:v>DTW</x:v>
      </x:c>
      <x:c r="I1499" t="str">
        <x:v>SFO</x:v>
      </x:c>
      <x:c r="J1499" s="23" t="n">
        <x:v>4799</x:v>
      </x:c>
      <x:c r="K1499" s="24" t="n">
        <x:v>0.22108772660971035</x:v>
      </x:c>
      <x:c r="L1499" s="24" t="n">
        <x:v>0.009585330277141072</x:v>
      </x:c>
    </x:row>
    <x:row r="1500">
      <x:c r="G1500" t="str">
        <x:v>BOS-ORD</x:v>
      </x:c>
      <x:c r="H1500" t="str">
        <x:v>BOS</x:v>
      </x:c>
      <x:c r="I1500" t="str">
        <x:v>ORD</x:v>
      </x:c>
      <x:c r="J1500" s="23" t="n">
        <x:v>20448</x:v>
      </x:c>
      <x:c r="K1500" s="24" t="n">
        <x:v>0.22104851330203443</x:v>
      </x:c>
      <x:c r="L1500" s="24" t="n">
        <x:v>0.01511150234741784</x:v>
      </x:c>
    </x:row>
    <x:row r="1501">
      <x:c r="G1501" t="str">
        <x:v>MLI-ORD</x:v>
      </x:c>
      <x:c r="H1501" t="str">
        <x:v>MLI</x:v>
      </x:c>
      <x:c r="I1501" t="str">
        <x:v>ORD</x:v>
      </x:c>
      <x:c r="J1501" s="23" t="n">
        <x:v>4135</x:v>
      </x:c>
      <x:c r="K1501" s="24" t="n">
        <x:v>0.22103990326481257</x:v>
      </x:c>
      <x:c r="L1501" s="24" t="n">
        <x:v>0.025634824667472793</x:v>
      </x:c>
    </x:row>
    <x:row r="1502">
      <x:c r="G1502" t="str">
        <x:v>SEA-KTN</x:v>
      </x:c>
      <x:c r="H1502" t="str">
        <x:v>SEA</x:v>
      </x:c>
      <x:c r="I1502" t="str">
        <x:v>KTN</x:v>
      </x:c>
      <x:c r="J1502" s="23" t="n">
        <x:v>4122</x:v>
      </x:c>
      <x:c r="K1502" s="24" t="n">
        <x:v>0.2210092188258127</x:v>
      </x:c>
      <x:c r="L1502" s="24" t="n">
        <x:v>0.004124211547792334</x:v>
      </x:c>
    </x:row>
    <x:row r="1503">
      <x:c r="G1503" t="str">
        <x:v>TPA-AUS</x:v>
      </x:c>
      <x:c r="H1503" t="str">
        <x:v>TPA</x:v>
      </x:c>
      <x:c r="I1503" t="str">
        <x:v>AUS</x:v>
      </x:c>
      <x:c r="J1503" s="23" t="n">
        <x:v>3702</x:v>
      </x:c>
      <x:c r="K1503" s="24" t="n">
        <x:v>0.22096164235548352</x:v>
      </x:c>
      <x:c r="L1503" s="24" t="n">
        <x:v>0.012155591572123177</x:v>
      </x:c>
    </x:row>
    <x:row r="1504">
      <x:c r="G1504" t="str">
        <x:v>CVG-MCO</x:v>
      </x:c>
      <x:c r="H1504" t="str">
        <x:v>CVG</x:v>
      </x:c>
      <x:c r="I1504" t="str">
        <x:v>MCO</x:v>
      </x:c>
      <x:c r="J1504" s="23" t="n">
        <x:v>5211</x:v>
      </x:c>
      <x:c r="K1504" s="24" t="n">
        <x:v>0.220878909998081</x:v>
      </x:c>
      <x:c r="L1504" s="24" t="n">
        <x:v>0.012665515256188831</x:v>
      </x:c>
    </x:row>
    <x:row r="1505">
      <x:c r="G1505" t="str">
        <x:v>LNK-DEN</x:v>
      </x:c>
      <x:c r="H1505" t="str">
        <x:v>LNK</x:v>
      </x:c>
      <x:c r="I1505" t="str">
        <x:v>DEN</x:v>
      </x:c>
      <x:c r="J1505" s="23" t="n">
        <x:v>2495</x:v>
      </x:c>
      <x:c r="K1505" s="24" t="n">
        <x:v>0.22084168336673346</x:v>
      </x:c>
      <x:c r="L1505" s="24" t="n">
        <x:v>0.010821643286573146</x:v>
      </x:c>
    </x:row>
    <x:row r="1506">
      <x:c r="G1506" t="str">
        <x:v>DEN-ATL</x:v>
      </x:c>
      <x:c r="H1506" t="str">
        <x:v>DEN</x:v>
      </x:c>
      <x:c r="I1506" t="str">
        <x:v>ATL</x:v>
      </x:c>
      <x:c r="J1506" s="23" t="n">
        <x:v>17841</x:v>
      </x:c>
      <x:c r="K1506" s="24" t="n">
        <x:v>0.22083963903368645</x:v>
      </x:c>
      <x:c r="L1506" s="24" t="n">
        <x:v>0.00846365114063113</x:v>
      </x:c>
    </x:row>
    <x:row r="1507">
      <x:c r="G1507" t="str">
        <x:v>CLT-HPN</x:v>
      </x:c>
      <x:c r="H1507" t="str">
        <x:v>CLT</x:v>
      </x:c>
      <x:c r="I1507" t="str">
        <x:v>HPN</x:v>
      </x:c>
      <x:c r="J1507" s="23" t="n">
        <x:v>4157</x:v>
      </x:c>
      <x:c r="K1507" s="24" t="n">
        <x:v>0.22083233100793842</x:v>
      </x:c>
      <x:c r="L1507" s="24" t="n">
        <x:v>0.019725763771950927</x:v>
      </x:c>
    </x:row>
    <x:row r="1508">
      <x:c r="G1508" t="str">
        <x:v>COU-DFW</x:v>
      </x:c>
      <x:c r="H1508" t="str">
        <x:v>COU</x:v>
      </x:c>
      <x:c r="I1508" t="str">
        <x:v>DFW</x:v>
      </x:c>
      <x:c r="J1508" s="23" t="n">
        <x:v>3333</x:v>
      </x:c>
      <x:c r="K1508" s="24" t="n">
        <x:v>0.22082208220822083</x:v>
      </x:c>
      <x:c r="L1508" s="24" t="n">
        <x:v>0.026102610261026102</x:v>
      </x:c>
    </x:row>
    <x:row r="1509">
      <x:c r="G1509" t="str">
        <x:v>OMA-MCO</x:v>
      </x:c>
      <x:c r="H1509" t="str">
        <x:v>OMA</x:v>
      </x:c>
      <x:c r="I1509" t="str">
        <x:v>MCO</x:v>
      </x:c>
      <x:c r="J1509" s="23" t="n">
        <x:v>1096</x:v>
      </x:c>
      <x:c r="K1509" s="24" t="n">
        <x:v>0.2208029197080292</x:v>
      </x:c>
      <x:c r="L1509" s="24" t="n">
        <x:v>0.010036496350364963</x:v>
      </x:c>
    </x:row>
    <x:row r="1510">
      <x:c r="G1510" t="str">
        <x:v>HPN-ORD</x:v>
      </x:c>
      <x:c r="H1510" t="str">
        <x:v>HPN</x:v>
      </x:c>
      <x:c r="I1510" t="str">
        <x:v>ORD</x:v>
      </x:c>
      <x:c r="J1510" s="23" t="n">
        <x:v>3936</x:v>
      </x:c>
      <x:c r="K1510" s="24" t="n">
        <x:v>0.22078252032520326</x:v>
      </x:c>
      <x:c r="L1510" s="24" t="n">
        <x:v>0.020579268292682928</x:v>
      </x:c>
    </x:row>
    <x:row r="1511">
      <x:c r="G1511" t="str">
        <x:v>JAX-EWR</x:v>
      </x:c>
      <x:c r="H1511" t="str">
        <x:v>JAX</x:v>
      </x:c>
      <x:c r="I1511" t="str">
        <x:v>EWR</x:v>
      </x:c>
      <x:c r="J1511" s="23" t="n">
        <x:v>3986</x:v>
      </x:c>
      <x:c r="K1511" s="24" t="n">
        <x:v>0.22077270446562972</x:v>
      </x:c>
      <x:c r="L1511" s="24" t="n">
        <x:v>0.023833416959357753</x:v>
      </x:c>
    </x:row>
    <x:row r="1512">
      <x:c r="G1512" t="str">
        <x:v>LAS-BNA</x:v>
      </x:c>
      <x:c r="H1512" t="str">
        <x:v>LAS</x:v>
      </x:c>
      <x:c r="I1512" t="str">
        <x:v>BNA</x:v>
      </x:c>
      <x:c r="J1512" s="23" t="n">
        <x:v>5984</x:v>
      </x:c>
      <x:c r="K1512" s="24" t="n">
        <x:v>0.2207553475935829</x:v>
      </x:c>
      <x:c r="L1512" s="24" t="n">
        <x:v>0.007352941176470588</x:v>
      </x:c>
    </x:row>
    <x:row r="1513">
      <x:c r="G1513" t="str">
        <x:v>STL-AUS</x:v>
      </x:c>
      <x:c r="H1513" t="str">
        <x:v>STL</x:v>
      </x:c>
      <x:c r="I1513" t="str">
        <x:v>AUS</x:v>
      </x:c>
      <x:c r="J1513" s="23" t="n">
        <x:v>2949</x:v>
      </x:c>
      <x:c r="K1513" s="24" t="n">
        <x:v>0.22075279755849442</x:v>
      </x:c>
      <x:c r="L1513" s="24" t="n">
        <x:v>0.0084774499830451</x:v>
      </x:c>
    </x:row>
    <x:row r="1514">
      <x:c r="G1514" t="str">
        <x:v>SEA-BWI</x:v>
      </x:c>
      <x:c r="H1514" t="str">
        <x:v>SEA</x:v>
      </x:c>
      <x:c r="I1514" t="str">
        <x:v>BWI</x:v>
      </x:c>
      <x:c r="J1514" s="23" t="n">
        <x:v>1772</x:v>
      </x:c>
      <x:c r="K1514" s="24" t="n">
        <x:v>0.22065462753950338</x:v>
      </x:c>
      <x:c r="L1514" s="24" t="n">
        <x:v>0.006772009029345372</x:v>
      </x:c>
    </x:row>
    <x:row r="1515">
      <x:c r="G1515" t="str">
        <x:v>IND-DFW</x:v>
      </x:c>
      <x:c r="H1515" t="str">
        <x:v>IND</x:v>
      </x:c>
      <x:c r="I1515" t="str">
        <x:v>DFW</x:v>
      </x:c>
      <x:c r="J1515" s="23" t="n">
        <x:v>5720</x:v>
      </x:c>
      <x:c r="K1515" s="24" t="n">
        <x:v>0.22062937062937063</x:v>
      </x:c>
      <x:c r="L1515" s="24" t="n">
        <x:v>0.018006993006993006</x:v>
      </x:c>
    </x:row>
    <x:row r="1516">
      <x:c r="G1516" t="str">
        <x:v>BOS-LAX</x:v>
      </x:c>
      <x:c r="H1516" t="str">
        <x:v>BOS</x:v>
      </x:c>
      <x:c r="I1516" t="str">
        <x:v>LAX</x:v>
      </x:c>
      <x:c r="J1516" s="23" t="n">
        <x:v>13689</x:v>
      </x:c>
      <x:c r="K1516" s="24" t="n">
        <x:v>0.22061509240996421</x:v>
      </x:c>
      <x:c r="L1516" s="24" t="n">
        <x:v>0.0050405435020819634</x:v>
      </x:c>
    </x:row>
    <x:row r="1517">
      <x:c r="G1517" t="str">
        <x:v>LIT-DEN</x:v>
      </x:c>
      <x:c r="H1517" t="str">
        <x:v>LIT</x:v>
      </x:c>
      <x:c r="I1517" t="str">
        <x:v>DEN</x:v>
      </x:c>
      <x:c r="J1517" s="23" t="n">
        <x:v>3930</x:v>
      </x:c>
      <x:c r="K1517" s="24" t="n">
        <x:v>0.22061068702290076</x:v>
      </x:c>
      <x:c r="L1517" s="24" t="n">
        <x:v>0.007379134860050891</x:v>
      </x:c>
    </x:row>
    <x:row r="1518">
      <x:c r="G1518" t="str">
        <x:v>CLT-MYR</x:v>
      </x:c>
      <x:c r="H1518" t="str">
        <x:v>CLT</x:v>
      </x:c>
      <x:c r="I1518" t="str">
        <x:v>MYR</x:v>
      </x:c>
      <x:c r="J1518" s="23" t="n">
        <x:v>7457</x:v>
      </x:c>
      <x:c r="K1518" s="24" t="n">
        <x:v>0.22059809574896072</x:v>
      </x:c>
      <x:c r="L1518" s="24" t="n">
        <x:v>0.014751240445219258</x:v>
      </x:c>
    </x:row>
    <x:row r="1519">
      <x:c r="G1519" t="str">
        <x:v>BOS-SEA</x:v>
      </x:c>
      <x:c r="H1519" t="str">
        <x:v>BOS</x:v>
      </x:c>
      <x:c r="I1519" t="str">
        <x:v>SEA</x:v>
      </x:c>
      <x:c r="J1519" s="23" t="n">
        <x:v>7698</x:v>
      </x:c>
      <x:c r="K1519" s="24" t="n">
        <x:v>0.220576773187841</x:v>
      </x:c>
      <x:c r="L1519" s="24" t="n">
        <x:v>0.00779423226812159</x:v>
      </x:c>
    </x:row>
    <x:row r="1520">
      <x:c r="G1520" t="str">
        <x:v>MCI-DEN</x:v>
      </x:c>
      <x:c r="H1520" t="str">
        <x:v>MCI</x:v>
      </x:c>
      <x:c r="I1520" t="str">
        <x:v>DEN</x:v>
      </x:c>
      <x:c r="J1520" s="23" t="n">
        <x:v>12590</x:v>
      </x:c>
      <x:c r="K1520" s="24" t="n">
        <x:v>0.220571882446386</x:v>
      </x:c>
      <x:c r="L1520" s="24" t="n">
        <x:v>0.011517077045274026</x:v>
      </x:c>
    </x:row>
    <x:row r="1521">
      <x:c r="G1521" t="str">
        <x:v>OGG-SAN</x:v>
      </x:c>
      <x:c r="H1521" t="str">
        <x:v>OGG</x:v>
      </x:c>
      <x:c r="I1521" t="str">
        <x:v>SAN</x:v>
      </x:c>
      <x:c r="J1521" s="23" t="n">
        <x:v>2131</x:v>
      </x:c>
      <x:c r="K1521" s="24" t="n">
        <x:v>0.22055373064289066</x:v>
      </x:c>
      <x:c r="L1521" s="24" t="n">
        <x:v>0.015016424213984044</x:v>
      </x:c>
    </x:row>
    <x:row r="1522">
      <x:c r="G1522" t="str">
        <x:v>CLT-MDT</x:v>
      </x:c>
      <x:c r="H1522" t="str">
        <x:v>CLT</x:v>
      </x:c>
      <x:c r="I1522" t="str">
        <x:v>MDT</x:v>
      </x:c>
      <x:c r="J1522" s="23" t="n">
        <x:v>3396</x:v>
      </x:c>
      <x:c r="K1522" s="24" t="n">
        <x:v>0.22055359246171968</x:v>
      </x:c>
      <x:c r="L1522" s="24" t="n">
        <x:v>0.010011778563015312</x:v>
      </x:c>
    </x:row>
    <x:row r="1523">
      <x:c r="G1523" t="str">
        <x:v>MDW-OMA</x:v>
      </x:c>
      <x:c r="H1523" t="str">
        <x:v>MDW</x:v>
      </x:c>
      <x:c r="I1523" t="str">
        <x:v>OMA</x:v>
      </x:c>
      <x:c r="J1523" s="23" t="n">
        <x:v>4444</x:v>
      </x:c>
      <x:c r="K1523" s="24" t="n">
        <x:v>0.22052205220522053</x:v>
      </x:c>
      <x:c r="L1523" s="24" t="n">
        <x:v>0.012151215121512151</x:v>
      </x:c>
    </x:row>
    <x:row r="1524">
      <x:c r="G1524" t="str">
        <x:v>PHL-MSY</x:v>
      </x:c>
      <x:c r="H1524" t="str">
        <x:v>PHL</x:v>
      </x:c>
      <x:c r="I1524" t="str">
        <x:v>MSY</x:v>
      </x:c>
      <x:c r="J1524" s="23" t="n">
        <x:v>3043</x:v>
      </x:c>
      <x:c r="K1524" s="24" t="n">
        <x:v>0.22050607952678278</x:v>
      </x:c>
      <x:c r="L1524" s="24" t="n">
        <x:v>0.01511666118961551</x:v>
      </x:c>
    </x:row>
    <x:row r="1525">
      <x:c r="G1525" t="str">
        <x:v>PHL-CHS</x:v>
      </x:c>
      <x:c r="H1525" t="str">
        <x:v>PHL</x:v>
      </x:c>
      <x:c r="I1525" t="str">
        <x:v>CHS</x:v>
      </x:c>
      <x:c r="J1525" s="23" t="n">
        <x:v>4082</x:v>
      </x:c>
      <x:c r="K1525" s="24" t="n">
        <x:v>0.22048015678588928</x:v>
      </x:c>
      <x:c r="L1525" s="24" t="n">
        <x:v>0.018128368446839783</x:v>
      </x:c>
    </x:row>
    <x:row r="1526">
      <x:c r="G1526" t="str">
        <x:v>DAL-SJC</x:v>
      </x:c>
      <x:c r="H1526" t="str">
        <x:v>DAL</x:v>
      </x:c>
      <x:c r="I1526" t="str">
        <x:v>SJC</x:v>
      </x:c>
      <x:c r="J1526" s="23" t="n">
        <x:v>1837</x:v>
      </x:c>
      <x:c r="K1526" s="24" t="n">
        <x:v>0.22046815459989114</x:v>
      </x:c>
      <x:c r="L1526" s="24" t="n">
        <x:v>0.010342950462710943</x:v>
      </x:c>
    </x:row>
    <x:row r="1527">
      <x:c r="G1527" t="str">
        <x:v>IAH-SAT</x:v>
      </x:c>
      <x:c r="H1527" t="str">
        <x:v>IAH</x:v>
      </x:c>
      <x:c r="I1527" t="str">
        <x:v>SAT</x:v>
      </x:c>
      <x:c r="J1527" s="23" t="n">
        <x:v>6777</x:v>
      </x:c>
      <x:c r="K1527" s="24" t="n">
        <x:v>0.2204515272244356</x:v>
      </x:c>
      <x:c r="L1527" s="24" t="n">
        <x:v>0.015198465397668585</x:v>
      </x:c>
    </x:row>
    <x:row r="1528">
      <x:c r="G1528" t="str">
        <x:v>ORD-JAX</x:v>
      </x:c>
      <x:c r="H1528" t="str">
        <x:v>ORD</x:v>
      </x:c>
      <x:c r="I1528" t="str">
        <x:v>JAX</x:v>
      </x:c>
      <x:c r="J1528" s="23" t="n">
        <x:v>4890</x:v>
      </x:c>
      <x:c r="K1528" s="24" t="n">
        <x:v>0.22044989775051124</x:v>
      </x:c>
      <x:c r="L1528" s="24" t="n">
        <x:v>0.011451942740286299</x:v>
      </x:c>
    </x:row>
    <x:row r="1529">
      <x:c r="G1529" t="str">
        <x:v>LAS-SMF</x:v>
      </x:c>
      <x:c r="H1529" t="str">
        <x:v>LAS</x:v>
      </x:c>
      <x:c r="I1529" t="str">
        <x:v>SMF</x:v>
      </x:c>
      <x:c r="J1529" s="23" t="n">
        <x:v>16265</x:v>
      </x:c>
      <x:c r="K1529" s="24" t="n">
        <x:v>0.22041192745158317</x:v>
      </x:c>
      <x:c r="L1529" s="24" t="n">
        <x:v>0.009037811251152782</x:v>
      </x:c>
    </x:row>
    <x:row r="1530">
      <x:c r="G1530" t="str">
        <x:v>ORD-CAE</x:v>
      </x:c>
      <x:c r="H1530" t="str">
        <x:v>ORD</x:v>
      </x:c>
      <x:c r="I1530" t="str">
        <x:v>CAE</x:v>
      </x:c>
      <x:c r="J1530" s="23" t="n">
        <x:v>1561</x:v>
      </x:c>
      <x:c r="K1530" s="24" t="n">
        <x:v>0.22037155669442665</x:v>
      </x:c>
      <x:c r="L1530" s="24" t="n">
        <x:v>0.013452914798206279</x:v>
      </x:c>
    </x:row>
    <x:row r="1531">
      <x:c r="G1531" t="str">
        <x:v>AUS-IAH</x:v>
      </x:c>
      <x:c r="H1531" t="str">
        <x:v>AUS</x:v>
      </x:c>
      <x:c r="I1531" t="str">
        <x:v>IAH</x:v>
      </x:c>
      <x:c r="J1531" s="23" t="n">
        <x:v>7138</x:v>
      </x:c>
      <x:c r="K1531" s="24" t="n">
        <x:v>0.22036985149901933</x:v>
      </x:c>
      <x:c r="L1531" s="24" t="n">
        <x:v>0.017932193891846457</x:v>
      </x:c>
    </x:row>
    <x:row r="1532">
      <x:c r="G1532" t="str">
        <x:v>BOS-MIA</x:v>
      </x:c>
      <x:c r="H1532" t="str">
        <x:v>BOS</x:v>
      </x:c>
      <x:c r="I1532" t="str">
        <x:v>MIA</x:v>
      </x:c>
      <x:c r="J1532" s="23" t="n">
        <x:v>11263</x:v>
      </x:c>
      <x:c r="K1532" s="24" t="n">
        <x:v>0.22036757524638195</x:v>
      </x:c>
      <x:c r="L1532" s="24" t="n">
        <x:v>0.013495516292284472</x:v>
      </x:c>
    </x:row>
    <x:row r="1533">
      <x:c r="G1533" t="str">
        <x:v>LAS-PHX</x:v>
      </x:c>
      <x:c r="H1533" t="str">
        <x:v>LAS</x:v>
      </x:c>
      <x:c r="I1533" t="str">
        <x:v>PHX</x:v>
      </x:c>
      <x:c r="J1533" s="23" t="n">
        <x:v>20342</x:v>
      </x:c>
      <x:c r="K1533" s="24" t="n">
        <x:v>0.22033231737292303</x:v>
      </x:c>
      <x:c r="L1533" s="24" t="n">
        <x:v>0.010274309310785566</x:v>
      </x:c>
    </x:row>
    <x:row r="1534">
      <x:c r="G1534" t="str">
        <x:v>IAH-RDU</x:v>
      </x:c>
      <x:c r="H1534" t="str">
        <x:v>IAH</x:v>
      </x:c>
      <x:c r="I1534" t="str">
        <x:v>RDU</x:v>
      </x:c>
      <x:c r="J1534" s="23" t="n">
        <x:v>2528</x:v>
      </x:c>
      <x:c r="K1534" s="24" t="n">
        <x:v>0.22033227848101267</x:v>
      </x:c>
      <x:c r="L1534" s="24" t="n">
        <x:v>0.012658227848101266</x:v>
      </x:c>
    </x:row>
    <x:row r="1535">
      <x:c r="G1535" t="str">
        <x:v>BNA-LAS</x:v>
      </x:c>
      <x:c r="H1535" t="str">
        <x:v>BNA</x:v>
      </x:c>
      <x:c r="I1535" t="str">
        <x:v>LAS</x:v>
      </x:c>
      <x:c r="J1535" s="23" t="n">
        <x:v>5964</x:v>
      </x:c>
      <x:c r="K1535" s="24" t="n">
        <x:v>0.22032193158953722</x:v>
      </x:c>
      <x:c r="L1535" s="24" t="n">
        <x:v>0.006371562709590879</x:v>
      </x:c>
    </x:row>
    <x:row r="1536">
      <x:c r="G1536" t="str">
        <x:v>SEA-MSY</x:v>
      </x:c>
      <x:c r="H1536" t="str">
        <x:v>SEA</x:v>
      </x:c>
      <x:c r="I1536" t="str">
        <x:v>MSY</x:v>
      </x:c>
      <x:c r="J1536" s="23" t="n">
        <x:v>2011</x:v>
      </x:c>
      <x:c r="K1536" s="24" t="n">
        <x:v>0.22028841372451516</x:v>
      </x:c>
      <x:c r="L1536" s="24" t="n">
        <x:v>0.005469915464942815</x:v>
      </x:c>
    </x:row>
    <x:row r="1537">
      <x:c r="G1537" t="str">
        <x:v>SEA-STS</x:v>
      </x:c>
      <x:c r="H1537" t="str">
        <x:v>SEA</x:v>
      </x:c>
      <x:c r="I1537" t="str">
        <x:v>STS</x:v>
      </x:c>
      <x:c r="J1537" s="23" t="n">
        <x:v>1430</x:v>
      </x:c>
      <x:c r="K1537" s="24" t="n">
        <x:v>0.2202797202797203</x:v>
      </x:c>
      <x:c r="L1537" s="24" t="n">
        <x:v>0.004195804195804196</x:v>
      </x:c>
    </x:row>
    <x:row r="1538">
      <x:c r="G1538" t="str">
        <x:v>ORD-DEC</x:v>
      </x:c>
      <x:c r="H1538" t="str">
        <x:v>ORD</x:v>
      </x:c>
      <x:c r="I1538" t="str">
        <x:v>DEC</x:v>
      </x:c>
      <x:c r="J1538" s="23" t="n">
        <x:v>1875</x:v>
      </x:c>
      <x:c r="K1538" s="24" t="n">
        <x:v>0.22026666666666667</x:v>
      </x:c>
      <x:c r="L1538" s="24" t="n">
        <x:v>0.018666666666666668</x:v>
      </x:c>
    </x:row>
    <x:row r="1539">
      <x:c r="G1539" t="str">
        <x:v>IAH-LAS</x:v>
      </x:c>
      <x:c r="H1539" t="str">
        <x:v>IAH</x:v>
      </x:c>
      <x:c r="I1539" t="str">
        <x:v>LAS</x:v>
      </x:c>
      <x:c r="J1539" s="23" t="n">
        <x:v>12094</x:v>
      </x:c>
      <x:c r="K1539" s="24" t="n">
        <x:v>0.22019183065983133</x:v>
      </x:c>
      <x:c r="L1539" s="24" t="n">
        <x:v>0.009426161733090788</x:v>
      </x:c>
    </x:row>
    <x:row r="1540">
      <x:c r="G1540" t="str">
        <x:v>IAD-BOS</x:v>
      </x:c>
      <x:c r="H1540" t="str">
        <x:v>IAD</x:v>
      </x:c>
      <x:c r="I1540" t="str">
        <x:v>BOS</x:v>
      </x:c>
      <x:c r="J1540" s="23" t="n">
        <x:v>4465</x:v>
      </x:c>
      <x:c r="K1540" s="24" t="n">
        <x:v>0.22015677491601343</x:v>
      </x:c>
      <x:c r="L1540" s="24" t="n">
        <x:v>0.012989921612541993</x:v>
      </x:c>
    </x:row>
    <x:row r="1541">
      <x:c r="G1541" t="str">
        <x:v>ORD-ROA</x:v>
      </x:c>
      <x:c r="H1541" t="str">
        <x:v>ORD</x:v>
      </x:c>
      <x:c r="I1541" t="str">
        <x:v>ROA</x:v>
      </x:c>
      <x:c r="J1541" s="23" t="n">
        <x:v>2094</x:v>
      </x:c>
      <x:c r="K1541" s="24" t="n">
        <x:v>0.22015281757402103</x:v>
      </x:c>
      <x:c r="L1541" s="24" t="n">
        <x:v>0.017191977077363897</x:v>
      </x:c>
    </x:row>
    <x:row r="1542">
      <x:c r="G1542" t="str">
        <x:v>CLT-AVL</x:v>
      </x:c>
      <x:c r="H1542" t="str">
        <x:v>CLT</x:v>
      </x:c>
      <x:c r="I1542" t="str">
        <x:v>AVL</x:v>
      </x:c>
      <x:c r="J1542" s="23" t="n">
        <x:v>5701</x:v>
      </x:c>
      <x:c r="K1542" s="24" t="n">
        <x:v>0.22013681810208735</x:v>
      </x:c>
      <x:c r="L1542" s="24" t="n">
        <x:v>0.022978424837747764</x:v>
      </x:c>
    </x:row>
    <x:row r="1543">
      <x:c r="G1543" t="str">
        <x:v>DTW-PBI</x:v>
      </x:c>
      <x:c r="H1543" t="str">
        <x:v>DTW</x:v>
      </x:c>
      <x:c r="I1543" t="str">
        <x:v>PBI</x:v>
      </x:c>
      <x:c r="J1543" s="23" t="n">
        <x:v>1245</x:v>
      </x:c>
      <x:c r="K1543" s="24" t="n">
        <x:v>0.22008032128514057</x:v>
      </x:c>
      <x:c r="L1543" s="24" t="n">
        <x:v>0.008032128514056224</x:v>
      </x:c>
    </x:row>
    <x:row r="1544">
      <x:c r="G1544" t="str">
        <x:v>LAX-DFW</x:v>
      </x:c>
      <x:c r="H1544" t="str">
        <x:v>LAX</x:v>
      </x:c>
      <x:c r="I1544" t="str">
        <x:v>DFW</x:v>
      </x:c>
      <x:c r="J1544" s="23" t="n">
        <x:v>20276</x:v>
      </x:c>
      <x:c r="K1544" s="24" t="n">
        <x:v>0.2200631288222529</x:v>
      </x:c>
      <x:c r="L1544" s="24" t="n">
        <x:v>0.014697178930755573</x:v>
      </x:c>
    </x:row>
    <x:row r="1545">
      <x:c r="G1545" t="str">
        <x:v>PNS-DCA</x:v>
      </x:c>
      <x:c r="H1545" t="str">
        <x:v>PNS</x:v>
      </x:c>
      <x:c r="I1545" t="str">
        <x:v>DCA</x:v>
      </x:c>
      <x:c r="J1545" s="23" t="n">
        <x:v>2565</x:v>
      </x:c>
      <x:c r="K1545" s="24" t="n">
        <x:v>0.2198830409356725</x:v>
      </x:c>
      <x:c r="L1545" s="24" t="n">
        <x:v>0.029239766081871343</x:v>
      </x:c>
    </x:row>
    <x:row r="1546">
      <x:c r="G1546" t="str">
        <x:v>MSY-MCO</x:v>
      </x:c>
      <x:c r="H1546" t="str">
        <x:v>MSY</x:v>
      </x:c>
      <x:c r="I1546" t="str">
        <x:v>MCO</x:v>
      </x:c>
      <x:c r="J1546" s="23" t="n">
        <x:v>7245</x:v>
      </x:c>
      <x:c r="K1546" s="24" t="n">
        <x:v>0.21987577639751552</x:v>
      </x:c>
      <x:c r="L1546" s="24" t="n">
        <x:v>0.012974465148378193</x:v>
      </x:c>
    </x:row>
    <x:row r="1547">
      <x:c r="G1547" t="str">
        <x:v>PDX-DFW</x:v>
      </x:c>
      <x:c r="H1547" t="str">
        <x:v>PDX</x:v>
      </x:c>
      <x:c r="I1547" t="str">
        <x:v>DFW</x:v>
      </x:c>
      <x:c r="J1547" s="23" t="n">
        <x:v>7095</x:v>
      </x:c>
      <x:c r="K1547" s="24" t="n">
        <x:v>0.21987315010570824</x:v>
      </x:c>
      <x:c r="L1547" s="24" t="n">
        <x:v>0.018745595489781535</x:v>
      </x:c>
    </x:row>
    <x:row r="1548">
      <x:c r="G1548" t="str">
        <x:v>CLE-SEA</x:v>
      </x:c>
      <x:c r="H1548" t="str">
        <x:v>CLE</x:v>
      </x:c>
      <x:c r="I1548" t="str">
        <x:v>SEA</x:v>
      </x:c>
      <x:c r="J1548" s="23" t="n">
        <x:v>1342</x:v>
      </x:c>
      <x:c r="K1548" s="24" t="n">
        <x:v>0.21982116244411326</x:v>
      </x:c>
      <x:c r="L1548" s="24" t="n">
        <x:v>0.009687034277198211</x:v>
      </x:c>
    </x:row>
    <x:row r="1549">
      <x:c r="G1549" t="str">
        <x:v>STL-LIT</x:v>
      </x:c>
      <x:c r="H1549" t="str">
        <x:v>STL</x:v>
      </x:c>
      <x:c r="I1549" t="str">
        <x:v>LIT</x:v>
      </x:c>
      <x:c r="J1549" s="23" t="n">
        <x:v>2011</x:v>
      </x:c>
      <x:c r="K1549" s="24" t="n">
        <x:v>0.21979114868224764</x:v>
      </x:c>
      <x:c r="L1549" s="24" t="n">
        <x:v>0.008950770760815515</x:v>
      </x:c>
    </x:row>
    <x:row r="1550">
      <x:c r="G1550" t="str">
        <x:v>MCO-SEA</x:v>
      </x:c>
      <x:c r="H1550" t="str">
        <x:v>MCO</x:v>
      </x:c>
      <x:c r="I1550" t="str">
        <x:v>SEA</x:v>
      </x:c>
      <x:c r="J1550" s="23" t="n">
        <x:v>5524</x:v>
      </x:c>
      <x:c r="K1550" s="24" t="n">
        <x:v>0.21976828385228095</x:v>
      </x:c>
      <x:c r="L1550" s="24" t="n">
        <x:v>0.016292541636495295</x:v>
      </x:c>
    </x:row>
    <x:row r="1551">
      <x:c r="G1551" t="str">
        <x:v>HOU-TUS</x:v>
      </x:c>
      <x:c r="H1551" t="str">
        <x:v>HOU</x:v>
      </x:c>
      <x:c r="I1551" t="str">
        <x:v>TUS</x:v>
      </x:c>
      <x:c r="J1551" s="23" t="n">
        <x:v>1056</x:v>
      </x:c>
      <x:c r="K1551" s="24" t="n">
        <x:v>0.2196969696969697</x:v>
      </x:c>
      <x:c r="L1551" s="24" t="n">
        <x:v>0.005681818181818182</x:v>
      </x:c>
    </x:row>
    <x:row r="1552">
      <x:c r="G1552" t="str">
        <x:v>DEN-RSW</x:v>
      </x:c>
      <x:c r="H1552" t="str">
        <x:v>DEN</x:v>
      </x:c>
      <x:c r="I1552" t="str">
        <x:v>RSW</x:v>
      </x:c>
      <x:c r="J1552" s="23" t="n">
        <x:v>2672</x:v>
      </x:c>
      <x:c r="K1552" s="24" t="n">
        <x:v>0.21968562874251496</x:v>
      </x:c>
      <x:c r="L1552" s="24" t="n">
        <x:v>0.01122754491017964</x:v>
      </x:c>
    </x:row>
    <x:row r="1553">
      <x:c r="G1553" t="str">
        <x:v>DEN-GJT</x:v>
      </x:c>
      <x:c r="H1553" t="str">
        <x:v>DEN</x:v>
      </x:c>
      <x:c r="I1553" t="str">
        <x:v>GJT</x:v>
      </x:c>
      <x:c r="J1553" s="23" t="n">
        <x:v>4948</x:v>
      </x:c>
      <x:c r="K1553" s="24" t="n">
        <x:v>0.21968472109943413</x:v>
      </x:c>
      <x:c r="L1553" s="24" t="n">
        <x:v>0.012530315278900566</x:v>
      </x:c>
    </x:row>
    <x:row r="1554">
      <x:c r="G1554" t="str">
        <x:v>TTN-TPA</x:v>
      </x:c>
      <x:c r="H1554" t="str">
        <x:v>TTN</x:v>
      </x:c>
      <x:c r="I1554" t="str">
        <x:v>TPA</x:v>
      </x:c>
      <x:c r="J1554" s="23" t="n">
        <x:v>1006</x:v>
      </x:c>
      <x:c r="K1554" s="24" t="n">
        <x:v>0.21968190854870775</x:v>
      </x:c>
      <x:c r="L1554" s="24" t="n">
        <x:v>0.02882703777335984</x:v>
      </x:c>
    </x:row>
    <x:row r="1555">
      <x:c r="G1555" t="str">
        <x:v>SRQ-LGA</x:v>
      </x:c>
      <x:c r="H1555" t="str">
        <x:v>SRQ</x:v>
      </x:c>
      <x:c r="I1555" t="str">
        <x:v>LGA</x:v>
      </x:c>
      <x:c r="J1555" s="23" t="n">
        <x:v>1953</x:v>
      </x:c>
      <x:c r="K1555" s="24" t="n">
        <x:v>0.2196620583717358</x:v>
      </x:c>
      <x:c r="L1555" s="24" t="n">
        <x:v>0.023553507424475168</x:v>
      </x:c>
    </x:row>
    <x:row r="1556">
      <x:c r="G1556" t="str">
        <x:v>DEN-CID</x:v>
      </x:c>
      <x:c r="H1556" t="str">
        <x:v>DEN</x:v>
      </x:c>
      <x:c r="I1556" t="str">
        <x:v>CID</x:v>
      </x:c>
      <x:c r="J1556" s="23" t="n">
        <x:v>3110</x:v>
      </x:c>
      <x:c r="K1556" s="24" t="n">
        <x:v>0.21961414790996783</x:v>
      </x:c>
      <x:c r="L1556" s="24" t="n">
        <x:v>0.010610932475884245</x:v>
      </x:c>
    </x:row>
    <x:row r="1557">
      <x:c r="G1557" t="str">
        <x:v>SDF-MCO</x:v>
      </x:c>
      <x:c r="H1557" t="str">
        <x:v>SDF</x:v>
      </x:c>
      <x:c r="I1557" t="str">
        <x:v>MCO</x:v>
      </x:c>
      <x:c r="J1557" s="23" t="n">
        <x:v>2746</x:v>
      </x:c>
      <x:c r="K1557" s="24" t="n">
        <x:v>0.21959213401310998</x:v>
      </x:c>
      <x:c r="L1557" s="24" t="n">
        <x:v>0.009832483612527313</x:v>
      </x:c>
    </x:row>
    <x:row r="1558">
      <x:c r="G1558" t="str">
        <x:v>MCO-SLC</x:v>
      </x:c>
      <x:c r="H1558" t="str">
        <x:v>MCO</x:v>
      </x:c>
      <x:c r="I1558" t="str">
        <x:v>SLC</x:v>
      </x:c>
      <x:c r="J1558" s="23" t="n">
        <x:v>5526</x:v>
      </x:c>
      <x:c r="K1558" s="24" t="n">
        <x:v>0.2195077813970322</x:v>
      </x:c>
      <x:c r="L1558" s="24" t="n">
        <x:v>0.0077813970322113644</x:v>
      </x:c>
    </x:row>
    <x:row r="1559">
      <x:c r="G1559" t="str">
        <x:v>STT-FLL</x:v>
      </x:c>
      <x:c r="H1559" t="str">
        <x:v>STT</x:v>
      </x:c>
      <x:c r="I1559" t="str">
        <x:v>FLL</x:v>
      </x:c>
      <x:c r="J1559" s="23" t="n">
        <x:v>1253</x:v>
      </x:c>
      <x:c r="K1559" s="24" t="n">
        <x:v>0.2194732641660016</x:v>
      </x:c>
      <x:c r="L1559" s="24" t="n">
        <x:v>0.011971268954509178</x:v>
      </x:c>
    </x:row>
    <x:row r="1560">
      <x:c r="G1560" t="str">
        <x:v>SEA-DAL</x:v>
      </x:c>
      <x:c r="H1560" t="str">
        <x:v>SEA</x:v>
      </x:c>
      <x:c r="I1560" t="str">
        <x:v>DAL</x:v>
      </x:c>
      <x:c r="J1560" s="23" t="n">
        <x:v>1071</x:v>
      </x:c>
      <x:c r="K1560" s="24" t="n">
        <x:v>0.21942110177404295</x:v>
      </x:c>
      <x:c r="L1560" s="24" t="n">
        <x:v>0.01027077497665733</x:v>
      </x:c>
    </x:row>
    <x:row r="1561">
      <x:c r="G1561" t="str">
        <x:v>DTW-MCO</x:v>
      </x:c>
      <x:c r="H1561" t="str">
        <x:v>DTW</x:v>
      </x:c>
      <x:c r="I1561" t="str">
        <x:v>MCO</x:v>
      </x:c>
      <x:c r="J1561" s="23" t="n">
        <x:v>11820</x:v>
      </x:c>
      <x:c r="K1561" s="24" t="n">
        <x:v>0.21937394247038916</x:v>
      </x:c>
      <x:c r="L1561" s="24" t="n">
        <x:v>0.01023688663282572</x:v>
      </x:c>
    </x:row>
    <x:row r="1562">
      <x:c r="G1562" t="str">
        <x:v>MCI-CLT</x:v>
      </x:c>
      <x:c r="H1562" t="str">
        <x:v>MCI</x:v>
      </x:c>
      <x:c r="I1562" t="str">
        <x:v>CLT</x:v>
      </x:c>
      <x:c r="J1562" s="23" t="n">
        <x:v>4039</x:v>
      </x:c>
      <x:c r="K1562" s="24" t="n">
        <x:v>0.2193612280267393</x:v>
      </x:c>
      <x:c r="L1562" s="24" t="n">
        <x:v>0.010646199554345134</x:v>
      </x:c>
    </x:row>
    <x:row r="1563">
      <x:c r="G1563" t="str">
        <x:v>MSY-PHL</x:v>
      </x:c>
      <x:c r="H1563" t="str">
        <x:v>MSY</x:v>
      </x:c>
      <x:c r="I1563" t="str">
        <x:v>PHL</x:v>
      </x:c>
      <x:c r="J1563" s="23" t="n">
        <x:v>3041</x:v>
      </x:c>
      <x:c r="K1563" s="24" t="n">
        <x:v>0.21933574482078264</x:v>
      </x:c>
      <x:c r="L1563" s="24" t="n">
        <x:v>0.018414995067412034</x:v>
      </x:c>
    </x:row>
    <x:row r="1564">
      <x:c r="G1564" t="str">
        <x:v>ILM-DCA</x:v>
      </x:c>
      <x:c r="H1564" t="str">
        <x:v>ILM</x:v>
      </x:c>
      <x:c r="I1564" t="str">
        <x:v>DCA</x:v>
      </x:c>
      <x:c r="J1564" s="23" t="n">
        <x:v>2417</x:v>
      </x:c>
      <x:c r="K1564" s="24" t="n">
        <x:v>0.21928009929664874</x:v>
      </x:c>
      <x:c r="L1564" s="24" t="n">
        <x:v>0.03847745138601572</x:v>
      </x:c>
    </x:row>
    <x:row r="1565">
      <x:c r="G1565" t="str">
        <x:v>PHX-COS</x:v>
      </x:c>
      <x:c r="H1565" t="str">
        <x:v>PHX</x:v>
      </x:c>
      <x:c r="I1565" t="str">
        <x:v>COS</x:v>
      </x:c>
      <x:c r="J1565" s="23" t="n">
        <x:v>2937</x:v>
      </x:c>
      <x:c r="K1565" s="24" t="n">
        <x:v>0.21927136533878108</x:v>
      </x:c>
      <x:c r="L1565" s="24" t="n">
        <x:v>0.0040858018386108275</x:v>
      </x:c>
    </x:row>
    <x:row r="1566">
      <x:c r="G1566" t="str">
        <x:v>ELP-DFW</x:v>
      </x:c>
      <x:c r="H1566" t="str">
        <x:v>ELP</x:v>
      </x:c>
      <x:c r="I1566" t="str">
        <x:v>DFW</x:v>
      </x:c>
      <x:c r="J1566" s="23" t="n">
        <x:v>8303</x:v>
      </x:c>
      <x:c r="K1566" s="24" t="n">
        <x:v>0.21919788028423462</x:v>
      </x:c>
      <x:c r="L1566" s="24" t="n">
        <x:v>0.02047452727929664</x:v>
      </x:c>
    </x:row>
    <x:row r="1567">
      <x:c r="G1567" t="str">
        <x:v>BOS-PHX</x:v>
      </x:c>
      <x:c r="H1567" t="str">
        <x:v>BOS</x:v>
      </x:c>
      <x:c r="I1567" t="str">
        <x:v>PHX</x:v>
      </x:c>
      <x:c r="J1567" s="23" t="n">
        <x:v>6141</x:v>
      </x:c>
      <x:c r="K1567" s="24" t="n">
        <x:v>0.21918254355968084</x:v>
      </x:c>
      <x:c r="L1567" s="24" t="n">
        <x:v>0.005210877707213809</x:v>
      </x:c>
    </x:row>
    <x:row r="1568">
      <x:c r="G1568" t="str">
        <x:v>EWR-ROC</x:v>
      </x:c>
      <x:c r="H1568" t="str">
        <x:v>EWR</x:v>
      </x:c>
      <x:c r="I1568" t="str">
        <x:v>ROC</x:v>
      </x:c>
      <x:c r="J1568" s="23" t="n">
        <x:v>1971</x:v>
      </x:c>
      <x:c r="K1568" s="24" t="n">
        <x:v>0.2191780821917808</x:v>
      </x:c>
      <x:c r="L1568" s="24" t="n">
        <x:v>0.0350076103500761</x:v>
      </x:c>
    </x:row>
    <x:row r="1569">
      <x:c r="G1569" t="str">
        <x:v>CLT-AGS</x:v>
      </x:c>
      <x:c r="H1569" t="str">
        <x:v>CLT</x:v>
      </x:c>
      <x:c r="I1569" t="str">
        <x:v>AGS</x:v>
      </x:c>
      <x:c r="J1569" s="23" t="n">
        <x:v>2336</x:v>
      </x:c>
      <x:c r="K1569" s="24" t="n">
        <x:v>0.2191780821917808</x:v>
      </x:c>
      <x:c r="L1569" s="24" t="n">
        <x:v>0.023544520547945206</x:v>
      </x:c>
    </x:row>
    <x:row r="1570">
      <x:c r="G1570" t="str">
        <x:v>DTW-FLL</x:v>
      </x:c>
      <x:c r="H1570" t="str">
        <x:v>DTW</x:v>
      </x:c>
      <x:c r="I1570" t="str">
        <x:v>FLL</x:v>
      </x:c>
      <x:c r="J1570" s="23" t="n">
        <x:v>7575</x:v>
      </x:c>
      <x:c r="K1570" s="24" t="n">
        <x:v>0.21914191419141915</x:v>
      </x:c>
      <x:c r="L1570" s="24" t="n">
        <x:v>0.010957095709570958</x:v>
      </x:c>
    </x:row>
    <x:row r="1571">
      <x:c r="G1571" t="str">
        <x:v>SEA-DCA</x:v>
      </x:c>
      <x:c r="H1571" t="str">
        <x:v>SEA</x:v>
      </x:c>
      <x:c r="I1571" t="str">
        <x:v>DCA</x:v>
      </x:c>
      <x:c r="J1571" s="23" t="n">
        <x:v>2487</x:v>
      </x:c>
      <x:c r="K1571" s="24" t="n">
        <x:v>0.2191395255327704</x:v>
      </x:c>
      <x:c r="L1571" s="24" t="n">
        <x:v>0.006433453960595094</x:v>
      </x:c>
    </x:row>
    <x:row r="1572">
      <x:c r="G1572" t="str">
        <x:v>SEA-EWR</x:v>
      </x:c>
      <x:c r="H1572" t="str">
        <x:v>SEA</x:v>
      </x:c>
      <x:c r="I1572" t="str">
        <x:v>EWR</x:v>
      </x:c>
      <x:c r="J1572" s="23" t="n">
        <x:v>6129</x:v>
      </x:c>
      <x:c r="K1572" s="24" t="n">
        <x:v>0.21912220590634687</x:v>
      </x:c>
      <x:c r="L1572" s="24" t="n">
        <x:v>0.016152716593245228</x:v>
      </x:c>
    </x:row>
    <x:row r="1573">
      <x:c r="G1573" t="str">
        <x:v>DEN-PSP</x:v>
      </x:c>
      <x:c r="H1573" t="str">
        <x:v>DEN</x:v>
      </x:c>
      <x:c r="I1573" t="str">
        <x:v>PSP</x:v>
      </x:c>
      <x:c r="J1573" s="23" t="n">
        <x:v>5505</x:v>
      </x:c>
      <x:c r="K1573" s="24" t="n">
        <x:v>0.21907356948228882</x:v>
      </x:c>
      <x:c r="L1573" s="24" t="n">
        <x:v>0.004359673024523161</x:v>
      </x:c>
    </x:row>
    <x:row r="1574">
      <x:c r="G1574" t="str">
        <x:v>STL-DCA</x:v>
      </x:c>
      <x:c r="H1574" t="str">
        <x:v>STL</x:v>
      </x:c>
      <x:c r="I1574" t="str">
        <x:v>DCA</x:v>
      </x:c>
      <x:c r="J1574" s="23" t="n">
        <x:v>7010</x:v>
      </x:c>
      <x:c r="K1574" s="24" t="n">
        <x:v>0.21897289586305277</x:v>
      </x:c>
      <x:c r="L1574" s="24" t="n">
        <x:v>0.016119828815977174</x:v>
      </x:c>
    </x:row>
    <x:row r="1575">
      <x:c r="G1575" t="str">
        <x:v>TPA-MDW</x:v>
      </x:c>
      <x:c r="H1575" t="str">
        <x:v>TPA</x:v>
      </x:c>
      <x:c r="I1575" t="str">
        <x:v>MDW</x:v>
      </x:c>
      <x:c r="J1575" s="23" t="n">
        <x:v>5467</x:v>
      </x:c>
      <x:c r="K1575" s="24" t="n">
        <x:v>0.21895006402048656</x:v>
      </x:c>
      <x:c r="L1575" s="24" t="n">
        <x:v>0.01938906164258277</x:v>
      </x:c>
    </x:row>
    <x:row r="1576">
      <x:c r="G1576" t="str">
        <x:v>MSY-AUS</x:v>
      </x:c>
      <x:c r="H1576" t="str">
        <x:v>MSY</x:v>
      </x:c>
      <x:c r="I1576" t="str">
        <x:v>AUS</x:v>
      </x:c>
      <x:c r="J1576" s="23" t="n">
        <x:v>6054</x:v>
      </x:c>
      <x:c r="K1576" s="24" t="n">
        <x:v>0.21886356128179715</x:v>
      </x:c>
      <x:c r="L1576" s="24" t="n">
        <x:v>0.008919722497522299</x:v>
      </x:c>
    </x:row>
    <x:row r="1577">
      <x:c r="G1577" t="str">
        <x:v>STL-MCO</x:v>
      </x:c>
      <x:c r="H1577" t="str">
        <x:v>STL</x:v>
      </x:c>
      <x:c r="I1577" t="str">
        <x:v>MCO</x:v>
      </x:c>
      <x:c r="J1577" s="23" t="n">
        <x:v>7297</x:v>
      </x:c>
      <x:c r="K1577" s="24" t="n">
        <x:v>0.21885706454707415</x:v>
      </x:c>
      <x:c r="L1577" s="24" t="n">
        <x:v>0.012470878443195834</x:v>
      </x:c>
    </x:row>
    <x:row r="1578">
      <x:c r="G1578" t="str">
        <x:v>BTV-PHL</x:v>
      </x:c>
      <x:c r="H1578" t="str">
        <x:v>BTV</x:v>
      </x:c>
      <x:c r="I1578" t="str">
        <x:v>PHL</x:v>
      </x:c>
      <x:c r="J1578" s="23" t="n">
        <x:v>2440</x:v>
      </x:c>
      <x:c r="K1578" s="24" t="n">
        <x:v>0.21885245901639344</x:v>
      </x:c>
      <x:c r="L1578" s="24" t="n">
        <x:v>0.02622950819672131</x:v>
      </x:c>
    </x:row>
    <x:row r="1579">
      <x:c r="G1579" t="str">
        <x:v>ORD-PDX</x:v>
      </x:c>
      <x:c r="H1579" t="str">
        <x:v>ORD</x:v>
      </x:c>
      <x:c r="I1579" t="str">
        <x:v>PDX</x:v>
      </x:c>
      <x:c r="J1579" s="23" t="n">
        <x:v>6726</x:v>
      </x:c>
      <x:c r="K1579" s="24" t="n">
        <x:v>0.21885221528397264</x:v>
      </x:c>
      <x:c r="L1579" s="24" t="n">
        <x:v>0.012191495688373476</x:v>
      </x:c>
    </x:row>
    <x:row r="1580">
      <x:c r="G1580" t="str">
        <x:v>LGA-MDW</x:v>
      </x:c>
      <x:c r="H1580" t="str">
        <x:v>LGA</x:v>
      </x:c>
      <x:c r="I1580" t="str">
        <x:v>MDW</x:v>
      </x:c>
      <x:c r="J1580" s="23" t="n">
        <x:v>7377</x:v>
      </x:c>
      <x:c r="K1580" s="24" t="n">
        <x:v>0.21878812525416835</x:v>
      </x:c>
      <x:c r="L1580" s="24" t="n">
        <x:v>0.029415751660566626</x:v>
      </x:c>
    </x:row>
    <x:row r="1581">
      <x:c r="G1581" t="str">
        <x:v>BOS-SRQ</x:v>
      </x:c>
      <x:c r="H1581" t="str">
        <x:v>BOS</x:v>
      </x:c>
      <x:c r="I1581" t="str">
        <x:v>SRQ</x:v>
      </x:c>
      <x:c r="J1581" s="23" t="n">
        <x:v>1440</x:v>
      </x:c>
      <x:c r="K1581" s="24" t="n">
        <x:v>0.21875</x:v>
      </x:c>
      <x:c r="L1581" s="24" t="n">
        <x:v>0.02013888888888889</x:v>
      </x:c>
    </x:row>
    <x:row r="1582">
      <x:c r="G1582" t="str">
        <x:v>SGF-DFW</x:v>
      </x:c>
      <x:c r="H1582" t="str">
        <x:v>SGF</x:v>
      </x:c>
      <x:c r="I1582" t="str">
        <x:v>DFW</x:v>
      </x:c>
      <x:c r="J1582" s="23" t="n">
        <x:v>8640</x:v>
      </x:c>
      <x:c r="K1582" s="24" t="n">
        <x:v>0.21875</x:v>
      </x:c>
      <x:c r="L1582" s="24" t="n">
        <x:v>0.01712962962962963</x:v>
      </x:c>
    </x:row>
    <x:row r="1583">
      <x:c r="G1583" t="str">
        <x:v>ORD-SYR</x:v>
      </x:c>
      <x:c r="H1583" t="str">
        <x:v>ORD</x:v>
      </x:c>
      <x:c r="I1583" t="str">
        <x:v>SYR</x:v>
      </x:c>
      <x:c r="J1583" s="23" t="n">
        <x:v>5336</x:v>
      </x:c>
      <x:c r="K1583" s="24" t="n">
        <x:v>0.21870314842578711</x:v>
      </x:c>
      <x:c r="L1583" s="24" t="n">
        <x:v>0.013493253373313344</x:v>
      </x:c>
    </x:row>
    <x:row r="1584">
      <x:c r="G1584" t="str">
        <x:v>DAY-ORD</x:v>
      </x:c>
      <x:c r="H1584" t="str">
        <x:v>DAY</x:v>
      </x:c>
      <x:c r="I1584" t="str">
        <x:v>ORD</x:v>
      </x:c>
      <x:c r="J1584" s="23" t="n">
        <x:v>3791</x:v>
      </x:c>
      <x:c r="K1584" s="24" t="n">
        <x:v>0.21867581113162754</x:v>
      </x:c>
      <x:c r="L1584" s="24" t="n">
        <x:v>0.021366394091268795</x:v>
      </x:c>
    </x:row>
    <x:row r="1585">
      <x:c r="G1585" t="str">
        <x:v>SAN-SMF</x:v>
      </x:c>
      <x:c r="H1585" t="str">
        <x:v>SAN</x:v>
      </x:c>
      <x:c r="I1585" t="str">
        <x:v>SMF</x:v>
      </x:c>
      <x:c r="J1585" s="23" t="n">
        <x:v>16431</x:v>
      </x:c>
      <x:c r="K1585" s="24" t="n">
        <x:v>0.21867202239668918</x:v>
      </x:c>
      <x:c r="L1585" s="24" t="n">
        <x:v>0.008216176739090744</x:v>
      </x:c>
    </x:row>
    <x:row r="1586">
      <x:c r="G1586" t="str">
        <x:v>IAH-PIT</x:v>
      </x:c>
      <x:c r="H1586" t="str">
        <x:v>IAH</x:v>
      </x:c>
      <x:c r="I1586" t="str">
        <x:v>PIT</x:v>
      </x:c>
      <x:c r="J1586" s="23" t="n">
        <x:v>1962</x:v>
      </x:c>
      <x:c r="K1586" s="24" t="n">
        <x:v>0.21865443425076453</x:v>
      </x:c>
      <x:c r="L1586" s="24" t="n">
        <x:v>0.013761467889908258</x:v>
      </x:c>
    </x:row>
    <x:row r="1587">
      <x:c r="G1587" t="str">
        <x:v>OAK-EUG</x:v>
      </x:c>
      <x:c r="H1587" t="str">
        <x:v>OAK</x:v>
      </x:c>
      <x:c r="I1587" t="str">
        <x:v>EUG</x:v>
      </x:c>
      <x:c r="J1587" s="23" t="n">
        <x:v>1523</x:v>
      </x:c>
      <x:c r="K1587" s="24" t="n">
        <x:v>0.21864740643466843</x:v>
      </x:c>
      <x:c r="L1587" s="24" t="n">
        <x:v>0.011162179908076166</x:v>
      </x:c>
    </x:row>
    <x:row r="1588">
      <x:c r="G1588" t="str">
        <x:v>TLH-DFW</x:v>
      </x:c>
      <x:c r="H1588" t="str">
        <x:v>TLH</x:v>
      </x:c>
      <x:c r="I1588" t="str">
        <x:v>DFW</x:v>
      </x:c>
      <x:c r="J1588" s="23" t="n">
        <x:v>3148</x:v>
      </x:c>
      <x:c r="K1588" s="24" t="n">
        <x:v>0.21855146124523506</x:v>
      </x:c>
      <x:c r="L1588" s="24" t="n">
        <x:v>0.02255400254129606</x:v>
      </x:c>
    </x:row>
    <x:row r="1589">
      <x:c r="G1589" t="str">
        <x:v>IND-RSW</x:v>
      </x:c>
      <x:c r="H1589" t="str">
        <x:v>IND</x:v>
      </x:c>
      <x:c r="I1589" t="str">
        <x:v>RSW</x:v>
      </x:c>
      <x:c r="J1589" s="23" t="n">
        <x:v>2664</x:v>
      </x:c>
      <x:c r="K1589" s="24" t="n">
        <x:v>0.21846846846846846</x:v>
      </x:c>
      <x:c r="L1589" s="24" t="n">
        <x:v>0.013138138138138139</x:v>
      </x:c>
    </x:row>
    <x:row r="1590">
      <x:c r="G1590" t="str">
        <x:v>SJU-ORD</x:v>
      </x:c>
      <x:c r="H1590" t="str">
        <x:v>SJU</x:v>
      </x:c>
      <x:c r="I1590" t="str">
        <x:v>ORD</x:v>
      </x:c>
      <x:c r="J1590" s="23" t="n">
        <x:v>3424</x:v>
      </x:c>
      <x:c r="K1590" s="24" t="n">
        <x:v>0.21845794392523366</x:v>
      </x:c>
      <x:c r="L1590" s="24" t="n">
        <x:v>0.006717289719626168</x:v>
      </x:c>
    </x:row>
    <x:row r="1591">
      <x:c r="G1591" t="str">
        <x:v>ROA-ORD</x:v>
      </x:c>
      <x:c r="H1591" t="str">
        <x:v>ROA</x:v>
      </x:c>
      <x:c r="I1591" t="str">
        <x:v>ORD</x:v>
      </x:c>
      <x:c r="J1591" s="23" t="n">
        <x:v>2092</x:v>
      </x:c>
      <x:c r="K1591" s="24" t="n">
        <x:v>0.21845124282982792</x:v>
      </x:c>
      <x:c r="L1591" s="24" t="n">
        <x:v>0.019120458891013385</x:v>
      </x:c>
    </x:row>
    <x:row r="1592">
      <x:c r="G1592" t="str">
        <x:v>IAH-PDX</x:v>
      </x:c>
      <x:c r="H1592" t="str">
        <x:v>IAH</x:v>
      </x:c>
      <x:c r="I1592" t="str">
        <x:v>PDX</x:v>
      </x:c>
      <x:c r="J1592" s="23" t="n">
        <x:v>2811</x:v>
      </x:c>
      <x:c r="K1592" s="24" t="n">
        <x:v>0.2184276058342227</x:v>
      </x:c>
      <x:c r="L1592" s="24" t="n">
        <x:v>0.009960868018498754</x:v>
      </x:c>
    </x:row>
    <x:row r="1593">
      <x:c r="G1593" t="str">
        <x:v>MSN-PHX</x:v>
      </x:c>
      <x:c r="H1593" t="str">
        <x:v>MSN</x:v>
      </x:c>
      <x:c r="I1593" t="str">
        <x:v>PHX</x:v>
      </x:c>
      <x:c r="J1593" s="23" t="n">
        <x:v>1273</x:v>
      </x:c>
      <x:c r="K1593" s="24" t="n">
        <x:v>0.21838177533385703</x:v>
      </x:c>
      <x:c r="L1593" s="24" t="n">
        <x:v>0.003142183817753339</x:v>
      </x:c>
    </x:row>
    <x:row r="1594">
      <x:c r="G1594" t="str">
        <x:v>STL-IAH</x:v>
      </x:c>
      <x:c r="H1594" t="str">
        <x:v>STL</x:v>
      </x:c>
      <x:c r="I1594" t="str">
        <x:v>IAH</x:v>
      </x:c>
      <x:c r="J1594" s="23" t="n">
        <x:v>1873</x:v>
      </x:c>
      <x:c r="K1594" s="24" t="n">
        <x:v>0.2183662573411639</x:v>
      </x:c>
      <x:c r="L1594" s="24" t="n">
        <x:v>0.018152696209289908</x:v>
      </x:c>
    </x:row>
    <x:row r="1595">
      <x:c r="G1595" t="str">
        <x:v>IAH-TPA</x:v>
      </x:c>
      <x:c r="H1595" t="str">
        <x:v>IAH</x:v>
      </x:c>
      <x:c r="I1595" t="str">
        <x:v>TPA</x:v>
      </x:c>
      <x:c r="J1595" s="23" t="n">
        <x:v>4985</x:v>
      </x:c>
      <x:c r="K1595" s="24" t="n">
        <x:v>0.21825476429287863</x:v>
      </x:c>
      <x:c r="L1595" s="24" t="n">
        <x:v>0.01765295887662989</x:v>
      </x:c>
    </x:row>
    <x:row r="1596">
      <x:c r="G1596" t="str">
        <x:v>SFO-BZN</x:v>
      </x:c>
      <x:c r="H1596" t="str">
        <x:v>SFO</x:v>
      </x:c>
      <x:c r="I1596" t="str">
        <x:v>BZN</x:v>
      </x:c>
      <x:c r="J1596" s="23" t="n">
        <x:v>1260</x:v>
      </x:c>
      <x:c r="K1596" s="24" t="n">
        <x:v>0.21825396825396826</x:v>
      </x:c>
      <x:c r="L1596" s="24" t="n">
        <x:v>0.006349206349206349</x:v>
      </x:c>
    </x:row>
    <x:row r="1597">
      <x:c r="G1597" t="str">
        <x:v>CLT-DAB</x:v>
      </x:c>
      <x:c r="H1597" t="str">
        <x:v>CLT</x:v>
      </x:c>
      <x:c r="I1597" t="str">
        <x:v>DAB</x:v>
      </x:c>
      <x:c r="J1597" s="23" t="n">
        <x:v>3895</x:v>
      </x:c>
      <x:c r="K1597" s="24" t="n">
        <x:v>0.21822849807445444</x:v>
      </x:c>
      <x:c r="L1597" s="24" t="n">
        <x:v>0.018998716302952502</x:v>
      </x:c>
    </x:row>
    <x:row r="1598">
      <x:c r="G1598" t="str">
        <x:v>CLE-MIA</x:v>
      </x:c>
      <x:c r="H1598" t="str">
        <x:v>CLE</x:v>
      </x:c>
      <x:c r="I1598" t="str">
        <x:v>MIA</x:v>
      </x:c>
      <x:c r="J1598" s="23" t="n">
        <x:v>2241</x:v>
      </x:c>
      <x:c r="K1598" s="24" t="n">
        <x:v>0.2182061579651941</x:v>
      </x:c>
      <x:c r="L1598" s="24" t="n">
        <x:v>0.01606425702811245</x:v>
      </x:c>
    </x:row>
    <x:row r="1599">
      <x:c r="G1599" t="str">
        <x:v>MCO-MIA</x:v>
      </x:c>
      <x:c r="H1599" t="str">
        <x:v>MCO</x:v>
      </x:c>
      <x:c r="I1599" t="str">
        <x:v>MIA</x:v>
      </x:c>
      <x:c r="J1599" s="23" t="n">
        <x:v>11472</x:v>
      </x:c>
      <x:c r="K1599" s="24" t="n">
        <x:v>0.2181834030683403</x:v>
      </x:c>
      <x:c r="L1599" s="24" t="n">
        <x:v>0.015167364016736401</x:v>
      </x:c>
    </x:row>
    <x:row r="1600">
      <x:c r="G1600" t="str">
        <x:v>BWI-STL</x:v>
      </x:c>
      <x:c r="H1600" t="str">
        <x:v>BWI</x:v>
      </x:c>
      <x:c r="I1600" t="str">
        <x:v>STL</x:v>
      </x:c>
      <x:c r="J1600" s="23" t="n">
        <x:v>3869</x:v>
      </x:c>
      <x:c r="K1600" s="24" t="n">
        <x:v>0.2181442233135177</x:v>
      </x:c>
      <x:c r="L1600" s="24" t="n">
        <x:v>0.009563194623933832</x:v>
      </x:c>
    </x:row>
    <x:row r="1601">
      <x:c r="G1601" t="str">
        <x:v>SFO-HNL</x:v>
      </x:c>
      <x:c r="H1601" t="str">
        <x:v>SFO</x:v>
      </x:c>
      <x:c r="I1601" t="str">
        <x:v>HNL</x:v>
      </x:c>
      <x:c r="J1601" s="23" t="n">
        <x:v>7473</x:v>
      </x:c>
      <x:c r="K1601" s="24" t="n">
        <x:v>0.21811856014987288</x:v>
      </x:c>
      <x:c r="L1601" s="24" t="n">
        <x:v>0.011240465676435166</x:v>
      </x:c>
    </x:row>
    <x:row r="1602">
      <x:c r="G1602" t="str">
        <x:v>CLT-OAJ</x:v>
      </x:c>
      <x:c r="H1602" t="str">
        <x:v>CLT</x:v>
      </x:c>
      <x:c r="I1602" t="str">
        <x:v>OAJ</x:v>
      </x:c>
      <x:c r="J1602" s="23" t="n">
        <x:v>1724</x:v>
      </x:c>
      <x:c r="K1602" s="24" t="n">
        <x:v>0.21809744779582366</x:v>
      </x:c>
      <x:c r="L1602" s="24" t="n">
        <x:v>0.03074245939675174</x:v>
      </x:c>
    </x:row>
    <x:row r="1603">
      <x:c r="G1603" t="str">
        <x:v>SLC-BOS</x:v>
      </x:c>
      <x:c r="H1603" t="str">
        <x:v>SLC</x:v>
      </x:c>
      <x:c r="I1603" t="str">
        <x:v>BOS</x:v>
      </x:c>
      <x:c r="J1603" s="23" t="n">
        <x:v>3866</x:v>
      </x:c>
      <x:c r="K1603" s="24" t="n">
        <x:v>0.21805483704086912</x:v>
      </x:c>
      <x:c r="L1603" s="24" t="n">
        <x:v>0.005431971029487843</x:v>
      </x:c>
    </x:row>
    <x:row r="1604">
      <x:c r="G1604" t="str">
        <x:v>BOS-IAH</x:v>
      </x:c>
      <x:c r="H1604" t="str">
        <x:v>BOS</x:v>
      </x:c>
      <x:c r="I1604" t="str">
        <x:v>IAH</x:v>
      </x:c>
      <x:c r="J1604" s="23" t="n">
        <x:v>5871</x:v>
      </x:c>
      <x:c r="K1604" s="24" t="n">
        <x:v>0.21802078010560383</x:v>
      </x:c>
      <x:c r="L1604" s="24" t="n">
        <x:v>0.013285641287685232</x:v>
      </x:c>
    </x:row>
    <x:row r="1605">
      <x:c r="G1605" t="str">
        <x:v>LAS-BUR</x:v>
      </x:c>
      <x:c r="H1605" t="str">
        <x:v>LAS</x:v>
      </x:c>
      <x:c r="I1605" t="str">
        <x:v>BUR</x:v>
      </x:c>
      <x:c r="J1605" s="23" t="n">
        <x:v>13233</x:v>
      </x:c>
      <x:c r="K1605" s="24" t="n">
        <x:v>0.2180155671427492</x:v>
      </x:c>
      <x:c r="L1605" s="24" t="n">
        <x:v>0.015944986019798987</x:v>
      </x:c>
    </x:row>
    <x:row r="1606">
      <x:c r="G1606" t="str">
        <x:v>OGG-SEA</x:v>
      </x:c>
      <x:c r="H1606" t="str">
        <x:v>OGG</x:v>
      </x:c>
      <x:c r="I1606" t="str">
        <x:v>SEA</x:v>
      </x:c>
      <x:c r="J1606" s="23" t="n">
        <x:v>5276</x:v>
      </x:c>
      <x:c r="K1606" s="24" t="n">
        <x:v>0.21796815769522365</x:v>
      </x:c>
      <x:c r="L1606" s="24" t="n">
        <x:v>0.01573161485974223</x:v>
      </x:c>
    </x:row>
    <x:row r="1607">
      <x:c r="G1607" t="str">
        <x:v>SEA-IAH</x:v>
      </x:c>
      <x:c r="H1607" t="str">
        <x:v>SEA</x:v>
      </x:c>
      <x:c r="I1607" t="str">
        <x:v>IAH</x:v>
      </x:c>
      <x:c r="J1607" s="23" t="n">
        <x:v>6258</x:v>
      </x:c>
      <x:c r="K1607" s="24" t="n">
        <x:v>0.21796100990731862</x:v>
      </x:c>
      <x:c r="L1607" s="24" t="n">
        <x:v>0.01310322786832854</x:v>
      </x:c>
    </x:row>
    <x:row r="1608">
      <x:c r="G1608" t="str">
        <x:v>ABQ-SEA</x:v>
      </x:c>
      <x:c r="H1608" t="str">
        <x:v>ABQ</x:v>
      </x:c>
      <x:c r="I1608" t="str">
        <x:v>SEA</x:v>
      </x:c>
      <x:c r="J1608" s="23" t="n">
        <x:v>1455</x:v>
      </x:c>
      <x:c r="K1608" s="24" t="n">
        <x:v>0.21786941580756014</x:v>
      </x:c>
      <x:c r="L1608" s="24" t="n">
        <x:v>0.008247422680412371</x:v>
      </x:c>
    </x:row>
    <x:row r="1609">
      <x:c r="G1609" t="str">
        <x:v>CVG-DCA</x:v>
      </x:c>
      <x:c r="H1609" t="str">
        <x:v>CVG</x:v>
      </x:c>
      <x:c r="I1609" t="str">
        <x:v>DCA</x:v>
      </x:c>
      <x:c r="J1609" s="23" t="n">
        <x:v>4918</x:v>
      </x:c>
      <x:c r="K1609" s="24" t="n">
        <x:v>0.21777145180967872</x:v>
      </x:c>
      <x:c r="L1609" s="24" t="n">
        <x:v>0.021553477023180154</x:v>
      </x:c>
    </x:row>
    <x:row r="1610">
      <x:c r="G1610" t="str">
        <x:v>CHS-SEA</x:v>
      </x:c>
      <x:c r="H1610" t="str">
        <x:v>CHS</x:v>
      </x:c>
      <x:c r="I1610" t="str">
        <x:v>SEA</x:v>
      </x:c>
      <x:c r="J1610" s="23" t="n">
        <x:v>1047</x:v>
      </x:c>
      <x:c r="K1610" s="24" t="n">
        <x:v>0.2177650429799427</x:v>
      </x:c>
      <x:c r="L1610" s="24" t="n">
        <x:v>0.013371537726838587</x:v>
      </x:c>
    </x:row>
    <x:row r="1611">
      <x:c r="G1611" t="str">
        <x:v>DEN-MTJ</x:v>
      </x:c>
      <x:c r="H1611" t="str">
        <x:v>DEN</x:v>
      </x:c>
      <x:c r="I1611" t="str">
        <x:v>MTJ</x:v>
      </x:c>
      <x:c r="J1611" s="23" t="n">
        <x:v>4427</x:v>
      </x:c>
      <x:c r="K1611" s="24" t="n">
        <x:v>0.21775468714705218</x:v>
      </x:c>
      <x:c r="L1611" s="24" t="n">
        <x:v>0.009487237406821775</x:v>
      </x:c>
    </x:row>
    <x:row r="1612">
      <x:c r="G1612" t="str">
        <x:v>SFO-BOS</x:v>
      </x:c>
      <x:c r="H1612" t="str">
        <x:v>SFO</x:v>
      </x:c>
      <x:c r="I1612" t="str">
        <x:v>BOS</x:v>
      </x:c>
      <x:c r="J1612" s="23" t="n">
        <x:v>13671</x:v>
      </x:c>
      <x:c r="K1612" s="24" t="n">
        <x:v>0.21768707482993196</x:v>
      </x:c>
      <x:c r="L1612" s="24" t="n">
        <x:v>0.008485114475897886</x:v>
      </x:c>
    </x:row>
    <x:row r="1613">
      <x:c r="G1613" t="str">
        <x:v>DCA-TUL</x:v>
      </x:c>
      <x:c r="H1613" t="str">
        <x:v>DCA</x:v>
      </x:c>
      <x:c r="I1613" t="str">
        <x:v>TUL</x:v>
      </x:c>
      <x:c r="J1613" s="23" t="n">
        <x:v>1075</x:v>
      </x:c>
      <x:c r="K1613" s="24" t="n">
        <x:v>0.21767441860465117</x:v>
      </x:c>
      <x:c r="L1613" s="24" t="n">
        <x:v>0.024186046511627906</x:v>
      </x:c>
    </x:row>
    <x:row r="1614">
      <x:c r="G1614" t="str">
        <x:v>ORD-RDU</x:v>
      </x:c>
      <x:c r="H1614" t="str">
        <x:v>ORD</x:v>
      </x:c>
      <x:c r="I1614" t="str">
        <x:v>RDU</x:v>
      </x:c>
      <x:c r="J1614" s="23" t="n">
        <x:v>8954</x:v>
      </x:c>
      <x:c r="K1614" s="24" t="n">
        <x:v>0.21766808130444493</x:v>
      </x:c>
      <x:c r="L1614" s="24" t="n">
        <x:v>0.00915791824882734</x:v>
      </x:c>
    </x:row>
    <x:row r="1615">
      <x:c r="G1615" t="str">
        <x:v>TTN-MCO</x:v>
      </x:c>
      <x:c r="H1615" t="str">
        <x:v>TTN</x:v>
      </x:c>
      <x:c r="I1615" t="str">
        <x:v>MCO</x:v>
      </x:c>
      <x:c r="J1615" s="23" t="n">
        <x:v>1948</x:v>
      </x:c>
      <x:c r="K1615" s="24" t="n">
        <x:v>0.21765913757700206</x:v>
      </x:c>
      <x:c r="L1615" s="24" t="n">
        <x:v>0.028234086242299793</x:v>
      </x:c>
    </x:row>
    <x:row r="1616">
      <x:c r="G1616" t="str">
        <x:v>HOU-DCA</x:v>
      </x:c>
      <x:c r="H1616" t="str">
        <x:v>HOU</x:v>
      </x:c>
      <x:c r="I1616" t="str">
        <x:v>DCA</x:v>
      </x:c>
      <x:c r="J1616" s="23" t="n">
        <x:v>3115</x:v>
      </x:c>
      <x:c r="K1616" s="24" t="n">
        <x:v>0.2176565008025682</x:v>
      </x:c>
      <x:c r="L1616" s="24" t="n">
        <x:v>0.0077046548956661316</x:v>
      </x:c>
    </x:row>
    <x:row r="1617">
      <x:c r="G1617" t="str">
        <x:v>CHS-FLL</x:v>
      </x:c>
      <x:c r="H1617" t="str">
        <x:v>CHS</x:v>
      </x:c>
      <x:c r="I1617" t="str">
        <x:v>FLL</x:v>
      </x:c>
      <x:c r="J1617" s="23" t="n">
        <x:v>1824</x:v>
      </x:c>
      <x:c r="K1617" s="24" t="n">
        <x:v>0.21765350877192982</x:v>
      </x:c>
      <x:c r="L1617" s="24" t="n">
        <x:v>0.013157894736842105</x:v>
      </x:c>
    </x:row>
    <x:row r="1618">
      <x:c r="G1618" t="str">
        <x:v>LAS-ICT</x:v>
      </x:c>
      <x:c r="H1618" t="str">
        <x:v>LAS</x:v>
      </x:c>
      <x:c r="I1618" t="str">
        <x:v>ICT</x:v>
      </x:c>
      <x:c r="J1618" s="23" t="n">
        <x:v>1190</x:v>
      </x:c>
      <x:c r="K1618" s="24" t="n">
        <x:v>0.21764705882352942</x:v>
      </x:c>
      <x:c r="L1618" s="24" t="n">
        <x:v>0.0025210084033613447</x:v>
      </x:c>
    </x:row>
    <x:row r="1619">
      <x:c r="G1619" t="str">
        <x:v>IAD-DFW</x:v>
      </x:c>
      <x:c r="H1619" t="str">
        <x:v>IAD</x:v>
      </x:c>
      <x:c r="I1619" t="str">
        <x:v>DFW</x:v>
      </x:c>
      <x:c r="J1619" s="23" t="n">
        <x:v>5317</x:v>
      </x:c>
      <x:c r="K1619" s="24" t="n">
        <x:v>0.2176039119804401</x:v>
      </x:c>
      <x:c r="L1619" s="24" t="n">
        <x:v>0.01410569870227572</x:v>
      </x:c>
    </x:row>
    <x:row r="1620">
      <x:c r="G1620" t="str">
        <x:v>DAL-ABQ</x:v>
      </x:c>
      <x:c r="H1620" t="str">
        <x:v>DAL</x:v>
      </x:c>
      <x:c r="I1620" t="str">
        <x:v>ABQ</x:v>
      </x:c>
      <x:c r="J1620" s="23" t="n">
        <x:v>5092</x:v>
      </x:c>
      <x:c r="K1620" s="24" t="n">
        <x:v>0.2175962293794187</x:v>
      </x:c>
      <x:c r="L1620" s="24" t="n">
        <x:v>0.012961508248232521</x:v>
      </x:c>
    </x:row>
    <x:row r="1621">
      <x:c r="G1621" t="str">
        <x:v>SJU-CLT</x:v>
      </x:c>
      <x:c r="H1621" t="str">
        <x:v>SJU</x:v>
      </x:c>
      <x:c r="I1621" t="str">
        <x:v>CLT</x:v>
      </x:c>
      <x:c r="J1621" s="23" t="n">
        <x:v>2969</x:v>
      </x:c>
      <x:c r="K1621" s="24" t="n">
        <x:v>0.21758167733243516</x:v>
      </x:c>
      <x:c r="L1621" s="24" t="n">
        <x:v>0.005389019872010778</x:v>
      </x:c>
    </x:row>
    <x:row r="1622">
      <x:c r="G1622" t="str">
        <x:v>TPA-CLE</x:v>
      </x:c>
      <x:c r="H1622" t="str">
        <x:v>TPA</x:v>
      </x:c>
      <x:c r="I1622" t="str">
        <x:v>CLE</x:v>
      </x:c>
      <x:c r="J1622" s="23" t="n">
        <x:v>3163</x:v>
      </x:c>
      <x:c r="K1622" s="24" t="n">
        <x:v>0.21751501738855517</x:v>
      </x:c>
      <x:c r="L1622" s="24" t="n">
        <x:v>0.021814732848561492</x:v>
      </x:c>
    </x:row>
    <x:row r="1623">
      <x:c r="G1623" t="str">
        <x:v>PHX-IND</x:v>
      </x:c>
      <x:c r="H1623" t="str">
        <x:v>PHX</x:v>
      </x:c>
      <x:c r="I1623" t="str">
        <x:v>IND</x:v>
      </x:c>
      <x:c r="J1623" s="23" t="n">
        <x:v>4520</x:v>
      </x:c>
      <x:c r="K1623" s="24" t="n">
        <x:v>0.21747787610619468</x:v>
      </x:c>
      <x:c r="L1623" s="24" t="n">
        <x:v>0.0035398230088495575</x:v>
      </x:c>
    </x:row>
    <x:row r="1624">
      <x:c r="G1624" t="str">
        <x:v>DDC-DEN</x:v>
      </x:c>
      <x:c r="H1624" t="str">
        <x:v>DDC</x:v>
      </x:c>
      <x:c r="I1624" t="str">
        <x:v>DEN</x:v>
      </x:c>
      <x:c r="J1624" s="23" t="n">
        <x:v>1467</x:v>
      </x:c>
      <x:c r="K1624" s="24" t="n">
        <x:v>0.2174505794137696</x:v>
      </x:c>
      <x:c r="L1624" s="24" t="n">
        <x:v>0.03612815269256987</x:v>
      </x:c>
    </x:row>
    <x:row r="1625">
      <x:c r="G1625" t="str">
        <x:v>PHX-JFK</x:v>
      </x:c>
      <x:c r="H1625" t="str">
        <x:v>PHX</x:v>
      </x:c>
      <x:c r="I1625" t="str">
        <x:v>JFK</x:v>
      </x:c>
      <x:c r="J1625" s="23" t="n">
        <x:v>7961</x:v>
      </x:c>
      <x:c r="K1625" s="24" t="n">
        <x:v>0.21743499560356738</x:v>
      </x:c>
      <x:c r="L1625" s="24" t="n">
        <x:v>0.012561236025624922</x:v>
      </x:c>
    </x:row>
    <x:row r="1626">
      <x:c r="G1626" t="str">
        <x:v>MSY-DAL</x:v>
      </x:c>
      <x:c r="H1626" t="str">
        <x:v>MSY</x:v>
      </x:c>
      <x:c r="I1626" t="str">
        <x:v>DAL</x:v>
      </x:c>
      <x:c r="J1626" s="23" t="n">
        <x:v>6996</x:v>
      </x:c>
      <x:c r="K1626" s="24" t="n">
        <x:v>0.217409948542024</x:v>
      </x:c>
      <x:c r="L1626" s="24" t="n">
        <x:v>0.016580903373356205</x:v>
      </x:c>
    </x:row>
    <x:row r="1627">
      <x:c r="G1627" t="str">
        <x:v>DFW-MGM</x:v>
      </x:c>
      <x:c r="H1627" t="str">
        <x:v>DFW</x:v>
      </x:c>
      <x:c r="I1627" t="str">
        <x:v>MGM</x:v>
      </x:c>
      <x:c r="J1627" s="23" t="n">
        <x:v>2691</x:v>
      </x:c>
      <x:c r="K1627" s="24" t="n">
        <x:v>0.21739130434782608</x:v>
      </x:c>
      <x:c r="L1627" s="24" t="n">
        <x:v>0.028242289111854328</x:v>
      </x:c>
    </x:row>
    <x:row r="1628">
      <x:c r="G1628" t="str">
        <x:v>MTJ-DFW</x:v>
      </x:c>
      <x:c r="H1628" t="str">
        <x:v>MTJ</x:v>
      </x:c>
      <x:c r="I1628" t="str">
        <x:v>DFW</x:v>
      </x:c>
      <x:c r="J1628" s="23" t="n">
        <x:v>1725</x:v>
      </x:c>
      <x:c r="K1628" s="24" t="n">
        <x:v>0.21739130434782608</x:v>
      </x:c>
      <x:c r="L1628" s="24" t="n">
        <x:v>0.01217391304347826</x:v>
      </x:c>
    </x:row>
    <x:row r="1629">
      <x:c r="G1629" t="str">
        <x:v>LAX-STL</x:v>
      </x:c>
      <x:c r="H1629" t="str">
        <x:v>LAX</x:v>
      </x:c>
      <x:c r="I1629" t="str">
        <x:v>STL</x:v>
      </x:c>
      <x:c r="J1629" s="23" t="n">
        <x:v>3317</x:v>
      </x:c>
      <x:c r="K1629" s="24" t="n">
        <x:v>0.21736508893578535</x:v>
      </x:c>
      <x:c r="L1629" s="24" t="n">
        <x:v>0.005426590292432921</x:v>
      </x:c>
    </x:row>
    <x:row r="1630">
      <x:c r="G1630" t="str">
        <x:v>MCO-LAX</x:v>
      </x:c>
      <x:c r="H1630" t="str">
        <x:v>MCO</x:v>
      </x:c>
      <x:c r="I1630" t="str">
        <x:v>LAX</x:v>
      </x:c>
      <x:c r="J1630" s="23" t="n">
        <x:v>9299</x:v>
      </x:c>
      <x:c r="K1630" s="24" t="n">
        <x:v>0.21733519733304657</x:v>
      </x:c>
      <x:c r="L1630" s="24" t="n">
        <x:v>0.008603075599526831</x:v>
      </x:c>
    </x:row>
    <x:row r="1631">
      <x:c r="G1631" t="str">
        <x:v>MDW-AUS</x:v>
      </x:c>
      <x:c r="H1631" t="str">
        <x:v>MDW</x:v>
      </x:c>
      <x:c r="I1631" t="str">
        <x:v>AUS</x:v>
      </x:c>
      <x:c r="J1631" s="23" t="n">
        <x:v>4477</x:v>
      </x:c>
      <x:c r="K1631" s="24" t="n">
        <x:v>0.2173330355148537</x:v>
      </x:c>
      <x:c r="L1631" s="24" t="n">
        <x:v>0.010051373687737324</x:v>
      </x:c>
    </x:row>
    <x:row r="1632">
      <x:c r="G1632" t="str">
        <x:v>MDW-DAL</x:v>
      </x:c>
      <x:c r="H1632" t="str">
        <x:v>MDW</x:v>
      </x:c>
      <x:c r="I1632" t="str">
        <x:v>DAL</x:v>
      </x:c>
      <x:c r="J1632" s="23" t="n">
        <x:v>6824</x:v>
      </x:c>
      <x:c r="K1632" s="24" t="n">
        <x:v>0.21732121922626027</x:v>
      </x:c>
      <x:c r="L1632" s="24" t="n">
        <x:v>0.017145369284876904</x:v>
      </x:c>
    </x:row>
    <x:row r="1633">
      <x:c r="G1633" t="str">
        <x:v>ATL-SBN</x:v>
      </x:c>
      <x:c r="H1633" t="str">
        <x:v>ATL</x:v>
      </x:c>
      <x:c r="I1633" t="str">
        <x:v>SBN</x:v>
      </x:c>
      <x:c r="J1633" s="23" t="n">
        <x:v>2987</x:v>
      </x:c>
      <x:c r="K1633" s="24" t="n">
        <x:v>0.21727485771677268</x:v>
      </x:c>
      <x:c r="L1633" s="24" t="n">
        <x:v>0.008034817542684968</x:v>
      </x:c>
    </x:row>
    <x:row r="1634">
      <x:c r="G1634" t="str">
        <x:v>DTW-DCA</x:v>
      </x:c>
      <x:c r="H1634" t="str">
        <x:v>DTW</x:v>
      </x:c>
      <x:c r="I1634" t="str">
        <x:v>DCA</x:v>
      </x:c>
      <x:c r="J1634" s="23" t="n">
        <x:v>8287</x:v>
      </x:c>
      <x:c r="K1634" s="24" t="n">
        <x:v>0.21720767467117172</x:v>
      </x:c>
      <x:c r="L1634" s="24" t="n">
        <x:v>0.020272716302642692</x:v>
      </x:c>
    </x:row>
    <x:row r="1635">
      <x:c r="G1635" t="str">
        <x:v>DCA-RSW</x:v>
      </x:c>
      <x:c r="H1635" t="str">
        <x:v>DCA</x:v>
      </x:c>
      <x:c r="I1635" t="str">
        <x:v>RSW</x:v>
      </x:c>
      <x:c r="J1635" s="23" t="n">
        <x:v>2616</x:v>
      </x:c>
      <x:c r="K1635" s="24" t="n">
        <x:v>0.21712538226299694</x:v>
      </x:c>
      <x:c r="L1635" s="24" t="n">
        <x:v>0.01834862385321101</x:v>
      </x:c>
    </x:row>
    <x:row r="1636">
      <x:c r="G1636" t="str">
        <x:v>DEN-FAR</x:v>
      </x:c>
      <x:c r="H1636" t="str">
        <x:v>DEN</x:v>
      </x:c>
      <x:c r="I1636" t="str">
        <x:v>FAR</x:v>
      </x:c>
      <x:c r="J1636" s="23" t="n">
        <x:v>4424</x:v>
      </x:c>
      <x:c r="K1636" s="24" t="n">
        <x:v>0.21699819168173598</x:v>
      </x:c>
      <x:c r="L1636" s="24" t="n">
        <x:v>0.017179023508137433</x:v>
      </x:c>
    </x:row>
    <x:row r="1637">
      <x:c r="G1637" t="str">
        <x:v>LFT-DFW</x:v>
      </x:c>
      <x:c r="H1637" t="str">
        <x:v>LFT</x:v>
      </x:c>
      <x:c r="I1637" t="str">
        <x:v>DFW</x:v>
      </x:c>
      <x:c r="J1637" s="23" t="n">
        <x:v>4775</x:v>
      </x:c>
      <x:c r="K1637" s="24" t="n">
        <x:v>0.21696335078534032</x:v>
      </x:c>
      <x:c r="L1637" s="24" t="n">
        <x:v>0.029528795811518325</x:v>
      </x:c>
    </x:row>
    <x:row r="1638">
      <x:c r="G1638" t="str">
        <x:v>TYS-CLT</x:v>
      </x:c>
      <x:c r="H1638" t="str">
        <x:v>TYS</x:v>
      </x:c>
      <x:c r="I1638" t="str">
        <x:v>CLT</x:v>
      </x:c>
      <x:c r="J1638" s="23" t="n">
        <x:v>5992</x:v>
      </x:c>
      <x:c r="K1638" s="24" t="n">
        <x:v>0.21695594125500667</x:v>
      </x:c>
      <x:c r="L1638" s="24" t="n">
        <x:v>0.012182910547396529</x:v>
      </x:c>
    </x:row>
    <x:row r="1639">
      <x:c r="G1639" t="str">
        <x:v>LGA-DEN</x:v>
      </x:c>
      <x:c r="H1639" t="str">
        <x:v>LGA</x:v>
      </x:c>
      <x:c r="I1639" t="str">
        <x:v>DEN</x:v>
      </x:c>
      <x:c r="J1639" s="23" t="n">
        <x:v>14451</x:v>
      </x:c>
      <x:c r="K1639" s="24" t="n">
        <x:v>0.2169400041519618</x:v>
      </x:c>
      <x:c r="L1639" s="24" t="n">
        <x:v>0.01847623001868383</x:v>
      </x:c>
    </x:row>
    <x:row r="1640">
      <x:c r="G1640" t="str">
        <x:v>AUS-LGB</x:v>
      </x:c>
      <x:c r="H1640" t="str">
        <x:v>AUS</x:v>
      </x:c>
      <x:c r="I1640" t="str">
        <x:v>LGB</x:v>
      </x:c>
      <x:c r="J1640" s="23" t="n">
        <x:v>1761</x:v>
      </x:c>
      <x:c r="K1640" s="24" t="n">
        <x:v>0.2169222032935832</x:v>
      </x:c>
      <x:c r="L1640" s="24" t="n">
        <x:v>0.003975014196479273</x:v>
      </x:c>
    </x:row>
    <x:row r="1641">
      <x:c r="G1641" t="str">
        <x:v>CPR-DEN</x:v>
      </x:c>
      <x:c r="H1641" t="str">
        <x:v>CPR</x:v>
      </x:c>
      <x:c r="I1641" t="str">
        <x:v>DEN</x:v>
      </x:c>
      <x:c r="J1641" s="23" t="n">
        <x:v>4827</x:v>
      </x:c>
      <x:c r="K1641" s="24" t="n">
        <x:v>0.21690490988191424</x:v>
      </x:c>
      <x:c r="L1641" s="24" t="n">
        <x:v>0.015330432981147711</x:v>
      </x:c>
    </x:row>
    <x:row r="1642">
      <x:c r="G1642" t="str">
        <x:v>LAX-FLL</x:v>
      </x:c>
      <x:c r="H1642" t="str">
        <x:v>LAX</x:v>
      </x:c>
      <x:c r="I1642" t="str">
        <x:v>FLL</x:v>
      </x:c>
      <x:c r="J1642" s="23" t="n">
        <x:v>6157</x:v>
      </x:c>
      <x:c r="K1642" s="24" t="n">
        <x:v>0.21682637648205294</x:v>
      </x:c>
      <x:c r="L1642" s="24" t="n">
        <x:v>0.00844567159330843</x:v>
      </x:c>
    </x:row>
    <x:row r="1643">
      <x:c r="G1643" t="str">
        <x:v>GJT-DEN</x:v>
      </x:c>
      <x:c r="H1643" t="str">
        <x:v>GJT</x:v>
      </x:c>
      <x:c r="I1643" t="str">
        <x:v>DEN</x:v>
      </x:c>
      <x:c r="J1643" s="23" t="n">
        <x:v>4949</x:v>
      </x:c>
      <x:c r="K1643" s="24" t="n">
        <x:v>0.21681147706607395</x:v>
      </x:c>
      <x:c r="L1643" s="24" t="n">
        <x:v>0.0167710648615882</x:v>
      </x:c>
    </x:row>
    <x:row r="1644">
      <x:c r="G1644" t="str">
        <x:v>PVU-DFW</x:v>
      </x:c>
      <x:c r="H1644" t="str">
        <x:v>PVU</x:v>
      </x:c>
      <x:c r="I1644" t="str">
        <x:v>DFW</x:v>
      </x:c>
      <x:c r="J1644" s="23" t="n">
        <x:v>1167</x:v>
      </x:c>
      <x:c r="K1644" s="24" t="n">
        <x:v>0.21679520137103683</x:v>
      </x:c>
      <x:c r="L1644" s="24" t="n">
        <x:v>0.018851756640959727</x:v>
      </x:c>
    </x:row>
    <x:row r="1645">
      <x:c r="G1645" t="str">
        <x:v>PHX-CVG</x:v>
      </x:c>
      <x:c r="H1645" t="str">
        <x:v>PHX</x:v>
      </x:c>
      <x:c r="I1645" t="str">
        <x:v>CVG</x:v>
      </x:c>
      <x:c r="J1645" s="23" t="n">
        <x:v>1573</x:v>
      </x:c>
      <x:c r="K1645" s="24" t="n">
        <x:v>0.21678321678321677</x:v>
      </x:c>
      <x:c r="L1645" s="24" t="n">
        <x:v>0.006357279084551812</x:v>
      </x:c>
    </x:row>
    <x:row r="1646">
      <x:c r="G1646" t="str">
        <x:v>JAC-LAX</x:v>
      </x:c>
      <x:c r="H1646" t="str">
        <x:v>JAC</x:v>
      </x:c>
      <x:c r="I1646" t="str">
        <x:v>LAX</x:v>
      </x:c>
      <x:c r="J1646" s="23" t="n">
        <x:v>1550</x:v>
      </x:c>
      <x:c r="K1646" s="24" t="n">
        <x:v>0.2167741935483871</x:v>
      </x:c>
      <x:c r="L1646" s="24" t="n">
        <x:v>0.013548387096774193</x:v>
      </x:c>
    </x:row>
    <x:row r="1647">
      <x:c r="G1647" t="str">
        <x:v>LAS-PDX</x:v>
      </x:c>
      <x:c r="H1647" t="str">
        <x:v>LAS</x:v>
      </x:c>
      <x:c r="I1647" t="str">
        <x:v>PDX</x:v>
      </x:c>
      <x:c r="J1647" s="23" t="n">
        <x:v>11256</x:v>
      </x:c>
      <x:c r="K1647" s="24" t="n">
        <x:v>0.21677327647476902</x:v>
      </x:c>
      <x:c r="L1647" s="24" t="n">
        <x:v>0.010127931769722815</x:v>
      </x:c>
    </x:row>
    <x:row r="1648">
      <x:c r="G1648" t="str">
        <x:v>DFW-YUM</x:v>
      </x:c>
      <x:c r="H1648" t="str">
        <x:v>DFW</x:v>
      </x:c>
      <x:c r="I1648" t="str">
        <x:v>YUM</x:v>
      </x:c>
      <x:c r="J1648" s="23" t="n">
        <x:v>1186</x:v>
      </x:c>
      <x:c r="K1648" s="24" t="n">
        <x:v>0.2166947723440135</x:v>
      </x:c>
      <x:c r="L1648" s="24" t="n">
        <x:v>0.016863406408094434</x:v>
      </x:c>
    </x:row>
    <x:row r="1649">
      <x:c r="G1649" t="str">
        <x:v>SEA-MDW</x:v>
      </x:c>
      <x:c r="H1649" t="str">
        <x:v>SEA</x:v>
      </x:c>
      <x:c r="I1649" t="str">
        <x:v>MDW</x:v>
      </x:c>
      <x:c r="J1649" s="23" t="n">
        <x:v>1662</x:v>
      </x:c>
      <x:c r="K1649" s="24" t="n">
        <x:v>0.21660649819494585</x:v>
      </x:c>
      <x:c r="L1649" s="24" t="n">
        <x:v>0.0030084235860409147</x:v>
      </x:c>
    </x:row>
    <x:row r="1650">
      <x:c r="G1650" t="str">
        <x:v>BOS-JFK</x:v>
      </x:c>
      <x:c r="H1650" t="str">
        <x:v>BOS</x:v>
      </x:c>
      <x:c r="I1650" t="str">
        <x:v>JFK</x:v>
      </x:c>
      <x:c r="J1650" s="23" t="n">
        <x:v>17567</x:v>
      </x:c>
      <x:c r="K1650" s="24" t="n">
        <x:v>0.21648545568395286</x:v>
      </x:c>
      <x:c r="L1650" s="24" t="n">
        <x:v>0.028291683269767175</x:v>
      </x:c>
    </x:row>
    <x:row r="1651">
      <x:c r="G1651" t="str">
        <x:v>DFW-DAY</x:v>
      </x:c>
      <x:c r="H1651" t="str">
        <x:v>DFW</x:v>
      </x:c>
      <x:c r="I1651" t="str">
        <x:v>DAY</x:v>
      </x:c>
      <x:c r="J1651" s="23" t="n">
        <x:v>3871</x:v>
      </x:c>
      <x:c r="K1651" s="24" t="n">
        <x:v>0.216481529320589</x:v>
      </x:c>
      <x:c r="L1651" s="24" t="n">
        <x:v>0.0162748643761302</x:v>
      </x:c>
    </x:row>
    <x:row r="1652">
      <x:c r="G1652" t="str">
        <x:v>PHX-MKE</x:v>
      </x:c>
      <x:c r="H1652" t="str">
        <x:v>PHX</x:v>
      </x:c>
      <x:c r="I1652" t="str">
        <x:v>MKE</x:v>
      </x:c>
      <x:c r="J1652" s="23" t="n">
        <x:v>4126</x:v>
      </x:c>
      <x:c r="K1652" s="24" t="n">
        <x:v>0.21643238002908385</x:v>
      </x:c>
      <x:c r="L1652" s="24" t="n">
        <x:v>0.004120213281628696</x:v>
      </x:c>
    </x:row>
    <x:row r="1653">
      <x:c r="G1653" t="str">
        <x:v>FLL-DEN</x:v>
      </x:c>
      <x:c r="H1653" t="str">
        <x:v>FLL</x:v>
      </x:c>
      <x:c r="I1653" t="str">
        <x:v>DEN</x:v>
      </x:c>
      <x:c r="J1653" s="23" t="n">
        <x:v>4930</x:v>
      </x:c>
      <x:c r="K1653" s="24" t="n">
        <x:v>0.21643002028397565</x:v>
      </x:c>
      <x:c r="L1653" s="24" t="n">
        <x:v>0.009939148073022312</x:v>
      </x:c>
    </x:row>
    <x:row r="1654">
      <x:c r="G1654" t="str">
        <x:v>GRR-DCA</x:v>
      </x:c>
      <x:c r="H1654" t="str">
        <x:v>GRR</x:v>
      </x:c>
      <x:c r="I1654" t="str">
        <x:v>DCA</x:v>
      </x:c>
      <x:c r="J1654" s="23" t="n">
        <x:v>2070</x:v>
      </x:c>
      <x:c r="K1654" s="24" t="n">
        <x:v>0.21642512077294687</x:v>
      </x:c>
      <x:c r="L1654" s="24" t="n">
        <x:v>0.03285024154589372</x:v>
      </x:c>
    </x:row>
    <x:row r="1655">
      <x:c r="G1655" t="str">
        <x:v>LAX-DAL</x:v>
      </x:c>
      <x:c r="H1655" t="str">
        <x:v>LAX</x:v>
      </x:c>
      <x:c r="I1655" t="str">
        <x:v>DAL</x:v>
      </x:c>
      <x:c r="J1655" s="23" t="n">
        <x:v>5517</x:v>
      </x:c>
      <x:c r="K1655" s="24" t="n">
        <x:v>0.21642196846112016</x:v>
      </x:c>
      <x:c r="L1655" s="24" t="n">
        <x:v>0.008519122711618633</x:v>
      </x:c>
    </x:row>
    <x:row r="1656">
      <x:c r="G1656" t="str">
        <x:v>SLC-DAL</x:v>
      </x:c>
      <x:c r="H1656" t="str">
        <x:v>SLC</x:v>
      </x:c>
      <x:c r="I1656" t="str">
        <x:v>DAL</x:v>
      </x:c>
      <x:c r="J1656" s="23" t="n">
        <x:v>2052</x:v>
      </x:c>
      <x:c r="K1656" s="24" t="n">
        <x:v>0.21637426900584794</x:v>
      </x:c>
      <x:c r="L1656" s="24" t="n">
        <x:v>0.008771929824561403</x:v>
      </x:c>
    </x:row>
    <x:row r="1657">
      <x:c r="G1657" t="str">
        <x:v>MCI-JFK</x:v>
      </x:c>
      <x:c r="H1657" t="str">
        <x:v>MCI</x:v>
      </x:c>
      <x:c r="I1657" t="str">
        <x:v>JFK</x:v>
      </x:c>
      <x:c r="J1657" s="23" t="n">
        <x:v>1516</x:v>
      </x:c>
      <x:c r="K1657" s="24" t="n">
        <x:v>0.21635883905013192</x:v>
      </x:c>
      <x:c r="L1657" s="24" t="n">
        <x:v>0.024406332453825858</x:v>
      </x:c>
    </x:row>
    <x:row r="1658">
      <x:c r="G1658" t="str">
        <x:v>DEN-LAX</x:v>
      </x:c>
      <x:c r="H1658" t="str">
        <x:v>DEN</x:v>
      </x:c>
      <x:c r="I1658" t="str">
        <x:v>LAX</x:v>
      </x:c>
      <x:c r="J1658" s="23" t="n">
        <x:v>22852</x:v>
      </x:c>
      <x:c r="K1658" s="24" t="n">
        <x:v>0.21634867845265185</x:v>
      </x:c>
      <x:c r="L1658" s="24" t="n">
        <x:v>0.00932084719061789</x:v>
      </x:c>
    </x:row>
    <x:row r="1659">
      <x:c r="G1659" t="str">
        <x:v>MSO-DFW</x:v>
      </x:c>
      <x:c r="H1659" t="str">
        <x:v>MSO</x:v>
      </x:c>
      <x:c r="I1659" t="str">
        <x:v>DFW</x:v>
      </x:c>
      <x:c r="J1659" s="23" t="n">
        <x:v>1285</x:v>
      </x:c>
      <x:c r="K1659" s="24" t="n">
        <x:v>0.21634241245136188</x:v>
      </x:c>
      <x:c r="L1659" s="24" t="n">
        <x:v>0.00933852140077821</x:v>
      </x:c>
    </x:row>
    <x:row r="1660">
      <x:c r="G1660" t="str">
        <x:v>JFK-BNA</x:v>
      </x:c>
      <x:c r="H1660" t="str">
        <x:v>JFK</x:v>
      </x:c>
      <x:c r="I1660" t="str">
        <x:v>BNA</x:v>
      </x:c>
      <x:c r="J1660" s="23" t="n">
        <x:v>6194</x:v>
      </x:c>
      <x:c r="K1660" s="24" t="n">
        <x:v>0.21633839199225058</x:v>
      </x:c>
      <x:c r="L1660" s="24" t="n">
        <x:v>0.029060381013884404</x:v>
      </x:c>
    </x:row>
    <x:row r="1661">
      <x:c r="G1661" t="str">
        <x:v>DCA-MSY</x:v>
      </x:c>
      <x:c r="H1661" t="str">
        <x:v>DCA</x:v>
      </x:c>
      <x:c r="I1661" t="str">
        <x:v>MSY</x:v>
      </x:c>
      <x:c r="J1661" s="23" t="n">
        <x:v>5644</x:v>
      </x:c>
      <x:c r="K1661" s="24" t="n">
        <x:v>0.2163359319631467</x:v>
      </x:c>
      <x:c r="L1661" s="24" t="n">
        <x:v>0.016654854712969524</x:v>
      </x:c>
    </x:row>
    <x:row r="1662">
      <x:c r="G1662" t="str">
        <x:v>SNA-STS</x:v>
      </x:c>
      <x:c r="H1662" t="str">
        <x:v>SNA</x:v>
      </x:c>
      <x:c r="I1662" t="str">
        <x:v>STS</x:v>
      </x:c>
      <x:c r="J1662" s="23" t="n">
        <x:v>1905</x:v>
      </x:c>
      <x:c r="K1662" s="24" t="n">
        <x:v>0.2162729658792651</x:v>
      </x:c>
      <x:c r="L1662" s="24" t="n">
        <x:v>0.005774278215223097</x:v>
      </x:c>
    </x:row>
    <x:row r="1663">
      <x:c r="G1663" t="str">
        <x:v>SEA-KOA</x:v>
      </x:c>
      <x:c r="H1663" t="str">
        <x:v>SEA</x:v>
      </x:c>
      <x:c r="I1663" t="str">
        <x:v>KOA</x:v>
      </x:c>
      <x:c r="J1663" s="23" t="n">
        <x:v>4245</x:v>
      </x:c>
      <x:c r="K1663" s="24" t="n">
        <x:v>0.21625441696113074</x:v>
      </x:c>
      <x:c r="L1663" s="24" t="n">
        <x:v>0.01060070671378092</x:v>
      </x:c>
    </x:row>
    <x:row r="1664">
      <x:c r="G1664" t="str">
        <x:v>DCA-CLE</x:v>
      </x:c>
      <x:c r="H1664" t="str">
        <x:v>DCA</x:v>
      </x:c>
      <x:c r="I1664" t="str">
        <x:v>CLE</x:v>
      </x:c>
      <x:c r="J1664" s="23" t="n">
        <x:v>4389</x:v>
      </x:c>
      <x:c r="K1664" s="24" t="n">
        <x:v>0.21622237411711095</x:v>
      </x:c>
      <x:c r="L1664" s="24" t="n">
        <x:v>0.03691045796308954</x:v>
      </x:c>
    </x:row>
    <x:row r="1665">
      <x:c r="G1665" t="str">
        <x:v>XNA-DEN</x:v>
      </x:c>
      <x:c r="H1665" t="str">
        <x:v>XNA</x:v>
      </x:c>
      <x:c r="I1665" t="str">
        <x:v>DEN</x:v>
      </x:c>
      <x:c r="J1665" s="23" t="n">
        <x:v>3627</x:v>
      </x:c>
      <x:c r="K1665" s="24" t="n">
        <x:v>0.21615660325337746</x:v>
      </x:c>
      <x:c r="L1665" s="24" t="n">
        <x:v>0.01213123793768955</x:v>
      </x:c>
    </x:row>
    <x:row r="1666">
      <x:c r="G1666" t="str">
        <x:v>HNL-SEA</x:v>
      </x:c>
      <x:c r="H1666" t="str">
        <x:v>HNL</x:v>
      </x:c>
      <x:c r="I1666" t="str">
        <x:v>SEA</x:v>
      </x:c>
      <x:c r="J1666" s="23" t="n">
        <x:v>8635</x:v>
      </x:c>
      <x:c r="K1666" s="24" t="n">
        <x:v>0.21598147075854082</x:v>
      </x:c>
      <x:c r="L1666" s="24" t="n">
        <x:v>0.010538506079907355</x:v>
      </x:c>
    </x:row>
    <x:row r="1667">
      <x:c r="G1667" t="str">
        <x:v>SGF-CLT</x:v>
      </x:c>
      <x:c r="H1667" t="str">
        <x:v>SGF</x:v>
      </x:c>
      <x:c r="I1667" t="str">
        <x:v>CLT</x:v>
      </x:c>
      <x:c r="J1667" s="23" t="n">
        <x:v>3644</x:v>
      </x:c>
      <x:c r="K1667" s="24" t="n">
        <x:v>0.2159714599341383</x:v>
      </x:c>
      <x:c r="L1667" s="24" t="n">
        <x:v>0.01344676180021954</x:v>
      </x:c>
    </x:row>
    <x:row r="1668">
      <x:c r="G1668" t="str">
        <x:v>MTJ-DEN</x:v>
      </x:c>
      <x:c r="H1668" t="str">
        <x:v>MTJ</x:v>
      </x:c>
      <x:c r="I1668" t="str">
        <x:v>DEN</x:v>
      </x:c>
      <x:c r="J1668" s="23" t="n">
        <x:v>4427</x:v>
      </x:c>
      <x:c r="K1668" s="24" t="n">
        <x:v>0.21594759430765756</x:v>
      </x:c>
      <x:c r="L1668" s="24" t="n">
        <x:v>0.010842557036367743</x:v>
      </x:c>
    </x:row>
    <x:row r="1669">
      <x:c r="G1669" t="str">
        <x:v>IAH-MSP</x:v>
      </x:c>
      <x:c r="H1669" t="str">
        <x:v>IAH</x:v>
      </x:c>
      <x:c r="I1669" t="str">
        <x:v>MSP</x:v>
      </x:c>
      <x:c r="J1669" s="23" t="n">
        <x:v>5594</x:v>
      </x:c>
      <x:c r="K1669" s="24" t="n">
        <x:v>0.21594565606006436</x:v>
      </x:c>
      <x:c r="L1669" s="24" t="n">
        <x:v>0.011798355380765105</x:v>
      </x:c>
    </x:row>
    <x:row r="1670">
      <x:c r="G1670" t="str">
        <x:v>PHX-CLE</x:v>
      </x:c>
      <x:c r="H1670" t="str">
        <x:v>PHX</x:v>
      </x:c>
      <x:c r="I1670" t="str">
        <x:v>CLE</x:v>
      </x:c>
      <x:c r="J1670" s="23" t="n">
        <x:v>2446</x:v>
      </x:c>
      <x:c r="K1670" s="24" t="n">
        <x:v>0.21586263286999183</x:v>
      </x:c>
      <x:c r="L1670" s="24" t="n">
        <x:v>0.006132461161079314</x:v>
      </x:c>
    </x:row>
    <x:row r="1671">
      <x:c r="G1671" t="str">
        <x:v>DEN-BIS</x:v>
      </x:c>
      <x:c r="H1671" t="str">
        <x:v>DEN</x:v>
      </x:c>
      <x:c r="I1671" t="str">
        <x:v>BIS</x:v>
      </x:c>
      <x:c r="J1671" s="23" t="n">
        <x:v>3975</x:v>
      </x:c>
      <x:c r="K1671" s="24" t="n">
        <x:v>0.2158490566037736</x:v>
      </x:c>
      <x:c r="L1671" s="24" t="n">
        <x:v>0.01559748427672956</x:v>
      </x:c>
    </x:row>
    <x:row r="1672">
      <x:c r="G1672" t="str">
        <x:v>PHL-LAX</x:v>
      </x:c>
      <x:c r="H1672" t="str">
        <x:v>PHL</x:v>
      </x:c>
      <x:c r="I1672" t="str">
        <x:v>LAX</x:v>
      </x:c>
      <x:c r="J1672" s="23" t="n">
        <x:v>7575</x:v>
      </x:c>
      <x:c r="K1672" s="24" t="n">
        <x:v>0.21584158415841584</x:v>
      </x:c>
      <x:c r="L1672" s="24" t="n">
        <x:v>0.007920792079207921</x:v>
      </x:c>
    </x:row>
    <x:row r="1673">
      <x:c r="G1673" t="str">
        <x:v>SMF-SFO</x:v>
      </x:c>
      <x:c r="H1673" t="str">
        <x:v>SMF</x:v>
      </x:c>
      <x:c r="I1673" t="str">
        <x:v>SFO</x:v>
      </x:c>
      <x:c r="J1673" s="23" t="n">
        <x:v>3285</x:v>
      </x:c>
      <x:c r="K1673" s="24" t="n">
        <x:v>0.2158295281582953</x:v>
      </x:c>
      <x:c r="L1673" s="24" t="n">
        <x:v>0.013089802130898021</x:v>
      </x:c>
    </x:row>
    <x:row r="1674">
      <x:c r="G1674" t="str">
        <x:v>SAN-PHX</x:v>
      </x:c>
      <x:c r="H1674" t="str">
        <x:v>SAN</x:v>
      </x:c>
      <x:c r="I1674" t="str">
        <x:v>PHX</x:v>
      </x:c>
      <x:c r="J1674" s="23" t="n">
        <x:v>16708</x:v>
      </x:c>
      <x:c r="K1674" s="24" t="n">
        <x:v>0.21582475460857076</x:v>
      </x:c>
      <x:c r="L1674" s="24" t="n">
        <x:v>0.013346899688771846</x:v>
      </x:c>
    </x:row>
    <x:row r="1675">
      <x:c r="G1675" t="str">
        <x:v>BNA-TPA</x:v>
      </x:c>
      <x:c r="H1675" t="str">
        <x:v>BNA</x:v>
      </x:c>
      <x:c r="I1675" t="str">
        <x:v>TPA</x:v>
      </x:c>
      <x:c r="J1675" s="23" t="n">
        <x:v>7002</x:v>
      </x:c>
      <x:c r="K1675" s="24" t="n">
        <x:v>0.21579548700371323</x:v>
      </x:c>
      <x:c r="L1675" s="24" t="n">
        <x:v>0.015424164524421594</x:v>
      </x:c>
    </x:row>
    <x:row r="1676">
      <x:c r="G1676" t="str">
        <x:v>TYR-DFW</x:v>
      </x:c>
      <x:c r="H1676" t="str">
        <x:v>TYR</x:v>
      </x:c>
      <x:c r="I1676" t="str">
        <x:v>DFW</x:v>
      </x:c>
      <x:c r="J1676" s="23" t="n">
        <x:v>3240</x:v>
      </x:c>
      <x:c r="K1676" s="24" t="n">
        <x:v>0.21574074074074073</x:v>
      </x:c>
      <x:c r="L1676" s="24" t="n">
        <x:v>0.030555555555555555</x:v>
      </x:c>
    </x:row>
    <x:row r="1677">
      <x:c r="G1677" t="str">
        <x:v>EWR-MSY</x:v>
      </x:c>
      <x:c r="H1677" t="str">
        <x:v>EWR</x:v>
      </x:c>
      <x:c r="I1677" t="str">
        <x:v>MSY</x:v>
      </x:c>
      <x:c r="J1677" s="23" t="n">
        <x:v>4131</x:v>
      </x:c>
      <x:c r="K1677" s="24" t="n">
        <x:v>0.21568627450980393</x:v>
      </x:c>
      <x:c r="L1677" s="24" t="n">
        <x:v>0.0205761316872428</x:v>
      </x:c>
    </x:row>
    <x:row r="1678">
      <x:c r="G1678" t="str">
        <x:v>DCA-BOS</x:v>
      </x:c>
      <x:c r="H1678" t="str">
        <x:v>DCA</x:v>
      </x:c>
      <x:c r="I1678" t="str">
        <x:v>BOS</x:v>
      </x:c>
      <x:c r="J1678" s="23" t="n">
        <x:v>28534</x:v>
      </x:c>
      <x:c r="K1678" s="24" t="n">
        <x:v>0.21567253101563047</x:v>
      </x:c>
      <x:c r="L1678" s="24" t="n">
        <x:v>0.02274479568234387</x:v>
      </x:c>
    </x:row>
    <x:row r="1679">
      <x:c r="G1679" t="str">
        <x:v>HOU-LAX</x:v>
      </x:c>
      <x:c r="H1679" t="str">
        <x:v>HOU</x:v>
      </x:c>
      <x:c r="I1679" t="str">
        <x:v>LAX</x:v>
      </x:c>
      <x:c r="J1679" s="23" t="n">
        <x:v>3623</x:v>
      </x:c>
      <x:c r="K1679" s="24" t="n">
        <x:v>0.21556720949489375</x:v>
      </x:c>
      <x:c r="L1679" s="24" t="n">
        <x:v>0.005520287054926856</x:v>
      </x:c>
    </x:row>
    <x:row r="1680">
      <x:c r="G1680" t="str">
        <x:v>SAF-DFW</x:v>
      </x:c>
      <x:c r="H1680" t="str">
        <x:v>SAF</x:v>
      </x:c>
      <x:c r="I1680" t="str">
        <x:v>DFW</x:v>
      </x:c>
      <x:c r="J1680" s="23" t="n">
        <x:v>4718</x:v>
      </x:c>
      <x:c r="K1680" s="24" t="n">
        <x:v>0.2155574395930479</x:v>
      </x:c>
      <x:c r="L1680" s="24" t="n">
        <x:v>0.020347604917337857</x:v>
      </x:c>
    </x:row>
    <x:row r="1681">
      <x:c r="G1681" t="str">
        <x:v>PHL-MYR</x:v>
      </x:c>
      <x:c r="H1681" t="str">
        <x:v>PHL</x:v>
      </x:c>
      <x:c r="I1681" t="str">
        <x:v>MYR</x:v>
      </x:c>
      <x:c r="J1681" s="23" t="n">
        <x:v>1415</x:v>
      </x:c>
      <x:c r="K1681" s="24" t="n">
        <x:v>0.21554770318021202</x:v>
      </x:c>
      <x:c r="L1681" s="24" t="n">
        <x:v>0.019081272084805655</x:v>
      </x:c>
    </x:row>
    <x:row r="1682">
      <x:c r="G1682" t="str">
        <x:v>LAX-ATL</x:v>
      </x:c>
      <x:c r="H1682" t="str">
        <x:v>LAX</x:v>
      </x:c>
      <x:c r="I1682" t="str">
        <x:v>ATL</x:v>
      </x:c>
      <x:c r="J1682" s="23" t="n">
        <x:v>16141</x:v>
      </x:c>
      <x:c r="K1682" s="24" t="n">
        <x:v>0.2155380707515024</x:v>
      </x:c>
      <x:c r="L1682" s="24" t="n">
        <x:v>0.00811597794436528</x:v>
      </x:c>
    </x:row>
    <x:row r="1683">
      <x:c r="G1683" t="str">
        <x:v>IAH-SJU</x:v>
      </x:c>
      <x:c r="H1683" t="str">
        <x:v>IAH</x:v>
      </x:c>
      <x:c r="I1683" t="str">
        <x:v>SJU</x:v>
      </x:c>
      <x:c r="J1683" s="23" t="n">
        <x:v>2756</x:v>
      </x:c>
      <x:c r="K1683" s="24" t="n">
        <x:v>0.2155297532656023</x:v>
      </x:c>
      <x:c r="L1683" s="24" t="n">
        <x:v>0.009433962264150943</x:v>
      </x:c>
    </x:row>
    <x:row r="1684">
      <x:c r="G1684" t="str">
        <x:v>IAH-LIT</x:v>
      </x:c>
      <x:c r="H1684" t="str">
        <x:v>IAH</x:v>
      </x:c>
      <x:c r="I1684" t="str">
        <x:v>LIT</x:v>
      </x:c>
      <x:c r="J1684" s="23" t="n">
        <x:v>1244</x:v>
      </x:c>
      <x:c r="K1684" s="24" t="n">
        <x:v>0.21543408360128619</x:v>
      </x:c>
      <x:c r="L1684" s="24" t="n">
        <x:v>0.017684887459807074</x:v>
      </x:c>
    </x:row>
    <x:row r="1685">
      <x:c r="G1685" t="str">
        <x:v>DFW-SNA</x:v>
      </x:c>
      <x:c r="H1685" t="str">
        <x:v>DFW</x:v>
      </x:c>
      <x:c r="I1685" t="str">
        <x:v>SNA</x:v>
      </x:c>
      <x:c r="J1685" s="23" t="n">
        <x:v>9001</x:v>
      </x:c>
      <x:c r="K1685" s="24" t="n">
        <x:v>0.21542050883235195</x:v>
      </x:c>
      <x:c r="L1685" s="24" t="n">
        <x:v>0.02055327185868237</x:v>
      </x:c>
    </x:row>
    <x:row r="1686">
      <x:c r="G1686" t="str">
        <x:v>RAP-DEN</x:v>
      </x:c>
      <x:c r="H1686" t="str">
        <x:v>RAP</x:v>
      </x:c>
      <x:c r="I1686" t="str">
        <x:v>DEN</x:v>
      </x:c>
      <x:c r="J1686" s="23" t="n">
        <x:v>6462</x:v>
      </x:c>
      <x:c r="K1686" s="24" t="n">
        <x:v>0.21541318477251625</x:v>
      </x:c>
      <x:c r="L1686" s="24" t="n">
        <x:v>0.02073661405137728</x:v>
      </x:c>
    </x:row>
    <x:row r="1687">
      <x:c r="G1687" t="str">
        <x:v>DEN-COD</x:v>
      </x:c>
      <x:c r="H1687" t="str">
        <x:v>DEN</x:v>
      </x:c>
      <x:c r="I1687" t="str">
        <x:v>COD</x:v>
      </x:c>
      <x:c r="J1687" s="23" t="n">
        <x:v>1597</x:v>
      </x:c>
      <x:c r="K1687" s="24" t="n">
        <x:v>0.21540388227927365</x:v>
      </x:c>
      <x:c r="L1687" s="24" t="n">
        <x:v>0.014402003757044458</x:v>
      </x:c>
    </x:row>
    <x:row r="1688">
      <x:c r="G1688" t="str">
        <x:v>CHA-DFW</x:v>
      </x:c>
      <x:c r="H1688" t="str">
        <x:v>CHA</x:v>
      </x:c>
      <x:c r="I1688" t="str">
        <x:v>DFW</x:v>
      </x:c>
      <x:c r="J1688" s="23" t="n">
        <x:v>4165</x:v>
      </x:c>
      <x:c r="K1688" s="24" t="n">
        <x:v>0.21536614645858343</x:v>
      </x:c>
      <x:c r="L1688" s="24" t="n">
        <x:v>0.018487394957983194</x:v>
      </x:c>
    </x:row>
    <x:row r="1689">
      <x:c r="G1689" t="str">
        <x:v>EGE-DEN</x:v>
      </x:c>
      <x:c r="H1689" t="str">
        <x:v>EGE</x:v>
      </x:c>
      <x:c r="I1689" t="str">
        <x:v>DEN</x:v>
      </x:c>
      <x:c r="J1689" s="23" t="n">
        <x:v>3840</x:v>
      </x:c>
      <x:c r="K1689" s="24" t="n">
        <x:v>0.21536458333333333</x:v>
      </x:c>
      <x:c r="L1689" s="24" t="n">
        <x:v>0.01328125</x:v>
      </x:c>
    </x:row>
    <x:row r="1690">
      <x:c r="G1690" t="str">
        <x:v>MKE-RSW</x:v>
      </x:c>
      <x:c r="H1690" t="str">
        <x:v>MKE</x:v>
      </x:c>
      <x:c r="I1690" t="str">
        <x:v>RSW</x:v>
      </x:c>
      <x:c r="J1690" s="23" t="n">
        <x:v>1226</x:v>
      </x:c>
      <x:c r="K1690" s="24" t="n">
        <x:v>0.21533442088091354</x:v>
      </x:c>
      <x:c r="L1690" s="24" t="n">
        <x:v>0.011419249592169658</x:v>
      </x:c>
    </x:row>
    <x:row r="1691">
      <x:c r="G1691" t="str">
        <x:v>CLT-EYW</x:v>
      </x:c>
      <x:c r="H1691" t="str">
        <x:v>CLT</x:v>
      </x:c>
      <x:c r="I1691" t="str">
        <x:v>EYW</x:v>
      </x:c>
      <x:c r="J1691" s="23" t="n">
        <x:v>3943</x:v>
      </x:c>
      <x:c r="K1691" s="24" t="n">
        <x:v>0.21531828556936342</x:v>
      </x:c>
      <x:c r="L1691" s="24" t="n">
        <x:v>0.01394876997210246</x:v>
      </x:c>
    </x:row>
    <x:row r="1692">
      <x:c r="G1692" t="str">
        <x:v>ATW-DEN</x:v>
      </x:c>
      <x:c r="H1692" t="str">
        <x:v>ATW</x:v>
      </x:c>
      <x:c r="I1692" t="str">
        <x:v>DEN</x:v>
      </x:c>
      <x:c r="J1692" s="23" t="n">
        <x:v>1319</x:v>
      </x:c>
      <x:c r="K1692" s="24" t="n">
        <x:v>0.21531463229719486</x:v>
      </x:c>
      <x:c r="L1692" s="24" t="n">
        <x:v>0.009855951478392721</x:v>
      </x:c>
    </x:row>
    <x:row r="1693">
      <x:c r="G1693" t="str">
        <x:v>JAN-DFW</x:v>
      </x:c>
      <x:c r="H1693" t="str">
        <x:v>JAN</x:v>
      </x:c>
      <x:c r="I1693" t="str">
        <x:v>DFW</x:v>
      </x:c>
      <x:c r="J1693" s="23" t="n">
        <x:v>5620</x:v>
      </x:c>
      <x:c r="K1693" s="24" t="n">
        <x:v>0.21530249110320285</x:v>
      </x:c>
      <x:c r="L1693" s="24" t="n">
        <x:v>0.02597864768683274</x:v>
      </x:c>
    </x:row>
    <x:row r="1694">
      <x:c r="G1694" t="str">
        <x:v>LAS-CLE</x:v>
      </x:c>
      <x:c r="H1694" t="str">
        <x:v>LAS</x:v>
      </x:c>
      <x:c r="I1694" t="str">
        <x:v>CLE</x:v>
      </x:c>
      <x:c r="J1694" s="23" t="n">
        <x:v>2835</x:v>
      </x:c>
      <x:c r="K1694" s="24" t="n">
        <x:v>0.21516754850088182</x:v>
      </x:c>
      <x:c r="L1694" s="24" t="n">
        <x:v>0.008818342151675485</x:v>
      </x:c>
    </x:row>
    <x:row r="1695">
      <x:c r="G1695" t="str">
        <x:v>DCA-BDL</x:v>
      </x:c>
      <x:c r="H1695" t="str">
        <x:v>DCA</x:v>
      </x:c>
      <x:c r="I1695" t="str">
        <x:v>BDL</x:v>
      </x:c>
      <x:c r="J1695" s="23" t="n">
        <x:v>5745</x:v>
      </x:c>
      <x:c r="K1695" s="24" t="n">
        <x:v>0.21514360313315928</x:v>
      </x:c>
      <x:c r="L1695" s="24" t="n">
        <x:v>0.027676240208877285</x:v>
      </x:c>
    </x:row>
    <x:row r="1696">
      <x:c r="G1696" t="str">
        <x:v>LAS-LGB</x:v>
      </x:c>
      <x:c r="H1696" t="str">
        <x:v>LAS</x:v>
      </x:c>
      <x:c r="I1696" t="str">
        <x:v>LGB</x:v>
      </x:c>
      <x:c r="J1696" s="23" t="n">
        <x:v>6791</x:v>
      </x:c>
      <x:c r="K1696" s="24" t="n">
        <x:v>0.21513768222647622</x:v>
      </x:c>
      <x:c r="L1696" s="24" t="n">
        <x:v>0.00765719334413194</x:v>
      </x:c>
    </x:row>
    <x:row r="1697">
      <x:c r="G1697" t="str">
        <x:v>PIT-SEA</x:v>
      </x:c>
      <x:c r="H1697" t="str">
        <x:v>PIT</x:v>
      </x:c>
      <x:c r="I1697" t="str">
        <x:v>SEA</x:v>
      </x:c>
      <x:c r="J1697" s="23" t="n">
        <x:v>1390</x:v>
      </x:c>
      <x:c r="K1697" s="24" t="n">
        <x:v>0.21510791366906476</x:v>
      </x:c>
      <x:c r="L1697" s="24" t="n">
        <x:v>0.014388489208633094</x:v>
      </x:c>
    </x:row>
    <x:row r="1698">
      <x:c r="G1698" t="str">
        <x:v>CLT-MHT</x:v>
      </x:c>
      <x:c r="H1698" t="str">
        <x:v>CLT</x:v>
      </x:c>
      <x:c r="I1698" t="str">
        <x:v>MHT</x:v>
      </x:c>
      <x:c r="J1698" s="23" t="n">
        <x:v>2981</x:v>
      </x:c>
      <x:c r="K1698" s="24" t="n">
        <x:v>0.21502851392150285</x:v>
      </x:c>
      <x:c r="L1698" s="24" t="n">
        <x:v>0.022811137202281114</x:v>
      </x:c>
    </x:row>
    <x:row r="1699">
      <x:c r="G1699" t="str">
        <x:v>STL-PHX</x:v>
      </x:c>
      <x:c r="H1699" t="str">
        <x:v>STL</x:v>
      </x:c>
      <x:c r="I1699" t="str">
        <x:v>PHX</x:v>
      </x:c>
      <x:c r="J1699" s="23" t="n">
        <x:v>6476</x:v>
      </x:c>
      <x:c r="K1699" s="24" t="n">
        <x:v>0.21494749845583694</x:v>
      </x:c>
      <x:c r="L1699" s="24" t="n">
        <x:v>0.004941321803582459</x:v>
      </x:c>
    </x:row>
    <x:row r="1700">
      <x:c r="G1700" t="str">
        <x:v>TPA-SFO</x:v>
      </x:c>
      <x:c r="H1700" t="str">
        <x:v>TPA</x:v>
      </x:c>
      <x:c r="I1700" t="str">
        <x:v>SFO</x:v>
      </x:c>
      <x:c r="J1700" s="23" t="n">
        <x:v>1858</x:v>
      </x:c>
      <x:c r="K1700" s="24" t="n">
        <x:v>0.2147470398277718</x:v>
      </x:c>
      <x:c r="L1700" s="24" t="n">
        <x:v>0.016684607104413347</x:v>
      </x:c>
    </x:row>
    <x:row r="1701">
      <x:c r="G1701" t="str">
        <x:v>PIT-DFW</x:v>
      </x:c>
      <x:c r="H1701" t="str">
        <x:v>PIT</x:v>
      </x:c>
      <x:c r="I1701" t="str">
        <x:v>DFW</x:v>
      </x:c>
      <x:c r="J1701" s="23" t="n">
        <x:v>4615</x:v>
      </x:c>
      <x:c r="K1701" s="24" t="n">
        <x:v>0.21473456121343446</x:v>
      </x:c>
      <x:c r="L1701" s="24" t="n">
        <x:v>0.014301191765980499</x:v>
      </x:c>
    </x:row>
    <x:row r="1702">
      <x:c r="G1702" t="str">
        <x:v>PHL-BNA</x:v>
      </x:c>
      <x:c r="H1702" t="str">
        <x:v>PHL</x:v>
      </x:c>
      <x:c r="I1702" t="str">
        <x:v>BNA</x:v>
      </x:c>
      <x:c r="J1702" s="23" t="n">
        <x:v>8291</x:v>
      </x:c>
      <x:c r="K1702" s="24" t="n">
        <x:v>0.21469062839223255</x:v>
      </x:c>
      <x:c r="L1702" s="24" t="n">
        <x:v>0.01387046194668918</x:v>
      </x:c>
    </x:row>
    <x:row r="1703">
      <x:c r="G1703" t="str">
        <x:v>RSW-STL</x:v>
      </x:c>
      <x:c r="H1703" t="str">
        <x:v>RSW</x:v>
      </x:c>
      <x:c r="I1703" t="str">
        <x:v>STL</x:v>
      </x:c>
      <x:c r="J1703" s="23" t="n">
        <x:v>2632</x:v>
      </x:c>
      <x:c r="K1703" s="24" t="n">
        <x:v>0.21466565349544073</x:v>
      </x:c>
      <x:c r="L1703" s="24" t="n">
        <x:v>0.010638297872340425</x:v>
      </x:c>
    </x:row>
    <x:row r="1704">
      <x:c r="G1704" t="str">
        <x:v>BIS-DEN</x:v>
      </x:c>
      <x:c r="H1704" t="str">
        <x:v>BIS</x:v>
      </x:c>
      <x:c r="I1704" t="str">
        <x:v>DEN</x:v>
      </x:c>
      <x:c r="J1704" s="23" t="n">
        <x:v>3974</x:v>
      </x:c>
      <x:c r="K1704" s="24" t="n">
        <x:v>0.21464519375943633</x:v>
      </x:c>
      <x:c r="L1704" s="24" t="n">
        <x:v>0.015349773527931555</x:v>
      </x:c>
    </x:row>
    <x:row r="1705">
      <x:c r="G1705" t="str">
        <x:v>MFE-DFW</x:v>
      </x:c>
      <x:c r="H1705" t="str">
        <x:v>MFE</x:v>
      </x:c>
      <x:c r="I1705" t="str">
        <x:v>DFW</x:v>
      </x:c>
      <x:c r="J1705" s="23" t="n">
        <x:v>6989</x:v>
      </x:c>
      <x:c r="K1705" s="24" t="n">
        <x:v>0.21462297896694807</x:v>
      </x:c>
      <x:c r="L1705" s="24" t="n">
        <x:v>0.023608527686364286</x:v>
      </x:c>
    </x:row>
    <x:row r="1706">
      <x:c r="G1706" t="str">
        <x:v>AUS-HOU</x:v>
      </x:c>
      <x:c r="H1706" t="str">
        <x:v>AUS</x:v>
      </x:c>
      <x:c r="I1706" t="str">
        <x:v>HOU</x:v>
      </x:c>
      <x:c r="J1706" s="23" t="n">
        <x:v>4814</x:v>
      </x:c>
      <x:c r="K1706" s="24" t="n">
        <x:v>0.21458246780224347</x:v>
      </x:c>
      <x:c r="L1706" s="24" t="n">
        <x:v>0.009763190693809721</x:v>
      </x:c>
    </x:row>
    <x:row r="1707">
      <x:c r="G1707" t="str">
        <x:v>SAN-MDW</x:v>
      </x:c>
      <x:c r="H1707" t="str">
        <x:v>SAN</x:v>
      </x:c>
      <x:c r="I1707" t="str">
        <x:v>MDW</x:v>
      </x:c>
      <x:c r="J1707" s="23" t="n">
        <x:v>3151</x:v>
      </x:c>
      <x:c r="K1707" s="24" t="n">
        <x:v>0.2145350682323072</x:v>
      </x:c>
      <x:c r="L1707" s="24" t="n">
        <x:v>0.007933989209774674</x:v>
      </x:c>
    </x:row>
    <x:row r="1708">
      <x:c r="G1708" t="str">
        <x:v>DFW-SBN</x:v>
      </x:c>
      <x:c r="H1708" t="str">
        <x:v>DFW</x:v>
      </x:c>
      <x:c r="I1708" t="str">
        <x:v>SBN</x:v>
      </x:c>
      <x:c r="J1708" s="23" t="n">
        <x:v>2797</x:v>
      </x:c>
      <x:c r="K1708" s="24" t="n">
        <x:v>0.21451555237754738</x:v>
      </x:c>
      <x:c r="L1708" s="24" t="n">
        <x:v>0.013585984983911333</x:v>
      </x:c>
    </x:row>
    <x:row r="1709">
      <x:c r="G1709" t="str">
        <x:v>MAF-DEN</x:v>
      </x:c>
      <x:c r="H1709" t="str">
        <x:v>MAF</x:v>
      </x:c>
      <x:c r="I1709" t="str">
        <x:v>DEN</x:v>
      </x:c>
      <x:c r="J1709" s="23" t="n">
        <x:v>3781</x:v>
      </x:c>
      <x:c r="K1709" s="24" t="n">
        <x:v>0.21449352023274265</x:v>
      </x:c>
      <x:c r="L1709" s="24" t="n">
        <x:v>0.01190161332980693</x:v>
      </x:c>
    </x:row>
    <x:row r="1710">
      <x:c r="G1710" t="str">
        <x:v>JFK-AUS</x:v>
      </x:c>
      <x:c r="H1710" t="str">
        <x:v>JFK</x:v>
      </x:c>
      <x:c r="I1710" t="str">
        <x:v>AUS</x:v>
      </x:c>
      <x:c r="J1710" s="23" t="n">
        <x:v>7055</x:v>
      </x:c>
      <x:c r="K1710" s="24" t="n">
        <x:v>0.21445783132530122</x:v>
      </x:c>
      <x:c r="L1710" s="24" t="n">
        <x:v>0.01644223954642098</x:v>
      </x:c>
    </x:row>
    <x:row r="1711">
      <x:c r="G1711" t="str">
        <x:v>DCA-LAX</x:v>
      </x:c>
      <x:c r="H1711" t="str">
        <x:v>DCA</x:v>
      </x:c>
      <x:c r="I1711" t="str">
        <x:v>LAX</x:v>
      </x:c>
      <x:c r="J1711" s="23" t="n">
        <x:v>4374</x:v>
      </x:c>
      <x:c r="K1711" s="24" t="n">
        <x:v>0.2144490169181527</x:v>
      </x:c>
      <x:c r="L1711" s="24" t="n">
        <x:v>0.008687700045724738</x:v>
      </x:c>
    </x:row>
    <x:row r="1712">
      <x:c r="G1712" t="str">
        <x:v>PWM-DCA</x:v>
      </x:c>
      <x:c r="H1712" t="str">
        <x:v>PWM</x:v>
      </x:c>
      <x:c r="I1712" t="str">
        <x:v>DCA</x:v>
      </x:c>
      <x:c r="J1712" s="23" t="n">
        <x:v>3619</x:v>
      </x:c>
      <x:c r="K1712" s="24" t="n">
        <x:v>0.2144238739983421</x:v>
      </x:c>
      <x:c r="L1712" s="24" t="n">
        <x:v>0.025974025974025976</x:v>
      </x:c>
    </x:row>
    <x:row r="1713">
      <x:c r="G1713" t="str">
        <x:v>CMH-DAL</x:v>
      </x:c>
      <x:c r="H1713" t="str">
        <x:v>CMH</x:v>
      </x:c>
      <x:c r="I1713" t="str">
        <x:v>DAL</x:v>
      </x:c>
      <x:c r="J1713" s="23" t="n">
        <x:v>1241</x:v>
      </x:c>
      <x:c r="K1713" s="24" t="n">
        <x:v>0.21434327155519742</x:v>
      </x:c>
      <x:c r="L1713" s="24" t="n">
        <x:v>0.009669621273166801</x:v>
      </x:c>
    </x:row>
    <x:row r="1714">
      <x:c r="G1714" t="str">
        <x:v>AUS-OKC</x:v>
      </x:c>
      <x:c r="H1714" t="str">
        <x:v>AUS</x:v>
      </x:c>
      <x:c r="I1714" t="str">
        <x:v>OKC</x:v>
      </x:c>
      <x:c r="J1714" s="23" t="n">
        <x:v>1442</x:v>
      </x:c>
      <x:c r="K1714" s="24" t="n">
        <x:v>0.21428571428571427</x:v>
      </x:c>
      <x:c r="L1714" s="24" t="n">
        <x:v>0.0062413314840499305</x:v>
      </x:c>
    </x:row>
    <x:row r="1715">
      <x:c r="G1715" t="str">
        <x:v>IAD-SFO</x:v>
      </x:c>
      <x:c r="H1715" t="str">
        <x:v>IAD</x:v>
      </x:c>
      <x:c r="I1715" t="str">
        <x:v>SFO</x:v>
      </x:c>
      <x:c r="J1715" s="23" t="n">
        <x:v>8258</x:v>
      </x:c>
      <x:c r="K1715" s="24" t="n">
        <x:v>0.21421651731654154</x:v>
      </x:c>
      <x:c r="L1715" s="24" t="n">
        <x:v>0.01041414386049891</x:v>
      </x:c>
    </x:row>
    <x:row r="1716">
      <x:c r="G1716" t="str">
        <x:v>SDF-MIA</x:v>
      </x:c>
      <x:c r="H1716" t="str">
        <x:v>SDF</x:v>
      </x:c>
      <x:c r="I1716" t="str">
        <x:v>MIA</x:v>
      </x:c>
      <x:c r="J1716" s="23" t="n">
        <x:v>1424</x:v>
      </x:c>
      <x:c r="K1716" s="24" t="n">
        <x:v>0.21418539325842698</x:v>
      </x:c>
      <x:c r="L1716" s="24" t="n">
        <x:v>0.010533707865168539</x:v>
      </x:c>
    </x:row>
    <x:row r="1717">
      <x:c r="G1717" t="str">
        <x:v>ATL-SYR</x:v>
      </x:c>
      <x:c r="H1717" t="str">
        <x:v>ATL</x:v>
      </x:c>
      <x:c r="I1717" t="str">
        <x:v>SYR</x:v>
      </x:c>
      <x:c r="J1717" s="23" t="n">
        <x:v>3157</x:v>
      </x:c>
      <x:c r="K1717" s="24" t="n">
        <x:v>0.21412733607855558</x:v>
      </x:c>
      <x:c r="L1717" s="24" t="n">
        <x:v>0.012670256572695597</x:v>
      </x:c>
    </x:row>
    <x:row r="1718">
      <x:c r="G1718" t="str">
        <x:v>FAT-LAS</x:v>
      </x:c>
      <x:c r="H1718" t="str">
        <x:v>FAT</x:v>
      </x:c>
      <x:c r="I1718" t="str">
        <x:v>LAS</x:v>
      </x:c>
      <x:c r="J1718" s="23" t="n">
        <x:v>5372</x:v>
      </x:c>
      <x:c r="K1718" s="24" t="n">
        <x:v>0.21407297096053612</x:v>
      </x:c>
      <x:c r="L1718" s="24" t="n">
        <x:v>0.00390915860014892</x:v>
      </x:c>
    </x:row>
    <x:row r="1719">
      <x:c r="G1719" t="str">
        <x:v>TUL-DFW</x:v>
      </x:c>
      <x:c r="H1719" t="str">
        <x:v>TUL</x:v>
      </x:c>
      <x:c r="I1719" t="str">
        <x:v>DFW</x:v>
      </x:c>
      <x:c r="J1719" s="23" t="n">
        <x:v>8890</x:v>
      </x:c>
      <x:c r="K1719" s="24" t="n">
        <x:v>0.2140607424071991</x:v>
      </x:c>
      <x:c r="L1719" s="24" t="n">
        <x:v>0.025534308211473566</x:v>
      </x:c>
    </x:row>
    <x:row r="1720">
      <x:c r="G1720" t="str">
        <x:v>SMF-SAN</x:v>
      </x:c>
      <x:c r="H1720" t="str">
        <x:v>SMF</x:v>
      </x:c>
      <x:c r="I1720" t="str">
        <x:v>SAN</x:v>
      </x:c>
      <x:c r="J1720" s="23" t="n">
        <x:v>16353</x:v>
      </x:c>
      <x:c r="K1720" s="24" t="n">
        <x:v>0.21402800709349967</x:v>
      </x:c>
      <x:c r="L1720" s="24" t="n">
        <x:v>0.00825536598789213</x:v>
      </x:c>
    </x:row>
    <x:row r="1721">
      <x:c r="G1721" t="str">
        <x:v>RDU-FLL</x:v>
      </x:c>
      <x:c r="H1721" t="str">
        <x:v>RDU</x:v>
      </x:c>
      <x:c r="I1721" t="str">
        <x:v>FLL</x:v>
      </x:c>
      <x:c r="J1721" s="23" t="n">
        <x:v>4093</x:v>
      </x:c>
      <x:c r="K1721" s="24" t="n">
        <x:v>0.21402394331785976</x:v>
      </x:c>
      <x:c r="L1721" s="24" t="n">
        <x:v>0.013437576349865624</x:v>
      </x:c>
    </x:row>
    <x:row r="1722">
      <x:c r="G1722" t="str">
        <x:v>PVD-ORD</x:v>
      </x:c>
      <x:c r="H1722" t="str">
        <x:v>PVD</x:v>
      </x:c>
      <x:c r="I1722" t="str">
        <x:v>ORD</x:v>
      </x:c>
      <x:c r="J1722" s="23" t="n">
        <x:v>3738</x:v>
      </x:c>
      <x:c r="K1722" s="24" t="n">
        <x:v>0.21401819154628143</x:v>
      </x:c>
      <x:c r="L1722" s="24" t="n">
        <x:v>0.012841091492776886</x:v>
      </x:c>
    </x:row>
    <x:row r="1723">
      <x:c r="G1723" t="str">
        <x:v>DCA-HSV</x:v>
      </x:c>
      <x:c r="H1723" t="str">
        <x:v>DCA</x:v>
      </x:c>
      <x:c r="I1723" t="str">
        <x:v>HSV</x:v>
      </x:c>
      <x:c r="J1723" s="23" t="n">
        <x:v>4070</x:v>
      </x:c>
      <x:c r="K1723" s="24" t="n">
        <x:v>0.214004914004914</x:v>
      </x:c>
      <x:c r="L1723" s="24" t="n">
        <x:v>0.03218673218673219</x:v>
      </x:c>
    </x:row>
    <x:row r="1724">
      <x:c r="G1724" t="str">
        <x:v>CHA-CLT</x:v>
      </x:c>
      <x:c r="H1724" t="str">
        <x:v>CHA</x:v>
      </x:c>
      <x:c r="I1724" t="str">
        <x:v>CLT</x:v>
      </x:c>
      <x:c r="J1724" s="23" t="n">
        <x:v>2206</x:v>
      </x:c>
      <x:c r="K1724" s="24" t="n">
        <x:v>0.21396192203082504</x:v>
      </x:c>
      <x:c r="L1724" s="24" t="n">
        <x:v>0.016772438803263828</x:v>
      </x:c>
    </x:row>
    <x:row r="1725">
      <x:c r="G1725" t="str">
        <x:v>BNA-JFK</x:v>
      </x:c>
      <x:c r="H1725" t="str">
        <x:v>BNA</x:v>
      </x:c>
      <x:c r="I1725" t="str">
        <x:v>JFK</x:v>
      </x:c>
      <x:c r="J1725" s="23" t="n">
        <x:v>6198</x:v>
      </x:c>
      <x:c r="K1725" s="24" t="n">
        <x:v>0.21393998063891578</x:v>
      </x:c>
      <x:c r="L1725" s="24" t="n">
        <x:v>0.028718941594062602</x:v>
      </x:c>
    </x:row>
    <x:row r="1726">
      <x:c r="G1726" t="str">
        <x:v>DTW-SAN</x:v>
      </x:c>
      <x:c r="H1726" t="str">
        <x:v>DTW</x:v>
      </x:c>
      <x:c r="I1726" t="str">
        <x:v>SAN</x:v>
      </x:c>
      <x:c r="J1726" s="23" t="n">
        <x:v>3665</x:v>
      </x:c>
      <x:c r="K1726" s="24" t="n">
        <x:v>0.21391541609822648</x:v>
      </x:c>
      <x:c r="L1726" s="24" t="n">
        <x:v>0.007366984993178717</x:v>
      </x:c>
    </x:row>
    <x:row r="1727">
      <x:c r="G1727" t="str">
        <x:v>HOU-JAN</x:v>
      </x:c>
      <x:c r="H1727" t="str">
        <x:v>HOU</x:v>
      </x:c>
      <x:c r="I1727" t="str">
        <x:v>JAN</x:v>
      </x:c>
      <x:c r="J1727" s="23" t="n">
        <x:v>2595</x:v>
      </x:c>
      <x:c r="K1727" s="24" t="n">
        <x:v>0.2138728323699422</x:v>
      </x:c>
      <x:c r="L1727" s="24" t="n">
        <x:v>0.004238921001926782</x:v>
      </x:c>
    </x:row>
    <x:row r="1728">
      <x:c r="G1728" t="str">
        <x:v>DEN-DCA</x:v>
      </x:c>
      <x:c r="H1728" t="str">
        <x:v>DEN</x:v>
      </x:c>
      <x:c r="I1728" t="str">
        <x:v>DCA</x:v>
      </x:c>
      <x:c r="J1728" s="23" t="n">
        <x:v>4311</x:v>
      </x:c>
      <x:c r="K1728" s="24" t="n">
        <x:v>0.21387149153328694</x:v>
      </x:c>
      <x:c r="L1728" s="24" t="n">
        <x:v>0.01090234284388773</x:v>
      </x:c>
    </x:row>
    <x:row r="1729">
      <x:c r="G1729" t="str">
        <x:v>DEN-DRO</x:v>
      </x:c>
      <x:c r="H1729" t="str">
        <x:v>DEN</x:v>
      </x:c>
      <x:c r="I1729" t="str">
        <x:v>DRO</x:v>
      </x:c>
      <x:c r="J1729" s="23" t="n">
        <x:v>5383</x:v>
      </x:c>
      <x:c r="K1729" s="24" t="n">
        <x:v>0.21382128924391602</x:v>
      </x:c>
      <x:c r="L1729" s="24" t="n">
        <x:v>0.012075051086754598</x:v>
      </x:c>
    </x:row>
    <x:row r="1730">
      <x:c r="G1730" t="str">
        <x:v>DCA-MCI</x:v>
      </x:c>
      <x:c r="H1730" t="str">
        <x:v>DCA</x:v>
      </x:c>
      <x:c r="I1730" t="str">
        <x:v>MCI</x:v>
      </x:c>
      <x:c r="J1730" s="23" t="n">
        <x:v>5645</x:v>
      </x:c>
      <x:c r="K1730" s="24" t="n">
        <x:v>0.2138175376439327</x:v>
      </x:c>
      <x:c r="L1730" s="24" t="n">
        <x:v>0.02037201062887511</x:v>
      </x:c>
    </x:row>
    <x:row r="1731">
      <x:c r="G1731" t="str">
        <x:v>BOI-SFO</x:v>
      </x:c>
      <x:c r="H1731" t="str">
        <x:v>BOI</x:v>
      </x:c>
      <x:c r="I1731" t="str">
        <x:v>SFO</x:v>
      </x:c>
      <x:c r="J1731" s="23" t="n">
        <x:v>4574</x:v>
      </x:c>
      <x:c r="K1731" s="24" t="n">
        <x:v>0.21381722780935725</x:v>
      </x:c>
      <x:c r="L1731" s="24" t="n">
        <x:v>0.004809794490599038</x:v>
      </x:c>
    </x:row>
    <x:row r="1732">
      <x:c r="G1732" t="str">
        <x:v>SJU-JFK</x:v>
      </x:c>
      <x:c r="H1732" t="str">
        <x:v>SJU</x:v>
      </x:c>
      <x:c r="I1732" t="str">
        <x:v>JFK</x:v>
      </x:c>
      <x:c r="J1732" s="23" t="n">
        <x:v>10949</x:v>
      </x:c>
      <x:c r="K1732" s="24" t="n">
        <x:v>0.21380948031783725</x:v>
      </x:c>
      <x:c r="L1732" s="24" t="n">
        <x:v>0.012147228057356836</x:v>
      </x:c>
    </x:row>
    <x:row r="1733">
      <x:c r="G1733" t="str">
        <x:v>CVG-FLL</x:v>
      </x:c>
      <x:c r="H1733" t="str">
        <x:v>CVG</x:v>
      </x:c>
      <x:c r="I1733" t="str">
        <x:v>FLL</x:v>
      </x:c>
      <x:c r="J1733" s="23" t="n">
        <x:v>2507</x:v>
      </x:c>
      <x:c r="K1733" s="24" t="n">
        <x:v>0.21380135620263263</x:v>
      </x:c>
      <x:c r="L1733" s="24" t="n">
        <x:v>0.010769844435580374</x:v>
      </x:c>
    </x:row>
    <x:row r="1734">
      <x:c r="G1734" t="str">
        <x:v>DCA-CLT</x:v>
      </x:c>
      <x:c r="H1734" t="str">
        <x:v>DCA</x:v>
      </x:c>
      <x:c r="I1734" t="str">
        <x:v>CLT</x:v>
      </x:c>
      <x:c r="J1734" s="23" t="n">
        <x:v>9435</x:v>
      </x:c>
      <x:c r="K1734" s="24" t="n">
        <x:v>0.21377848436671967</x:v>
      </x:c>
      <x:c r="L1734" s="24" t="n">
        <x:v>0.01674615792262851</x:v>
      </x:c>
    </x:row>
    <x:row r="1735">
      <x:c r="G1735" t="str">
        <x:v>DCA-DSM</x:v>
      </x:c>
      <x:c r="H1735" t="str">
        <x:v>DCA</x:v>
      </x:c>
      <x:c r="I1735" t="str">
        <x:v>DSM</x:v>
      </x:c>
      <x:c r="J1735" s="23" t="n">
        <x:v>2250</x:v>
      </x:c>
      <x:c r="K1735" s="24" t="n">
        <x:v>0.2137777777777778</x:v>
      </x:c>
      <x:c r="L1735" s="24" t="n">
        <x:v>0.03333333333333333</x:v>
      </x:c>
    </x:row>
    <x:row r="1736">
      <x:c r="G1736" t="str">
        <x:v>ROC-ORD</x:v>
      </x:c>
      <x:c r="H1736" t="str">
        <x:v>ROC</x:v>
      </x:c>
      <x:c r="I1736" t="str">
        <x:v>ORD</x:v>
      </x:c>
      <x:c r="J1736" s="23" t="n">
        <x:v>5277</x:v>
      </x:c>
      <x:c r="K1736" s="24" t="n">
        <x:v>0.213757816941444</x:v>
      </x:c>
      <x:c r="L1736" s="24" t="n">
        <x:v>0.014023119196513171</x:v>
      </x:c>
    </x:row>
    <x:row r="1737">
      <x:c r="G1737" t="str">
        <x:v>JAX-MIA</x:v>
      </x:c>
      <x:c r="H1737" t="str">
        <x:v>JAX</x:v>
      </x:c>
      <x:c r="I1737" t="str">
        <x:v>MIA</x:v>
      </x:c>
      <x:c r="J1737" s="23" t="n">
        <x:v>5432</x:v>
      </x:c>
      <x:c r="K1737" s="24" t="n">
        <x:v>0.21373343151693666</x:v>
      </x:c>
      <x:c r="L1737" s="24" t="n">
        <x:v>0.01675257731958763</x:v>
      </x:c>
    </x:row>
    <x:row r="1738">
      <x:c r="G1738" t="str">
        <x:v>FAT-SAN</x:v>
      </x:c>
      <x:c r="H1738" t="str">
        <x:v>FAT</x:v>
      </x:c>
      <x:c r="I1738" t="str">
        <x:v>SAN</x:v>
      </x:c>
      <x:c r="J1738" s="23" t="n">
        <x:v>3294</x:v>
      </x:c>
      <x:c r="K1738" s="24" t="n">
        <x:v>0.21372191863995144</x:v>
      </x:c>
      <x:c r="L1738" s="24" t="n">
        <x:v>0.007893139040680024</x:v>
      </x:c>
    </x:row>
    <x:row r="1739">
      <x:c r="G1739" t="str">
        <x:v>ORD-BDL</x:v>
      </x:c>
      <x:c r="H1739" t="str">
        <x:v>ORD</x:v>
      </x:c>
      <x:c r="I1739" t="str">
        <x:v>BDL</x:v>
      </x:c>
      <x:c r="J1739" s="23" t="n">
        <x:v>6172</x:v>
      </x:c>
      <x:c r="K1739" s="24" t="n">
        <x:v>0.21370706416072585</x:v>
      </x:c>
      <x:c r="L1739" s="24" t="n">
        <x:v>0.010045366169799093</x:v>
      </x:c>
    </x:row>
    <x:row r="1740">
      <x:c r="G1740" t="str">
        <x:v>HOU-AUS</x:v>
      </x:c>
      <x:c r="H1740" t="str">
        <x:v>HOU</x:v>
      </x:c>
      <x:c r="I1740" t="str">
        <x:v>AUS</x:v>
      </x:c>
      <x:c r="J1740" s="23" t="n">
        <x:v>4797</x:v>
      </x:c>
      <x:c r="K1740" s="24" t="n">
        <x:v>0.21367521367521367</x:v>
      </x:c>
      <x:c r="L1740" s="24" t="n">
        <x:v>0.008338544923910778</x:v>
      </x:c>
    </x:row>
    <x:row r="1741">
      <x:c r="G1741" t="str">
        <x:v>AEX-DFW</x:v>
      </x:c>
      <x:c r="H1741" t="str">
        <x:v>AEX</x:v>
      </x:c>
      <x:c r="I1741" t="str">
        <x:v>DFW</x:v>
      </x:c>
      <x:c r="J1741" s="23" t="n">
        <x:v>3255</x:v>
      </x:c>
      <x:c r="K1741" s="24" t="n">
        <x:v>0.21351766513056836</x:v>
      </x:c>
      <x:c r="L1741" s="24" t="n">
        <x:v>0.029185867895545316</x:v>
      </x:c>
    </x:row>
    <x:row r="1742">
      <x:c r="G1742" t="str">
        <x:v>MDW-BWI</x:v>
      </x:c>
      <x:c r="H1742" t="str">
        <x:v>MDW</x:v>
      </x:c>
      <x:c r="I1742" t="str">
        <x:v>BWI</x:v>
      </x:c>
      <x:c r="J1742" s="23" t="n">
        <x:v>5907</x:v>
      </x:c>
      <x:c r="K1742" s="24" t="n">
        <x:v>0.21347553749788387</x:v>
      </x:c>
      <x:c r="L1742" s="24" t="n">
        <x:v>0.018114101912984595</x:v>
      </x:c>
    </x:row>
    <x:row r="1743">
      <x:c r="G1743" t="str">
        <x:v>DFW-AGS</x:v>
      </x:c>
      <x:c r="H1743" t="str">
        <x:v>DFW</x:v>
      </x:c>
      <x:c r="I1743" t="str">
        <x:v>AGS</x:v>
      </x:c>
      <x:c r="J1743" s="23" t="n">
        <x:v>1190</x:v>
      </x:c>
      <x:c r="K1743" s="24" t="n">
        <x:v>0.2134453781512605</x:v>
      </x:c>
      <x:c r="L1743" s="24" t="n">
        <x:v>0.020168067226890758</x:v>
      </x:c>
    </x:row>
    <x:row r="1744">
      <x:c r="G1744" t="str">
        <x:v>DCA-CHS</x:v>
      </x:c>
      <x:c r="H1744" t="str">
        <x:v>DCA</x:v>
      </x:c>
      <x:c r="I1744" t="str">
        <x:v>CHS</x:v>
      </x:c>
      <x:c r="J1744" s="23" t="n">
        <x:v>5371</x:v>
      </x:c>
      <x:c r="K1744" s="24" t="n">
        <x:v>0.21336808787935208</x:v>
      </x:c>
      <x:c r="L1744" s="24" t="n">
        <x:v>0.02830013032954757</x:v>
      </x:c>
    </x:row>
    <x:row r="1745">
      <x:c r="G1745" t="str">
        <x:v>PHX-GEG</x:v>
      </x:c>
      <x:c r="H1745" t="str">
        <x:v>PHX</x:v>
      </x:c>
      <x:c r="I1745" t="str">
        <x:v>GEG</x:v>
      </x:c>
      <x:c r="J1745" s="23" t="n">
        <x:v>3244</x:v>
      </x:c>
      <x:c r="K1745" s="24" t="n">
        <x:v>0.21331689272503082</x:v>
      </x:c>
      <x:c r="L1745" s="24" t="n">
        <x:v>0.0006165228113440197</x:v>
      </x:c>
    </x:row>
    <x:row r="1746">
      <x:c r="G1746" t="str">
        <x:v>SFB-ABE</x:v>
      </x:c>
      <x:c r="H1746" t="str">
        <x:v>SFB</x:v>
      </x:c>
      <x:c r="I1746" t="str">
        <x:v>ABE</x:v>
      </x:c>
      <x:c r="J1746" s="23" t="n">
        <x:v>1932</x:v>
      </x:c>
      <x:c r="K1746" s="24" t="n">
        <x:v>0.21325051759834368</x:v>
      </x:c>
      <x:c r="L1746" s="24" t="n">
        <x:v>0.006211180124223602</x:v>
      </x:c>
    </x:row>
    <x:row r="1747">
      <x:c r="G1747" t="str">
        <x:v>STL-DSM</x:v>
      </x:c>
      <x:c r="H1747" t="str">
        <x:v>STL</x:v>
      </x:c>
      <x:c r="I1747" t="str">
        <x:v>DSM</x:v>
      </x:c>
      <x:c r="J1747" s="23" t="n">
        <x:v>2026</x:v>
      </x:c>
      <x:c r="K1747" s="24" t="n">
        <x:v>0.21322803553800593</x:v>
      </x:c>
      <x:c r="L1747" s="24" t="n">
        <x:v>0.007403751233958539</x:v>
      </x:c>
    </x:row>
    <x:row r="1748">
      <x:c r="G1748" t="str">
        <x:v>DRO-DFW</x:v>
      </x:c>
      <x:c r="H1748" t="str">
        <x:v>DRO</x:v>
      </x:c>
      <x:c r="I1748" t="str">
        <x:v>DFW</x:v>
      </x:c>
      <x:c r="J1748" s="23" t="n">
        <x:v>3358</x:v>
      </x:c>
      <x:c r="K1748" s="24" t="n">
        <x:v>0.21322215604526504</x:v>
      </x:c>
      <x:c r="L1748" s="24" t="n">
        <x:v>0.01756998213222156</x:v>
      </x:c>
    </x:row>
    <x:row r="1749">
      <x:c r="G1749" t="str">
        <x:v>PIA-CLT</x:v>
      </x:c>
      <x:c r="H1749" t="str">
        <x:v>PIA</x:v>
      </x:c>
      <x:c r="I1749" t="str">
        <x:v>CLT</x:v>
      </x:c>
      <x:c r="J1749" s="23" t="n">
        <x:v>2256</x:v>
      </x:c>
      <x:c r="K1749" s="24" t="n">
        <x:v>0.21320921985815602</x:v>
      </x:c>
      <x:c r="L1749" s="24" t="n">
        <x:v>0.024822695035460994</x:v>
      </x:c>
    </x:row>
    <x:row r="1750">
      <x:c r="G1750" t="str">
        <x:v>SEA-LIH</x:v>
      </x:c>
      <x:c r="H1750" t="str">
        <x:v>SEA</x:v>
      </x:c>
      <x:c r="I1750" t="str">
        <x:v>LIH</x:v>
      </x:c>
      <x:c r="J1750" s="23" t="n">
        <x:v>3091</x:v>
      </x:c>
      <x:c r="K1750" s="24" t="n">
        <x:v>0.21319961177612423</x:v>
      </x:c>
      <x:c r="L1750" s="24" t="n">
        <x:v>0.005823358136525397</x:v>
      </x:c>
    </x:row>
    <x:row r="1751">
      <x:c r="G1751" t="str">
        <x:v>BZN-ORD</x:v>
      </x:c>
      <x:c r="H1751" t="str">
        <x:v>BZN</x:v>
      </x:c>
      <x:c r="I1751" t="str">
        <x:v>ORD</x:v>
      </x:c>
      <x:c r="J1751" s="23" t="n">
        <x:v>2730</x:v>
      </x:c>
      <x:c r="K1751" s="24" t="n">
        <x:v>0.21318681318681318</x:v>
      </x:c>
      <x:c r="L1751" s="24" t="n">
        <x:v>0.007692307692307693</x:v>
      </x:c>
    </x:row>
    <x:row r="1752">
      <x:c r="G1752" t="str">
        <x:v>CLT-ABE</x:v>
      </x:c>
      <x:c r="H1752" t="str">
        <x:v>CLT</x:v>
      </x:c>
      <x:c r="I1752" t="str">
        <x:v>ABE</x:v>
      </x:c>
      <x:c r="J1752" s="23" t="n">
        <x:v>3176</x:v>
      </x:c>
      <x:c r="K1752" s="24" t="n">
        <x:v>0.2131612090680101</x:v>
      </x:c>
      <x:c r="L1752" s="24" t="n">
        <x:v>0.015428211586901764</x:v>
      </x:c>
    </x:row>
    <x:row r="1753">
      <x:c r="G1753" t="str">
        <x:v>LGA-SAV</x:v>
      </x:c>
      <x:c r="H1753" t="str">
        <x:v>LGA</x:v>
      </x:c>
      <x:c r="I1753" t="str">
        <x:v>SAV</x:v>
      </x:c>
      <x:c r="J1753" s="23" t="n">
        <x:v>2862</x:v>
      </x:c>
      <x:c r="K1753" s="24" t="n">
        <x:v>0.21313766596785463</x:v>
      </x:c>
      <x:c r="L1753" s="24" t="n">
        <x:v>0.03494060097833683</x:v>
      </x:c>
    </x:row>
    <x:row r="1754">
      <x:c r="G1754" t="str">
        <x:v>ORD-PHX</x:v>
      </x:c>
      <x:c r="H1754" t="str">
        <x:v>ORD</x:v>
      </x:c>
      <x:c r="I1754" t="str">
        <x:v>PHX</x:v>
      </x:c>
      <x:c r="J1754" s="23" t="n">
        <x:v>17358</x:v>
      </x:c>
      <x:c r="K1754" s="24" t="n">
        <x:v>0.21310058762530246</x:v>
      </x:c>
      <x:c r="L1754" s="24" t="n">
        <x:v>0.009102431155663095</x:v>
      </x:c>
    </x:row>
    <x:row r="1755">
      <x:c r="G1755" t="str">
        <x:v>TPA-DEN</x:v>
      </x:c>
      <x:c r="H1755" t="str">
        <x:v>TPA</x:v>
      </x:c>
      <x:c r="I1755" t="str">
        <x:v>DEN</x:v>
      </x:c>
      <x:c r="J1755" s="23" t="n">
        <x:v>9620</x:v>
      </x:c>
      <x:c r="K1755" s="24" t="n">
        <x:v>0.2130977130977131</x:v>
      </x:c>
      <x:c r="L1755" s="24" t="n">
        <x:v>0.014864864864864866</x:v>
      </x:c>
    </x:row>
    <x:row r="1756">
      <x:c r="G1756" t="str">
        <x:v>FLL-DTW</x:v>
      </x:c>
      <x:c r="H1756" t="str">
        <x:v>FLL</x:v>
      </x:c>
      <x:c r="I1756" t="str">
        <x:v>DTW</x:v>
      </x:c>
      <x:c r="J1756" s="23" t="n">
        <x:v>7585</x:v>
      </x:c>
      <x:c r="K1756" s="24" t="n">
        <x:v>0.21305207646671062</x:v>
      </x:c>
      <x:c r="L1756" s="24" t="n">
        <x:v>0.01067897165458141</x:v>
      </x:c>
    </x:row>
    <x:row r="1757">
      <x:c r="G1757" t="str">
        <x:v>BQN-JFK</x:v>
      </x:c>
      <x:c r="H1757" t="str">
        <x:v>BQN</x:v>
      </x:c>
      <x:c r="I1757" t="str">
        <x:v>JFK</x:v>
      </x:c>
      <x:c r="J1757" s="23" t="n">
        <x:v>1850</x:v>
      </x:c>
      <x:c r="K1757" s="24" t="n">
        <x:v>0.21297297297297296</x:v>
      </x:c>
      <x:c r="L1757" s="24" t="n">
        <x:v>0.02</x:v>
      </x:c>
    </x:row>
    <x:row r="1758">
      <x:c r="G1758" t="str">
        <x:v>DEN-MOT</x:v>
      </x:c>
      <x:c r="H1758" t="str">
        <x:v>DEN</x:v>
      </x:c>
      <x:c r="I1758" t="str">
        <x:v>MOT</x:v>
      </x:c>
      <x:c r="J1758" s="23" t="n">
        <x:v>2429</x:v>
      </x:c>
      <x:c r="K1758" s="24" t="n">
        <x:v>0.21284479209551255</x:v>
      </x:c>
      <x:c r="L1758" s="24" t="n">
        <x:v>0.018526142445450804</x:v>
      </x:c>
    </x:row>
    <x:row r="1759">
      <x:c r="G1759" t="str">
        <x:v>BLV-VPS</x:v>
      </x:c>
      <x:c r="H1759" t="str">
        <x:v>BLV</x:v>
      </x:c>
      <x:c r="I1759" t="str">
        <x:v>VPS</x:v>
      </x:c>
      <x:c r="J1759" s="23" t="n">
        <x:v>1062</x:v>
      </x:c>
      <x:c r="K1759" s="24" t="n">
        <x:v>0.2128060263653484</x:v>
      </x:c>
      <x:c r="L1759" s="24" t="n">
        <x:v>0.017890772128060263</x:v>
      </x:c>
    </x:row>
    <x:row r="1760">
      <x:c r="G1760" t="str">
        <x:v>SJC-SAN</x:v>
      </x:c>
      <x:c r="H1760" t="str">
        <x:v>SJC</x:v>
      </x:c>
      <x:c r="I1760" t="str">
        <x:v>SAN</x:v>
      </x:c>
      <x:c r="J1760" s="23" t="n">
        <x:v>17180</x:v>
      </x:c>
      <x:c r="K1760" s="24" t="n">
        <x:v>0.21280558789289872</x:v>
      </x:c>
      <x:c r="L1760" s="24" t="n">
        <x:v>0.010069848661233992</x:v>
      </x:c>
    </x:row>
    <x:row r="1761">
      <x:c r="G1761" t="str">
        <x:v>ATL-STT</x:v>
      </x:c>
      <x:c r="H1761" t="str">
        <x:v>ATL</x:v>
      </x:c>
      <x:c r="I1761" t="str">
        <x:v>STT</x:v>
      </x:c>
      <x:c r="J1761" s="23" t="n">
        <x:v>1847</x:v>
      </x:c>
      <x:c r="K1761" s="24" t="n">
        <x:v>0.21277747698971305</x:v>
      </x:c>
      <x:c r="L1761" s="24" t="n">
        <x:v>0.0032485110990795887</x:v>
      </x:c>
    </x:row>
    <x:row r="1762">
      <x:c r="G1762" t="str">
        <x:v>CVG-RDU</x:v>
      </x:c>
      <x:c r="H1762" t="str">
        <x:v>CVG</x:v>
      </x:c>
      <x:c r="I1762" t="str">
        <x:v>RDU</x:v>
      </x:c>
      <x:c r="J1762" s="23" t="n">
        <x:v>1255</x:v>
      </x:c>
      <x:c r="K1762" s="24" t="n">
        <x:v>0.21274900398406374</x:v>
      </x:c>
      <x:c r="L1762" s="24" t="n">
        <x:v>0.012749003984063745</x:v>
      </x:c>
    </x:row>
    <x:row r="1763">
      <x:c r="G1763" t="str">
        <x:v>RDU-CLT</x:v>
      </x:c>
      <x:c r="H1763" t="str">
        <x:v>RDU</x:v>
      </x:c>
      <x:c r="I1763" t="str">
        <x:v>CLT</x:v>
      </x:c>
      <x:c r="J1763" s="23" t="n">
        <x:v>10219</x:v>
      </x:c>
      <x:c r="K1763" s="24" t="n">
        <x:v>0.21274097269791564</x:v>
      </x:c>
      <x:c r="L1763" s="24" t="n">
        <x:v>0.012134259712300616</x:v>
      </x:c>
    </x:row>
    <x:row r="1764">
      <x:c r="G1764" t="str">
        <x:v>PHX-BOS</x:v>
      </x:c>
      <x:c r="H1764" t="str">
        <x:v>PHX</x:v>
      </x:c>
      <x:c r="I1764" t="str">
        <x:v>BOS</x:v>
      </x:c>
      <x:c r="J1764" s="23" t="n">
        <x:v>6144</x:v>
      </x:c>
      <x:c r="K1764" s="24" t="n">
        <x:v>0.21272786458333334</x:v>
      </x:c>
      <x:c r="L1764" s="24" t="n">
        <x:v>0.005859375</x:v>
      </x:c>
    </x:row>
    <x:row r="1765">
      <x:c r="G1765" t="str">
        <x:v>ORD-FOD</x:v>
      </x:c>
      <x:c r="H1765" t="str">
        <x:v>ORD</x:v>
      </x:c>
      <x:c r="I1765" t="str">
        <x:v>FOD</x:v>
      </x:c>
      <x:c r="J1765" s="23" t="n">
        <x:v>1312</x:v>
      </x:c>
      <x:c r="K1765" s="24" t="n">
        <x:v>0.21265243902439024</x:v>
      </x:c>
      <x:c r="L1765" s="24" t="n">
        <x:v>0.025152439024390245</x:v>
      </x:c>
    </x:row>
    <x:row r="1766">
      <x:c r="G1766" t="str">
        <x:v>DCA-CVG</x:v>
      </x:c>
      <x:c r="H1766" t="str">
        <x:v>DCA</x:v>
      </x:c>
      <x:c r="I1766" t="str">
        <x:v>CVG</x:v>
      </x:c>
      <x:c r="J1766" s="23" t="n">
        <x:v>4925</x:v>
      </x:c>
      <x:c r="K1766" s="24" t="n">
        <x:v>0.21258883248730964</x:v>
      </x:c>
      <x:c r="L1766" s="24" t="n">
        <x:v>0.01766497461928934</x:v>
      </x:c>
    </x:row>
    <x:row r="1767">
      <x:c r="G1767" t="str">
        <x:v>JFK-SFO</x:v>
      </x:c>
      <x:c r="H1767" t="str">
        <x:v>JFK</x:v>
      </x:c>
      <x:c r="I1767" t="str">
        <x:v>SFO</x:v>
      </x:c>
      <x:c r="J1767" s="23" t="n">
        <x:v>20599</x:v>
      </x:c>
      <x:c r="K1767" s="24" t="n">
        <x:v>0.21253458905772124</x:v>
      </x:c>
      <x:c r="L1767" s="24" t="n">
        <x:v>0.010049031506383805</x:v>
      </x:c>
    </x:row>
    <x:row r="1768">
      <x:c r="G1768" t="str">
        <x:v>MSN-CLT</x:v>
      </x:c>
      <x:c r="H1768" t="str">
        <x:v>MSN</x:v>
      </x:c>
      <x:c r="I1768" t="str">
        <x:v>CLT</x:v>
      </x:c>
      <x:c r="J1768" s="23" t="n">
        <x:v>2842</x:v>
      </x:c>
      <x:c r="K1768" s="24" t="n">
        <x:v>0.21252638986629135</x:v>
      </x:c>
      <x:c r="L1768" s="24" t="n">
        <x:v>0.009500351864883884</x:v>
      </x:c>
    </x:row>
    <x:row r="1769">
      <x:c r="G1769" t="str">
        <x:v>SFO-LAX</x:v>
      </x:c>
      <x:c r="H1769" t="str">
        <x:v>SFO</x:v>
      </x:c>
      <x:c r="I1769" t="str">
        <x:v>LAX</x:v>
      </x:c>
      <x:c r="J1769" s="23" t="n">
        <x:v>34006</x:v>
      </x:c>
      <x:c r="K1769" s="24" t="n">
        <x:v>0.21252131976709993</x:v>
      </x:c>
      <x:c r="L1769" s="24" t="n">
        <x:v>0.008263247662177262</x:v>
      </x:c>
    </x:row>
    <x:row r="1770">
      <x:c r="G1770" t="str">
        <x:v>CHS-DAL</x:v>
      </x:c>
      <x:c r="H1770" t="str">
        <x:v>CHS</x:v>
      </x:c>
      <x:c r="I1770" t="str">
        <x:v>DAL</x:v>
      </x:c>
      <x:c r="J1770" s="23" t="n">
        <x:v>1007</x:v>
      </x:c>
      <x:c r="K1770" s="24" t="n">
        <x:v>0.21251241310824232</x:v>
      </x:c>
      <x:c r="L1770" s="24" t="n">
        <x:v>0.006951340615690168</x:v>
      </x:c>
    </x:row>
    <x:row r="1771">
      <x:c r="G1771" t="str">
        <x:v>DCA-AVL</x:v>
      </x:c>
      <x:c r="H1771" t="str">
        <x:v>DCA</x:v>
      </x:c>
      <x:c r="I1771" t="str">
        <x:v>AVL</x:v>
      </x:c>
      <x:c r="J1771" s="23" t="n">
        <x:v>1600</x:v>
      </x:c>
      <x:c r="K1771" s="24" t="n">
        <x:v>0.2125</x:v>
      </x:c>
      <x:c r="L1771" s="24" t="n">
        <x:v>0.02625</x:v>
      </x:c>
    </x:row>
    <x:row r="1772">
      <x:c r="G1772" t="str">
        <x:v>PHL-BTV</x:v>
      </x:c>
      <x:c r="H1772" t="str">
        <x:v>PHL</x:v>
      </x:c>
      <x:c r="I1772" t="str">
        <x:v>BTV</x:v>
      </x:c>
      <x:c r="J1772" s="23" t="n">
        <x:v>2438</x:v>
      </x:c>
      <x:c r="K1772" s="24" t="n">
        <x:v>0.2124692370795734</x:v>
      </x:c>
      <x:c r="L1772" s="24" t="n">
        <x:v>0.02420016406890894</x:v>
      </x:c>
    </x:row>
    <x:row r="1773">
      <x:c r="G1773" t="str">
        <x:v>AUS-MAF</x:v>
      </x:c>
      <x:c r="H1773" t="str">
        <x:v>AUS</x:v>
      </x:c>
      <x:c r="I1773" t="str">
        <x:v>MAF</x:v>
      </x:c>
      <x:c r="J1773" s="23" t="n">
        <x:v>2316</x:v>
      </x:c>
      <x:c r="K1773" s="24" t="n">
        <x:v>0.21243523316062177</x:v>
      </x:c>
      <x:c r="L1773" s="24" t="n">
        <x:v>0.004749568221070812</x:v>
      </x:c>
    </x:row>
    <x:row r="1774">
      <x:c r="G1774" t="str">
        <x:v>SLC-BWI</x:v>
      </x:c>
      <x:c r="H1774" t="str">
        <x:v>SLC</x:v>
      </x:c>
      <x:c r="I1774" t="str">
        <x:v>BWI</x:v>
      </x:c>
      <x:c r="J1774" s="23" t="n">
        <x:v>2029</x:v>
      </x:c>
      <x:c r="K1774" s="24" t="n">
        <x:v>0.21241991128634796</x:v>
      </x:c>
      <x:c r="L1774" s="24" t="n">
        <x:v>0.008378511582060127</x:v>
      </x:c>
    </x:row>
    <x:row r="1775">
      <x:c r="G1775" t="str">
        <x:v>PHL-IAH</x:v>
      </x:c>
      <x:c r="H1775" t="str">
        <x:v>PHL</x:v>
      </x:c>
      <x:c r="I1775" t="str">
        <x:v>IAH</x:v>
      </x:c>
      <x:c r="J1775" s="23" t="n">
        <x:v>5508</x:v>
      </x:c>
      <x:c r="K1775" s="24" t="n">
        <x:v>0.21241830065359477</x:v>
      </x:c>
      <x:c r="L1775" s="24" t="n">
        <x:v>0.01815541031227306</x:v>
      </x:c>
    </x:row>
    <x:row r="1776">
      <x:c r="G1776" t="str">
        <x:v>STL-TPA</x:v>
      </x:c>
      <x:c r="H1776" t="str">
        <x:v>STL</x:v>
      </x:c>
      <x:c r="I1776" t="str">
        <x:v>TPA</x:v>
      </x:c>
      <x:c r="J1776" s="23" t="n">
        <x:v>3399</x:v>
      </x:c>
      <x:c r="K1776" s="24" t="n">
        <x:v>0.21241541629891145</x:v>
      </x:c>
      <x:c r="L1776" s="24" t="n">
        <x:v>0.011768167107972934</x:v>
      </x:c>
    </x:row>
    <x:row r="1777">
      <x:c r="G1777" t="str">
        <x:v>ALB-CLT</x:v>
      </x:c>
      <x:c r="H1777" t="str">
        <x:v>ALB</x:v>
      </x:c>
      <x:c r="I1777" t="str">
        <x:v>CLT</x:v>
      </x:c>
      <x:c r="J1777" s="23" t="n">
        <x:v>3406</x:v>
      </x:c>
      <x:c r="K1777" s="24" t="n">
        <x:v>0.21227246036406341</x:v>
      </x:c>
      <x:c r="L1777" s="24" t="n">
        <x:v>0.011743981209630064</x:v>
      </x:c>
    </x:row>
    <x:row r="1778">
      <x:c r="G1778" t="str">
        <x:v>JFK-SAV</x:v>
      </x:c>
      <x:c r="H1778" t="str">
        <x:v>JFK</x:v>
      </x:c>
      <x:c r="I1778" t="str">
        <x:v>SAV</x:v>
      </x:c>
      <x:c r="J1778" s="23" t="n">
        <x:v>3967</x:v>
      </x:c>
      <x:c r="K1778" s="24" t="n">
        <x:v>0.21225107133854298</x:v>
      </x:c>
      <x:c r="L1778" s="24" t="n">
        <x:v>0.02823292160322662</x:v>
      </x:c>
    </x:row>
    <x:row r="1779">
      <x:c r="G1779" t="str">
        <x:v>IAH-PHX</x:v>
      </x:c>
      <x:c r="H1779" t="str">
        <x:v>IAH</x:v>
      </x:c>
      <x:c r="I1779" t="str">
        <x:v>PHX</x:v>
      </x:c>
      <x:c r="J1779" s="23" t="n">
        <x:v>7963</x:v>
      </x:c>
      <x:c r="K1779" s="24" t="n">
        <x:v>0.21223157101594875</x:v>
      </x:c>
      <x:c r="L1779" s="24" t="n">
        <x:v>0.009795303277659173</x:v>
      </x:c>
    </x:row>
    <x:row r="1780">
      <x:c r="G1780" t="str">
        <x:v>ORD-DTW</x:v>
      </x:c>
      <x:c r="H1780" t="str">
        <x:v>ORD</x:v>
      </x:c>
      <x:c r="I1780" t="str">
        <x:v>DTW</x:v>
      </x:c>
      <x:c r="J1780" s="23" t="n">
        <x:v>16113</x:v>
      </x:c>
      <x:c r="K1780" s="24" t="n">
        <x:v>0.2121889157822876</x:v>
      </x:c>
      <x:c r="L1780" s="24" t="n">
        <x:v>0.015639545708434184</x:v>
      </x:c>
    </x:row>
    <x:row r="1781">
      <x:c r="G1781" t="str">
        <x:v>MDW-ONT</x:v>
      </x:c>
      <x:c r="H1781" t="str">
        <x:v>MDW</x:v>
      </x:c>
      <x:c r="I1781" t="str">
        <x:v>ONT</x:v>
      </x:c>
      <x:c r="J1781" s="23" t="n">
        <x:v>1084</x:v>
      </x:c>
      <x:c r="K1781" s="24" t="n">
        <x:v>0.21217712177121772</x:v>
      </x:c>
      <x:c r="L1781" s="24" t="n">
        <x:v>0.00922509225092251</x:v>
      </x:c>
    </x:row>
    <x:row r="1782">
      <x:c r="G1782" t="str">
        <x:v>RDU-JFK</x:v>
      </x:c>
      <x:c r="H1782" t="str">
        <x:v>RDU</x:v>
      </x:c>
      <x:c r="I1782" t="str">
        <x:v>JFK</x:v>
      </x:c>
      <x:c r="J1782" s="23" t="n">
        <x:v>11063</x:v>
      </x:c>
      <x:c r="K1782" s="24" t="n">
        <x:v>0.21214860345295128</x:v>
      </x:c>
      <x:c r="L1782" s="24" t="n">
        <x:v>0.029919551658682094</x:v>
      </x:c>
    </x:row>
    <x:row r="1783">
      <x:c r="G1783" t="str">
        <x:v>GRR-PIE</x:v>
      </x:c>
      <x:c r="H1783" t="str">
        <x:v>GRR</x:v>
      </x:c>
      <x:c r="I1783" t="str">
        <x:v>PIE</x:v>
      </x:c>
      <x:c r="J1783" s="23" t="n">
        <x:v>1056</x:v>
      </x:c>
      <x:c r="K1783" s="24" t="n">
        <x:v>0.21212121212121213</x:v>
      </x:c>
      <x:c r="L1783" s="24" t="n">
        <x:v>0.008522727272727272</x:v>
      </x:c>
    </x:row>
    <x:row r="1784">
      <x:c r="G1784" t="str">
        <x:v>JST-ORD</x:v>
      </x:c>
      <x:c r="H1784" t="str">
        <x:v>JST</x:v>
      </x:c>
      <x:c r="I1784" t="str">
        <x:v>ORD</x:v>
      </x:c>
      <x:c r="J1784" s="23" t="n">
        <x:v>1089</x:v>
      </x:c>
      <x:c r="K1784" s="24" t="n">
        <x:v>0.21212121212121213</x:v>
      </x:c>
      <x:c r="L1784" s="24" t="n">
        <x:v>0.024793388429752067</x:v>
      </x:c>
    </x:row>
    <x:row r="1785">
      <x:c r="G1785" t="str">
        <x:v>ATL-CLE</x:v>
      </x:c>
      <x:c r="H1785" t="str">
        <x:v>ATL</x:v>
      </x:c>
      <x:c r="I1785" t="str">
        <x:v>CLE</x:v>
      </x:c>
      <x:c r="J1785" s="23" t="n">
        <x:v>9737</x:v>
      </x:c>
      <x:c r="K1785" s="24" t="n">
        <x:v>0.21207764198418405</x:v>
      </x:c>
      <x:c r="L1785" s="24" t="n">
        <x:v>0.01037280476532813</x:v>
      </x:c>
    </x:row>
    <x:row r="1786">
      <x:c r="G1786" t="str">
        <x:v>BGR-DCA</x:v>
      </x:c>
      <x:c r="H1786" t="str">
        <x:v>BGR</x:v>
      </x:c>
      <x:c r="I1786" t="str">
        <x:v>DCA</x:v>
      </x:c>
      <x:c r="J1786" s="23" t="n">
        <x:v>2985</x:v>
      </x:c>
      <x:c r="K1786" s="24" t="n">
        <x:v>0.21206030150753769</x:v>
      </x:c>
      <x:c r="L1786" s="24" t="n">
        <x:v>0.04455611390284757</x:v>
      </x:c>
    </x:row>
    <x:row r="1787">
      <x:c r="G1787" t="str">
        <x:v>DAL-PHX</x:v>
      </x:c>
      <x:c r="H1787" t="str">
        <x:v>DAL</x:v>
      </x:c>
      <x:c r="I1787" t="str">
        <x:v>PHX</x:v>
      </x:c>
      <x:c r="J1787" s="23" t="n">
        <x:v>9031</x:v>
      </x:c>
      <x:c r="K1787" s="24" t="n">
        <x:v>0.2120473923153582</x:v>
      </x:c>
      <x:c r="L1787" s="24" t="n">
        <x:v>0.01649872660834902</x:v>
      </x:c>
    </x:row>
    <x:row r="1788">
      <x:c r="G1788" t="str">
        <x:v>GSO-ORD</x:v>
      </x:c>
      <x:c r="H1788" t="str">
        <x:v>GSO</x:v>
      </x:c>
      <x:c r="I1788" t="str">
        <x:v>ORD</x:v>
      </x:c>
      <x:c r="J1788" s="23" t="n">
        <x:v>3405</x:v>
      </x:c>
      <x:c r="K1788" s="24" t="n">
        <x:v>0.21204111600587372</x:v>
      </x:c>
      <x:c r="L1788" s="24" t="n">
        <x:v>0.010866372980910427</x:v>
      </x:c>
    </x:row>
    <x:row r="1789">
      <x:c r="G1789" t="str">
        <x:v>HPN-MCO</x:v>
      </x:c>
      <x:c r="H1789" t="str">
        <x:v>HPN</x:v>
      </x:c>
      <x:c r="I1789" t="str">
        <x:v>MCO</x:v>
      </x:c>
      <x:c r="J1789" s="23" t="n">
        <x:v>3849</x:v>
      </x:c>
      <x:c r="K1789" s="24" t="n">
        <x:v>0.21200311769290725</x:v>
      </x:c>
      <x:c r="L1789" s="24" t="n">
        <x:v>0.014809041309431021</x:v>
      </x:c>
    </x:row>
    <x:row r="1790">
      <x:c r="G1790" t="str">
        <x:v>VPS-CLT</x:v>
      </x:c>
      <x:c r="H1790" t="str">
        <x:v>VPS</x:v>
      </x:c>
      <x:c r="I1790" t="str">
        <x:v>CLT</x:v>
      </x:c>
      <x:c r="J1790" s="23" t="n">
        <x:v>3397</x:v>
      </x:c>
      <x:c r="K1790" s="24" t="n">
        <x:v>0.21195172210774213</x:v>
      </x:c>
      <x:c r="L1790" s="24" t="n">
        <x:v>0.013541360023550192</x:v>
      </x:c>
    </x:row>
    <x:row r="1791">
      <x:c r="G1791" t="str">
        <x:v>DCA-HOU</x:v>
      </x:c>
      <x:c r="H1791" t="str">
        <x:v>DCA</x:v>
      </x:c>
      <x:c r="I1791" t="str">
        <x:v>HOU</x:v>
      </x:c>
      <x:c r="J1791" s="23" t="n">
        <x:v>3115</x:v>
      </x:c>
      <x:c r="K1791" s="24" t="n">
        <x:v>0.21187800963081863</x:v>
      </x:c>
      <x:c r="L1791" s="24" t="n">
        <x:v>0.015088282504012842</x:v>
      </x:c>
    </x:row>
    <x:row r="1792">
      <x:c r="G1792" t="str">
        <x:v>AMA-LAS</x:v>
      </x:c>
      <x:c r="H1792" t="str">
        <x:v>AMA</x:v>
      </x:c>
      <x:c r="I1792" t="str">
        <x:v>LAS</x:v>
      </x:c>
      <x:c r="J1792" s="23" t="n">
        <x:v>1095</x:v>
      </x:c>
      <x:c r="K1792" s="24" t="n">
        <x:v>0.21187214611872146</x:v>
      </x:c>
      <x:c r="L1792" s="24" t="n">
        <x:v>0.005479452054794521</x:v>
      </x:c>
    </x:row>
    <x:row r="1793">
      <x:c r="G1793" t="str">
        <x:v>ACK-LGA</x:v>
      </x:c>
      <x:c r="H1793" t="str">
        <x:v>ACK</x:v>
      </x:c>
      <x:c r="I1793" t="str">
        <x:v>LGA</x:v>
      </x:c>
      <x:c r="J1793" s="23" t="n">
        <x:v>1331</x:v>
      </x:c>
      <x:c r="K1793" s="24" t="n">
        <x:v>0.21187077385424494</x:v>
      </x:c>
      <x:c r="L1793" s="24" t="n">
        <x:v>0.05709992486851991</x:v>
      </x:c>
    </x:row>
    <x:row r="1794">
      <x:c r="G1794" t="str">
        <x:v>DAL-PIT</x:v>
      </x:c>
      <x:c r="H1794" t="str">
        <x:v>DAL</x:v>
      </x:c>
      <x:c r="I1794" t="str">
        <x:v>PIT</x:v>
      </x:c>
      <x:c r="J1794" s="23" t="n">
        <x:v>1081</x:v>
      </x:c>
      <x:c r="K1794" s="24" t="n">
        <x:v>0.211840888066605</x:v>
      </x:c>
      <x:c r="L1794" s="24" t="n">
        <x:v>0.0074005550416281225</x:v>
      </x:c>
    </x:row>
    <x:row r="1795">
      <x:c r="G1795" t="str">
        <x:v>RDU-MIA</x:v>
      </x:c>
      <x:c r="H1795" t="str">
        <x:v>RDU</x:v>
      </x:c>
      <x:c r="I1795" t="str">
        <x:v>MIA</x:v>
      </x:c>
      <x:c r="J1795" s="23" t="n">
        <x:v>7100</x:v>
      </x:c>
      <x:c r="K1795" s="24" t="n">
        <x:v>0.21183098591549296</x:v>
      </x:c>
      <x:c r="L1795" s="24" t="n">
        <x:v>0.01267605633802817</x:v>
      </x:c>
    </x:row>
    <x:row r="1796">
      <x:c r="G1796" t="str">
        <x:v>DAL-MCI</x:v>
      </x:c>
      <x:c r="H1796" t="str">
        <x:v>DAL</x:v>
      </x:c>
      <x:c r="I1796" t="str">
        <x:v>MCI</x:v>
      </x:c>
      <x:c r="J1796" s="23" t="n">
        <x:v>6142</x:v>
      </x:c>
      <x:c r="K1796" s="24" t="n">
        <x:v>0.21182025398892868</x:v>
      </x:c>
      <x:c r="L1796" s="24" t="n">
        <x:v>0.014327580592640833</x:v>
      </x:c>
    </x:row>
    <x:row r="1797">
      <x:c r="G1797" t="str">
        <x:v>ATL-GRB</x:v>
      </x:c>
      <x:c r="H1797" t="str">
        <x:v>ATL</x:v>
      </x:c>
      <x:c r="I1797" t="str">
        <x:v>GRB</x:v>
      </x:c>
      <x:c r="J1797" s="23" t="n">
        <x:v>1100</x:v>
      </x:c>
      <x:c r="K1797" s="24" t="n">
        <x:v>0.21181818181818182</x:v>
      </x:c>
      <x:c r="L1797" s="24" t="n">
        <x:v>0.008181818181818182</x:v>
      </x:c>
    </x:row>
    <x:row r="1798">
      <x:c r="G1798" t="str">
        <x:v>FSD-DEN</x:v>
      </x:c>
      <x:c r="H1798" t="str">
        <x:v>FSD</x:v>
      </x:c>
      <x:c r="I1798" t="str">
        <x:v>DEN</x:v>
      </x:c>
      <x:c r="J1798" s="23" t="n">
        <x:v>5043</x:v>
      </x:c>
      <x:c r="K1798" s="24" t="n">
        <x:v>0.2117787031528852</x:v>
      </x:c>
      <x:c r="L1798" s="24" t="n">
        <x:v>0.01288915328177672</x:v>
      </x:c>
    </x:row>
    <x:row r="1799">
      <x:c r="G1799" t="str">
        <x:v>SNA-LAS</x:v>
      </x:c>
      <x:c r="H1799" t="str">
        <x:v>SNA</x:v>
      </x:c>
      <x:c r="I1799" t="str">
        <x:v>LAS</x:v>
      </x:c>
      <x:c r="J1799" s="23" t="n">
        <x:v>12636</x:v>
      </x:c>
      <x:c r="K1799" s="24" t="n">
        <x:v>0.2117758784425451</x:v>
      </x:c>
      <x:c r="L1799" s="24" t="n">
        <x:v>0.012899651788540677</x:v>
      </x:c>
    </x:row>
    <x:row r="1800">
      <x:c r="G1800" t="str">
        <x:v>MDW-RIC</x:v>
      </x:c>
      <x:c r="H1800" t="str">
        <x:v>MDW</x:v>
      </x:c>
      <x:c r="I1800" t="str">
        <x:v>RIC</x:v>
      </x:c>
      <x:c r="J1800" s="23" t="n">
        <x:v>1393</x:v>
      </x:c>
      <x:c r="K1800" s="24" t="n">
        <x:v>0.21177315147164394</x:v>
      </x:c>
      <x:c r="L1800" s="24" t="n">
        <x:v>0.002871500358937545</x:v>
      </x:c>
    </x:row>
    <x:row r="1801">
      <x:c r="G1801" t="str">
        <x:v>DFW-BTR</x:v>
      </x:c>
      <x:c r="H1801" t="str">
        <x:v>DFW</x:v>
      </x:c>
      <x:c r="I1801" t="str">
        <x:v>BTR</x:v>
      </x:c>
      <x:c r="J1801" s="23" t="n">
        <x:v>5689</x:v>
      </x:c>
      <x:c r="K1801" s="24" t="n">
        <x:v>0.2116364914747759</x:v>
      </x:c>
      <x:c r="L1801" s="24" t="n">
        <x:v>0.028827561961680435</x:v>
      </x:c>
    </x:row>
    <x:row r="1802">
      <x:c r="G1802" t="str">
        <x:v>SRQ-MDW</x:v>
      </x:c>
      <x:c r="H1802" t="str">
        <x:v>SRQ</x:v>
      </x:c>
      <x:c r="I1802" t="str">
        <x:v>MDW</x:v>
      </x:c>
      <x:c r="J1802" s="23" t="n">
        <x:v>1498</x:v>
      </x:c>
      <x:c r="K1802" s="24" t="n">
        <x:v>0.2116154873164219</x:v>
      </x:c>
      <x:c r="L1802" s="24" t="n">
        <x:v>0.014018691588785047</x:v>
      </x:c>
    </x:row>
    <x:row r="1803">
      <x:c r="G1803" t="str">
        <x:v>ATL-RSW</x:v>
      </x:c>
      <x:c r="H1803" t="str">
        <x:v>ATL</x:v>
      </x:c>
      <x:c r="I1803" t="str">
        <x:v>RSW</x:v>
      </x:c>
      <x:c r="J1803" s="23" t="n">
        <x:v>9360</x:v>
      </x:c>
      <x:c r="K1803" s="24" t="n">
        <x:v>0.21153846153846154</x:v>
      </x:c>
      <x:c r="L1803" s="24" t="n">
        <x:v>0.01282051282051282</x:v>
      </x:c>
    </x:row>
    <x:row r="1804">
      <x:c r="G1804" t="str">
        <x:v>HOU-BHM</x:v>
      </x:c>
      <x:c r="H1804" t="str">
        <x:v>HOU</x:v>
      </x:c>
      <x:c r="I1804" t="str">
        <x:v>BHM</x:v>
      </x:c>
      <x:c r="J1804" s="23" t="n">
        <x:v>1560</x:v>
      </x:c>
      <x:c r="K1804" s="24" t="n">
        <x:v>0.21153846153846154</x:v>
      </x:c>
      <x:c r="L1804" s="24" t="n">
        <x:v>0.007051282051282051</x:v>
      </x:c>
    </x:row>
    <x:row r="1805">
      <x:c r="G1805" t="str">
        <x:v>GSP-CLT</x:v>
      </x:c>
      <x:c r="H1805" t="str">
        <x:v>GSP</x:v>
      </x:c>
      <x:c r="I1805" t="str">
        <x:v>CLT</x:v>
      </x:c>
      <x:c r="J1805" s="23" t="n">
        <x:v>7871</x:v>
      </x:c>
      <x:c r="K1805" s="24" t="n">
        <x:v>0.21153601829500698</x:v>
      </x:c>
      <x:c r="L1805" s="24" t="n">
        <x:v>0.011053233388387753</x:v>
      </x:c>
    </x:row>
    <x:row r="1806">
      <x:c r="G1806" t="str">
        <x:v>CMH-CLT</x:v>
      </x:c>
      <x:c r="H1806" t="str">
        <x:v>CMH</x:v>
      </x:c>
      <x:c r="I1806" t="str">
        <x:v>CLT</x:v>
      </x:c>
      <x:c r="J1806" s="23" t="n">
        <x:v>5867</x:v>
      </x:c>
      <x:c r="K1806" s="24" t="n">
        <x:v>0.21152207260951084</x:v>
      </x:c>
      <x:c r="L1806" s="24" t="n">
        <x:v>0.010397136526333731</x:v>
      </x:c>
    </x:row>
    <x:row r="1807">
      <x:c r="G1807" t="str">
        <x:v>PIT-RSW</x:v>
      </x:c>
      <x:c r="H1807" t="str">
        <x:v>PIT</x:v>
      </x:c>
      <x:c r="I1807" t="str">
        <x:v>RSW</x:v>
      </x:c>
      <x:c r="J1807" s="23" t="n">
        <x:v>1731</x:v>
      </x:c>
      <x:c r="K1807" s="24" t="n">
        <x:v>0.21143847487001732</x:v>
      </x:c>
      <x:c r="L1807" s="24" t="n">
        <x:v>0.006354708261120739</x:v>
      </x:c>
    </x:row>
    <x:row r="1808">
      <x:c r="G1808" t="str">
        <x:v>ORF-BNA</x:v>
      </x:c>
      <x:c r="H1808" t="str">
        <x:v>ORF</x:v>
      </x:c>
      <x:c r="I1808" t="str">
        <x:v>BNA</x:v>
      </x:c>
      <x:c r="J1808" s="23" t="n">
        <x:v>1230</x:v>
      </x:c>
      <x:c r="K1808" s="24" t="n">
        <x:v>0.21138211382113822</x:v>
      </x:c>
      <x:c r="L1808" s="24" t="n">
        <x:v>0.0016260162601626016</x:v>
      </x:c>
    </x:row>
    <x:row r="1809">
      <x:c r="G1809" t="str">
        <x:v>IAH-BNA</x:v>
      </x:c>
      <x:c r="H1809" t="str">
        <x:v>IAH</x:v>
      </x:c>
      <x:c r="I1809" t="str">
        <x:v>BNA</x:v>
      </x:c>
      <x:c r="J1809" s="23" t="n">
        <x:v>5748</x:v>
      </x:c>
      <x:c r="K1809" s="24" t="n">
        <x:v>0.21137787056367432</x:v>
      </x:c>
      <x:c r="L1809" s="24" t="n">
        <x:v>0.014961725817675714</x:v>
      </x:c>
    </x:row>
    <x:row r="1810">
      <x:c r="G1810" t="str">
        <x:v>BOS-DEN</x:v>
      </x:c>
      <x:c r="H1810" t="str">
        <x:v>BOS</x:v>
      </x:c>
      <x:c r="I1810" t="str">
        <x:v>DEN</x:v>
      </x:c>
      <x:c r="J1810" s="23" t="n">
        <x:v>11113</x:v>
      </x:c>
      <x:c r="K1810" s="24" t="n">
        <x:v>0.2113740664087105</x:v>
      </x:c>
      <x:c r="L1810" s="24" t="n">
        <x:v>0.009988301988661928</x:v>
      </x:c>
    </x:row>
    <x:row r="1811">
      <x:c r="G1811" t="str">
        <x:v>DTW-JFK</x:v>
      </x:c>
      <x:c r="H1811" t="str">
        <x:v>DTW</x:v>
      </x:c>
      <x:c r="I1811" t="str">
        <x:v>JFK</x:v>
      </x:c>
      <x:c r="J1811" s="23" t="n">
        <x:v>5261</x:v>
      </x:c>
      <x:c r="K1811" s="24" t="n">
        <x:v>0.2113666603307356</x:v>
      </x:c>
      <x:c r="L1811" s="24" t="n">
        <x:v>0.023379585630108345</x:v>
      </x:c>
    </x:row>
    <x:row r="1812">
      <x:c r="G1812" t="str">
        <x:v>IAH-MFE</x:v>
      </x:c>
      <x:c r="H1812" t="str">
        <x:v>IAH</x:v>
      </x:c>
      <x:c r="I1812" t="str">
        <x:v>MFE</x:v>
      </x:c>
      <x:c r="J1812" s="23" t="n">
        <x:v>2224</x:v>
      </x:c>
      <x:c r="K1812" s="24" t="n">
        <x:v>0.21133093525179855</x:v>
      </x:c>
      <x:c r="L1812" s="24" t="n">
        <x:v>0.015737410071942445</x:v>
      </x:c>
    </x:row>
    <x:row r="1813">
      <x:c r="G1813" t="str">
        <x:v>PSC-SFO</x:v>
      </x:c>
      <x:c r="H1813" t="str">
        <x:v>PSC</x:v>
      </x:c>
      <x:c r="I1813" t="str">
        <x:v>SFO</x:v>
      </x:c>
      <x:c r="J1813" s="23" t="n">
        <x:v>1775</x:v>
      </x:c>
      <x:c r="K1813" s="24" t="n">
        <x:v>0.2112676056338028</x:v>
      </x:c>
      <x:c r="L1813" s="24" t="n">
        <x:v>0.0033802816901408453</x:v>
      </x:c>
    </x:row>
    <x:row r="1814">
      <x:c r="G1814" t="str">
        <x:v>SAF-PHX</x:v>
      </x:c>
      <x:c r="H1814" t="str">
        <x:v>SAF</x:v>
      </x:c>
      <x:c r="I1814" t="str">
        <x:v>PHX</x:v>
      </x:c>
      <x:c r="J1814" s="23" t="n">
        <x:v>1250</x:v>
      </x:c>
      <x:c r="K1814" s="24" t="n">
        <x:v>0.2112</x:v>
      </x:c>
      <x:c r="L1814" s="24" t="n">
        <x:v>0.0064</x:v>
      </x:c>
    </x:row>
    <x:row r="1815">
      <x:c r="G1815" t="str">
        <x:v>DFW-JFK</x:v>
      </x:c>
      <x:c r="H1815" t="str">
        <x:v>DFW</x:v>
      </x:c>
      <x:c r="I1815" t="str">
        <x:v>JFK</x:v>
      </x:c>
      <x:c r="J1815" s="23" t="n">
        <x:v>5937</x:v>
      </x:c>
      <x:c r="K1815" s="24" t="n">
        <x:v>0.2110493515243389</x:v>
      </x:c>
      <x:c r="L1815" s="24" t="n">
        <x:v>0.019875357924877886</x:v>
      </x:c>
    </x:row>
    <x:row r="1816">
      <x:c r="G1816" t="str">
        <x:v>AUS-MCI</x:v>
      </x:c>
      <x:c r="H1816" t="str">
        <x:v>AUS</x:v>
      </x:c>
      <x:c r="I1816" t="str">
        <x:v>MCI</x:v>
      </x:c>
      <x:c r="J1816" s="23" t="n">
        <x:v>2687</x:v>
      </x:c>
      <x:c r="K1816" s="24" t="n">
        <x:v>0.2110160029772981</x:v>
      </x:c>
      <x:c r="L1816" s="24" t="n">
        <x:v>0.007815407517677708</x:v>
      </x:c>
    </x:row>
    <x:row r="1817">
      <x:c r="G1817" t="str">
        <x:v>BOS-ATL</x:v>
      </x:c>
      <x:c r="H1817" t="str">
        <x:v>BOS</x:v>
      </x:c>
      <x:c r="I1817" t="str">
        <x:v>ATL</x:v>
      </x:c>
      <x:c r="J1817" s="23" t="n">
        <x:v>15080</x:v>
      </x:c>
      <x:c r="K1817" s="24" t="n">
        <x:v>0.21100795755968169</x:v>
      </x:c>
      <x:c r="L1817" s="24" t="n">
        <x:v>0.010676392572944298</x:v>
      </x:c>
    </x:row>
    <x:row r="1818">
      <x:c r="G1818" t="str">
        <x:v>HNL-ATL</x:v>
      </x:c>
      <x:c r="H1818" t="str">
        <x:v>HNL</x:v>
      </x:c>
      <x:c r="I1818" t="str">
        <x:v>ATL</x:v>
      </x:c>
      <x:c r="J1818" s="23" t="n">
        <x:v>1109</x:v>
      </x:c>
      <x:c r="K1818" s="24" t="n">
        <x:v>0.2110009017132552</x:v>
      </x:c>
      <x:c r="L1818" s="24" t="n">
        <x:v>0.009017132551848512</x:v>
      </x:c>
    </x:row>
    <x:row r="1819">
      <x:c r="G1819" t="str">
        <x:v>BOS-MSY</x:v>
      </x:c>
      <x:c r="H1819" t="str">
        <x:v>BOS</x:v>
      </x:c>
      <x:c r="I1819" t="str">
        <x:v>MSY</x:v>
      </x:c>
      <x:c r="J1819" s="23" t="n">
        <x:v>2736</x:v>
      </x:c>
      <x:c r="K1819" s="24" t="n">
        <x:v>0.21089181286549707</x:v>
      </x:c>
      <x:c r="L1819" s="24" t="n">
        <x:v>0.012792397660818713</x:v>
      </x:c>
    </x:row>
    <x:row r="1820">
      <x:c r="G1820" t="str">
        <x:v>CLE-DCA</x:v>
      </x:c>
      <x:c r="H1820" t="str">
        <x:v>CLE</x:v>
      </x:c>
      <x:c r="I1820" t="str">
        <x:v>DCA</x:v>
      </x:c>
      <x:c r="J1820" s="23" t="n">
        <x:v>4391</x:v>
      </x:c>
      <x:c r="K1820" s="24" t="n">
        <x:v>0.2108859029833751</x:v>
      </x:c>
      <x:c r="L1820" s="24" t="n">
        <x:v>0.03529947620132089</x:v>
      </x:c>
    </x:row>
    <x:row r="1821">
      <x:c r="G1821" t="str">
        <x:v>DRO-DEN</x:v>
      </x:c>
      <x:c r="H1821" t="str">
        <x:v>DRO</x:v>
      </x:c>
      <x:c r="I1821" t="str">
        <x:v>DEN</x:v>
      </x:c>
      <x:c r="J1821" s="23" t="n">
        <x:v>5383</x:v>
      </x:c>
      <x:c r="K1821" s="24" t="n">
        <x:v>0.2108489689764072</x:v>
      </x:c>
      <x:c r="L1821" s="24" t="n">
        <x:v>0.018019691621772246</x:v>
      </x:c>
    </x:row>
    <x:row r="1822">
      <x:c r="G1822" t="str">
        <x:v>SAN-DEN</x:v>
      </x:c>
      <x:c r="H1822" t="str">
        <x:v>SAN</x:v>
      </x:c>
      <x:c r="I1822" t="str">
        <x:v>DEN</x:v>
      </x:c>
      <x:c r="J1822" s="23" t="n">
        <x:v>16477</x:v>
      </x:c>
      <x:c r="K1822" s="24" t="n">
        <x:v>0.21077866116404687</x:v>
      </x:c>
      <x:c r="L1822" s="24" t="n">
        <x:v>0.012016750622079263</x:v>
      </x:c>
    </x:row>
    <x:row r="1823">
      <x:c r="G1823" t="str">
        <x:v>LAS-RDU</x:v>
      </x:c>
      <x:c r="H1823" t="str">
        <x:v>LAS</x:v>
      </x:c>
      <x:c r="I1823" t="str">
        <x:v>RDU</x:v>
      </x:c>
      <x:c r="J1823" s="23" t="n">
        <x:v>1803</x:v>
      </x:c>
      <x:c r="K1823" s="24" t="n">
        <x:v>0.21075984470327233</x:v>
      </x:c>
      <x:c r="L1823" s="24" t="n">
        <x:v>0.0066555740432612314</x:v>
      </x:c>
    </x:row>
    <x:row r="1824">
      <x:c r="G1824" t="str">
        <x:v>ABQ-SAN</x:v>
      </x:c>
      <x:c r="H1824" t="str">
        <x:v>ABQ</x:v>
      </x:c>
      <x:c r="I1824" t="str">
        <x:v>SAN</x:v>
      </x:c>
      <x:c r="J1824" s="23" t="n">
        <x:v>1879</x:v>
      </x:c>
      <x:c r="K1824" s="24" t="n">
        <x:v>0.21075039914848323</x:v>
      </x:c>
      <x:c r="L1824" s="24" t="n">
        <x:v>0.005321979776476849</x:v>
      </x:c>
    </x:row>
    <x:row r="1825">
      <x:c r="G1825" t="str">
        <x:v>BUR-LAS</x:v>
      </x:c>
      <x:c r="H1825" t="str">
        <x:v>BUR</x:v>
      </x:c>
      <x:c r="I1825" t="str">
        <x:v>LAS</x:v>
      </x:c>
      <x:c r="J1825" s="23" t="n">
        <x:v>13315</x:v>
      </x:c>
      <x:c r="K1825" s="24" t="n">
        <x:v>0.21073976717987233</x:v>
      </x:c>
      <x:c r="L1825" s="24" t="n">
        <x:v>0.01787457754412317</x:v>
      </x:c>
    </x:row>
    <x:row r="1826">
      <x:c r="G1826" t="str">
        <x:v>TPA-TTN</x:v>
      </x:c>
      <x:c r="H1826" t="str">
        <x:v>TPA</x:v>
      </x:c>
      <x:c r="I1826" t="str">
        <x:v>TTN</x:v>
      </x:c>
      <x:c r="J1826" s="23" t="n">
        <x:v>1006</x:v>
      </x:c>
      <x:c r="K1826" s="24" t="n">
        <x:v>0.21073558648111332</x:v>
      </x:c>
      <x:c r="L1826" s="24" t="n">
        <x:v>0.0268389662027833</x:v>
      </x:c>
    </x:row>
    <x:row r="1827">
      <x:c r="G1827" t="str">
        <x:v>DAL-BNA</x:v>
      </x:c>
      <x:c r="H1827" t="str">
        <x:v>DAL</x:v>
      </x:c>
      <x:c r="I1827" t="str">
        <x:v>BNA</x:v>
      </x:c>
      <x:c r="J1827" s="23" t="n">
        <x:v>7120</x:v>
      </x:c>
      <x:c r="K1827" s="24" t="n">
        <x:v>0.21067415730337077</x:v>
      </x:c>
      <x:c r="L1827" s="24" t="n">
        <x:v>0.01348314606741573</x:v>
      </x:c>
    </x:row>
    <x:row r="1828">
      <x:c r="G1828" t="str">
        <x:v>SLN-ORD</x:v>
      </x:c>
      <x:c r="H1828" t="str">
        <x:v>SLN</x:v>
      </x:c>
      <x:c r="I1828" t="str">
        <x:v>ORD</x:v>
      </x:c>
      <x:c r="J1828" s="23" t="n">
        <x:v>1073</x:v>
      </x:c>
      <x:c r="K1828" s="24" t="n">
        <x:v>0.21062441752096925</x:v>
      </x:c>
      <x:c r="L1828" s="24" t="n">
        <x:v>0.023299161230195712</x:v>
      </x:c>
    </x:row>
    <x:row r="1829">
      <x:c r="G1829" t="str">
        <x:v>HOU-IND</x:v>
      </x:c>
      <x:c r="H1829" t="str">
        <x:v>HOU</x:v>
      </x:c>
      <x:c r="I1829" t="str">
        <x:v>IND</x:v>
      </x:c>
      <x:c r="J1829" s="23" t="n">
        <x:v>1377</x:v>
      </x:c>
      <x:c r="K1829" s="24" t="n">
        <x:v>0.21060275962236746</x:v>
      </x:c>
      <x:c r="L1829" s="24" t="n">
        <x:v>0.005083514887436456</x:v>
      </x:c>
    </x:row>
    <x:row r="1830">
      <x:c r="G1830" t="str">
        <x:v>LAX-HOU</x:v>
      </x:c>
      <x:c r="H1830" t="str">
        <x:v>LAX</x:v>
      </x:c>
      <x:c r="I1830" t="str">
        <x:v>HOU</x:v>
      </x:c>
      <x:c r="J1830" s="23" t="n">
        <x:v>3623</x:v>
      </x:c>
      <x:c r="K1830" s="24" t="n">
        <x:v>0.21059895114545957</x:v>
      </x:c>
      <x:c r="L1830" s="24" t="n">
        <x:v>0.0049682583494341705</x:v>
      </x:c>
    </x:row>
    <x:row r="1831">
      <x:c r="G1831" t="str">
        <x:v>ATL-MDW</x:v>
      </x:c>
      <x:c r="H1831" t="str">
        <x:v>ATL</x:v>
      </x:c>
      <x:c r="I1831" t="str">
        <x:v>MDW</x:v>
      </x:c>
      <x:c r="J1831" s="23" t="n">
        <x:v>10980</x:v>
      </x:c>
      <x:c r="K1831" s="24" t="n">
        <x:v>0.2105646630236794</x:v>
      </x:c>
      <x:c r="L1831" s="24" t="n">
        <x:v>0.013387978142076503</x:v>
      </x:c>
    </x:row>
    <x:row r="1832">
      <x:c r="G1832" t="str">
        <x:v>HOU-DFW</x:v>
      </x:c>
      <x:c r="H1832" t="str">
        <x:v>HOU</x:v>
      </x:c>
      <x:c r="I1832" t="str">
        <x:v>DFW</x:v>
      </x:c>
      <x:c r="J1832" s="23" t="n">
        <x:v>6540</x:v>
      </x:c>
      <x:c r="K1832" s="24" t="n">
        <x:v>0.21055045871559633</x:v>
      </x:c>
      <x:c r="L1832" s="24" t="n">
        <x:v>0.033486238532110094</x:v>
      </x:c>
    </x:row>
    <x:row r="1833">
      <x:c r="G1833" t="str">
        <x:v>SAN-SJC</x:v>
      </x:c>
      <x:c r="H1833" t="str">
        <x:v>SAN</x:v>
      </x:c>
      <x:c r="I1833" t="str">
        <x:v>SJC</x:v>
      </x:c>
      <x:c r="J1833" s="23" t="n">
        <x:v>17057</x:v>
      </x:c>
      <x:c r="K1833" s="24" t="n">
        <x:v>0.21052940141877236</x:v>
      </x:c>
      <x:c r="L1833" s="24" t="n">
        <x:v>0.009204432197924606</x:v>
      </x:c>
    </x:row>
    <x:row r="1834">
      <x:c r="G1834" t="str">
        <x:v>STL-DAL</x:v>
      </x:c>
      <x:c r="H1834" t="str">
        <x:v>STL</x:v>
      </x:c>
      <x:c r="I1834" t="str">
        <x:v>DAL</x:v>
      </x:c>
      <x:c r="J1834" s="23" t="n">
        <x:v>6199</x:v>
      </x:c>
      <x:c r="K1834" s="24" t="n">
        <x:v>0.21051782545571868</x:v>
      </x:c>
      <x:c r="L1834" s="24" t="n">
        <x:v>0.015486368769156315</x:v>
      </x:c>
    </x:row>
    <x:row r="1835">
      <x:c r="G1835" t="str">
        <x:v>LAS-CVG</x:v>
      </x:c>
      <x:c r="H1835" t="str">
        <x:v>LAS</x:v>
      </x:c>
      <x:c r="I1835" t="str">
        <x:v>CVG</x:v>
      </x:c>
      <x:c r="J1835" s="23" t="n">
        <x:v>2214</x:v>
      </x:c>
      <x:c r="K1835" s="24" t="n">
        <x:v>0.2104787714543812</x:v>
      </x:c>
      <x:c r="L1835" s="24" t="n">
        <x:v>0.009485094850948509</x:v>
      </x:c>
    </x:row>
    <x:row r="1836">
      <x:c r="G1836" t="str">
        <x:v>PHL-IND</x:v>
      </x:c>
      <x:c r="H1836" t="str">
        <x:v>PHL</x:v>
      </x:c>
      <x:c r="I1836" t="str">
        <x:v>IND</x:v>
      </x:c>
      <x:c r="J1836" s="23" t="n">
        <x:v>4390</x:v>
      </x:c>
      <x:c r="K1836" s="24" t="n">
        <x:v>0.21047835990888383</x:v>
      </x:c>
      <x:c r="L1836" s="24" t="n">
        <x:v>0.019817767653758544</x:v>
      </x:c>
    </x:row>
    <x:row r="1837">
      <x:c r="G1837" t="str">
        <x:v>AUS-PDX</x:v>
      </x:c>
      <x:c r="H1837" t="str">
        <x:v>AUS</x:v>
      </x:c>
      <x:c r="I1837" t="str">
        <x:v>PDX</x:v>
      </x:c>
      <x:c r="J1837" s="23" t="n">
        <x:v>1250</x:v>
      </x:c>
      <x:c r="K1837" s="24" t="n">
        <x:v>0.2104</x:v>
      </x:c>
      <x:c r="L1837" s="24" t="n">
        <x:v>0.0152</x:v>
      </x:c>
    </x:row>
    <x:row r="1838">
      <x:c r="G1838" t="str">
        <x:v>PWM-ORD</x:v>
      </x:c>
      <x:c r="H1838" t="str">
        <x:v>PWM</x:v>
      </x:c>
      <x:c r="I1838" t="str">
        <x:v>ORD</x:v>
      </x:c>
      <x:c r="J1838" s="23" t="n">
        <x:v>3270</x:v>
      </x:c>
      <x:c r="K1838" s="24" t="n">
        <x:v>0.21039755351681957</x:v>
      </x:c>
      <x:c r="L1838" s="24" t="n">
        <x:v>0.01620795107033639</x:v>
      </x:c>
    </x:row>
    <x:row r="1839">
      <x:c r="G1839" t="str">
        <x:v>MVY-LGA</x:v>
      </x:c>
      <x:c r="H1839" t="str">
        <x:v>MVY</x:v>
      </x:c>
      <x:c r="I1839" t="str">
        <x:v>LGA</x:v>
      </x:c>
      <x:c r="J1839" s="23" t="n">
        <x:v>1041</x:v>
      </x:c>
      <x:c r="K1839" s="24" t="n">
        <x:v>0.21037463976945245</x:v>
      </x:c>
      <x:c r="L1839" s="24" t="n">
        <x:v>0.05187319884726225</x:v>
      </x:c>
    </x:row>
    <x:row r="1840">
      <x:c r="G1840" t="str">
        <x:v>ORD-ELP</x:v>
      </x:c>
      <x:c r="H1840" t="str">
        <x:v>ORD</x:v>
      </x:c>
      <x:c r="I1840" t="str">
        <x:v>ELP</x:v>
      </x:c>
      <x:c r="J1840" s="23" t="n">
        <x:v>1892</x:v>
      </x:c>
      <x:c r="K1840" s="24" t="n">
        <x:v>0.21035940803382663</x:v>
      </x:c>
      <x:c r="L1840" s="24" t="n">
        <x:v>0.009513742071881607</x:v>
      </x:c>
    </x:row>
    <x:row r="1841">
      <x:c r="G1841" t="str">
        <x:v>ALB-ORD</x:v>
      </x:c>
      <x:c r="H1841" t="str">
        <x:v>ALB</x:v>
      </x:c>
      <x:c r="I1841" t="str">
        <x:v>ORD</x:v>
      </x:c>
      <x:c r="J1841" s="23" t="n">
        <x:v>4122</x:v>
      </x:c>
      <x:c r="K1841" s="24" t="n">
        <x:v>0.21033478893740903</x:v>
      </x:c>
      <x:c r="L1841" s="24" t="n">
        <x:v>0.013585638039786511</x:v>
      </x:c>
    </x:row>
    <x:row r="1842">
      <x:c r="G1842" t="str">
        <x:v>DAL-HOU</x:v>
      </x:c>
      <x:c r="H1842" t="str">
        <x:v>DAL</x:v>
      </x:c>
      <x:c r="I1842" t="str">
        <x:v>HOU</x:v>
      </x:c>
      <x:c r="J1842" s="23" t="n">
        <x:v>12369</x:v>
      </x:c>
      <x:c r="K1842" s="24" t="n">
        <x:v>0.21028377395100656</x:v>
      </x:c>
      <x:c r="L1842" s="24" t="n">
        <x:v>0.020939445387662705</x:v>
      </x:c>
    </x:row>
    <x:row r="1843">
      <x:c r="G1843" t="str">
        <x:v>MSP-SFO</x:v>
      </x:c>
      <x:c r="H1843" t="str">
        <x:v>MSP</x:v>
      </x:c>
      <x:c r="I1843" t="str">
        <x:v>SFO</x:v>
      </x:c>
      <x:c r="J1843" s="23" t="n">
        <x:v>5751</x:v>
      </x:c>
      <x:c r="K1843" s="24" t="n">
        <x:v>0.2102243088158581</x:v>
      </x:c>
      <x:c r="L1843" s="24" t="n">
        <x:v>0.008868022952529996</x:v>
      </x:c>
    </x:row>
    <x:row r="1844">
      <x:c r="G1844" t="str">
        <x:v>MIA-SAV</x:v>
      </x:c>
      <x:c r="H1844" t="str">
        <x:v>MIA</x:v>
      </x:c>
      <x:c r="I1844" t="str">
        <x:v>SAV</x:v>
      </x:c>
      <x:c r="J1844" s="23" t="n">
        <x:v>2293</x:v>
      </x:c>
      <x:c r="K1844" s="24" t="n">
        <x:v>0.2102049716528565</x:v>
      </x:c>
      <x:c r="L1844" s="24" t="n">
        <x:v>0.016572176188399478</x:v>
      </x:c>
    </x:row>
    <x:row r="1845">
      <x:c r="G1845" t="str">
        <x:v>SAN-BOI</x:v>
      </x:c>
      <x:c r="H1845" t="str">
        <x:v>SAN</x:v>
      </x:c>
      <x:c r="I1845" t="str">
        <x:v>BOI</x:v>
      </x:c>
      <x:c r="J1845" s="23" t="n">
        <x:v>2046</x:v>
      </x:c>
      <x:c r="K1845" s="24" t="n">
        <x:v>0.2101661779081134</x:v>
      </x:c>
      <x:c r="L1845" s="24" t="n">
        <x:v>0.00635386119257087</x:v>
      </x:c>
    </x:row>
    <x:row r="1846">
      <x:c r="G1846" t="str">
        <x:v>DFW-SAF</x:v>
      </x:c>
      <x:c r="H1846" t="str">
        <x:v>DFW</x:v>
      </x:c>
      <x:c r="I1846" t="str">
        <x:v>SAF</x:v>
      </x:c>
      <x:c r="J1846" s="23" t="n">
        <x:v>4725</x:v>
      </x:c>
      <x:c r="K1846" s="24" t="n">
        <x:v>0.21015873015873016</x:v>
      </x:c>
      <x:c r="L1846" s="24" t="n">
        <x:v>0.020105820105820106</x:v>
      </x:c>
    </x:row>
    <x:row r="1847">
      <x:c r="G1847" t="str">
        <x:v>DEN-HLN</x:v>
      </x:c>
      <x:c r="H1847" t="str">
        <x:v>DEN</x:v>
      </x:c>
      <x:c r="I1847" t="str">
        <x:v>HLN</x:v>
      </x:c>
      <x:c r="J1847" s="23" t="n">
        <x:v>2189</x:v>
      </x:c>
      <x:c r="K1847" s="24" t="n">
        <x:v>0.21014161717679306</x:v>
      </x:c>
      <x:c r="L1847" s="24" t="n">
        <x:v>0.013704888076747372</x:v>
      </x:c>
    </x:row>
    <x:row r="1848">
      <x:c r="G1848" t="str">
        <x:v>SAN-STL</x:v>
      </x:c>
      <x:c r="H1848" t="str">
        <x:v>SAN</x:v>
      </x:c>
      <x:c r="I1848" t="str">
        <x:v>STL</x:v>
      </x:c>
      <x:c r="J1848" s="23" t="n">
        <x:v>1566</x:v>
      </x:c>
      <x:c r="K1848" s="24" t="n">
        <x:v>0.21008939974457216</x:v>
      </x:c>
      <x:c r="L1848" s="24" t="n">
        <x:v>0.0031928480204342275</x:v>
      </x:c>
    </x:row>
    <x:row r="1849">
      <x:c r="G1849" t="str">
        <x:v>DEN-SGU</x:v>
      </x:c>
      <x:c r="H1849" t="str">
        <x:v>DEN</x:v>
      </x:c>
      <x:c r="I1849" t="str">
        <x:v>SGU</x:v>
      </x:c>
      <x:c r="J1849" s="23" t="n">
        <x:v>2404</x:v>
      </x:c>
      <x:c r="K1849" s="24" t="n">
        <x:v>0.21006655574043262</x:v>
      </x:c>
      <x:c r="L1849" s="24" t="n">
        <x:v>0.009151414309484194</x:v>
      </x:c>
    </x:row>
    <x:row r="1850">
      <x:c r="G1850" t="str">
        <x:v>LAS-SEA</x:v>
      </x:c>
      <x:c r="H1850" t="str">
        <x:v>LAS</x:v>
      </x:c>
      <x:c r="I1850" t="str">
        <x:v>SEA</x:v>
      </x:c>
      <x:c r="J1850" s="23" t="n">
        <x:v>19356</x:v>
      </x:c>
      <x:c r="K1850" s="24" t="n">
        <x:v>0.2100640628228973</x:v>
      </x:c>
      <x:c r="L1850" s="24" t="n">
        <x:v>0.009247778466625335</x:v>
      </x:c>
    </x:row>
    <x:row r="1851">
      <x:c r="G1851" t="str">
        <x:v>PHL-ORD</x:v>
      </x:c>
      <x:c r="H1851" t="str">
        <x:v>PHL</x:v>
      </x:c>
      <x:c r="I1851" t="str">
        <x:v>ORD</x:v>
      </x:c>
      <x:c r="J1851" s="23" t="n">
        <x:v>13155</x:v>
      </x:c>
      <x:c r="K1851" s="24" t="n">
        <x:v>0.21003420752565563</x:v>
      </x:c>
      <x:c r="L1851" s="24" t="n">
        <x:v>0.01573546180159635</x:v>
      </x:c>
    </x:row>
    <x:row r="1852">
      <x:c r="G1852" t="str">
        <x:v>JAX-CLT</x:v>
      </x:c>
      <x:c r="H1852" t="str">
        <x:v>JAX</x:v>
      </x:c>
      <x:c r="I1852" t="str">
        <x:v>CLT</x:v>
      </x:c>
      <x:c r="J1852" s="23" t="n">
        <x:v>6666</x:v>
      </x:c>
      <x:c r="K1852" s="24" t="n">
        <x:v>0.21002100210021002</x:v>
      </x:c>
      <x:c r="L1852" s="24" t="n">
        <x:v>0.013201320132013201</x:v>
      </x:c>
    </x:row>
    <x:row r="1853">
      <x:c r="G1853" t="str">
        <x:v>CLT-JAN</x:v>
      </x:c>
      <x:c r="H1853" t="str">
        <x:v>CLT</x:v>
      </x:c>
      <x:c r="I1853" t="str">
        <x:v>JAN</x:v>
      </x:c>
      <x:c r="J1853" s="23" t="n">
        <x:v>1605</x:v>
      </x:c>
      <x:c r="K1853" s="24" t="n">
        <x:v>0.20996884735202492</x:v>
      </x:c>
      <x:c r="L1853" s="24" t="n">
        <x:v>0.0161993769470405</x:v>
      </x:c>
    </x:row>
    <x:row r="1854">
      <x:c r="G1854" t="str">
        <x:v>BWI-ATL</x:v>
      </x:c>
      <x:c r="H1854" t="str">
        <x:v>BWI</x:v>
      </x:c>
      <x:c r="I1854" t="str">
        <x:v>ATL</x:v>
      </x:c>
      <x:c r="J1854" s="23" t="n">
        <x:v>18129</x:v>
      </x:c>
      <x:c r="K1854" s="24" t="n">
        <x:v>0.20993987533785646</x:v>
      </x:c>
      <x:c r="L1854" s="24" t="n">
        <x:v>0.012080092669204038</x:v>
      </x:c>
    </x:row>
    <x:row r="1855">
      <x:c r="G1855" t="str">
        <x:v>DEN-SAF</x:v>
      </x:c>
      <x:c r="H1855" t="str">
        <x:v>DEN</x:v>
      </x:c>
      <x:c r="I1855" t="str">
        <x:v>SAF</x:v>
      </x:c>
      <x:c r="J1855" s="23" t="n">
        <x:v>2277</x:v>
      </x:c>
      <x:c r="K1855" s="24" t="n">
        <x:v>0.20992534036012298</x:v>
      </x:c>
      <x:c r="L1855" s="24" t="n">
        <x:v>0.010101010101010102</x:v>
      </x:c>
    </x:row>
    <x:row r="1856">
      <x:c r="G1856" t="str">
        <x:v>LAX-MIA</x:v>
      </x:c>
      <x:c r="H1856" t="str">
        <x:v>LAX</x:v>
      </x:c>
      <x:c r="I1856" t="str">
        <x:v>MIA</x:v>
      </x:c>
      <x:c r="J1856" s="23" t="n">
        <x:v>10380</x:v>
      </x:c>
      <x:c r="K1856" s="24" t="n">
        <x:v>0.20992292870905588</x:v>
      </x:c>
      <x:c r="L1856" s="24" t="n">
        <x:v>0.0045279383429672445</x:v>
      </x:c>
    </x:row>
    <x:row r="1857">
      <x:c r="G1857" t="str">
        <x:v>FAT-SFO</x:v>
      </x:c>
      <x:c r="H1857" t="str">
        <x:v>FAT</x:v>
      </x:c>
      <x:c r="I1857" t="str">
        <x:v>SFO</x:v>
      </x:c>
      <x:c r="J1857" s="23" t="n">
        <x:v>3650</x:v>
      </x:c>
      <x:c r="K1857" s="24" t="n">
        <x:v>0.20986301369863014</x:v>
      </x:c>
      <x:c r="L1857" s="24" t="n">
        <x:v>0.009589041095890411</x:v>
      </x:c>
    </x:row>
    <x:row r="1858">
      <x:c r="G1858" t="str">
        <x:v>EWR-SAV</x:v>
      </x:c>
      <x:c r="H1858" t="str">
        <x:v>EWR</x:v>
      </x:c>
      <x:c r="I1858" t="str">
        <x:v>SAV</x:v>
      </x:c>
      <x:c r="J1858" s="23" t="n">
        <x:v>3012</x:v>
      </x:c>
      <x:c r="K1858" s="24" t="n">
        <x:v>0.2098273572377158</x:v>
      </x:c>
      <x:c r="L1858" s="24" t="n">
        <x:v>0.02390438247011952</x:v>
      </x:c>
    </x:row>
    <x:row r="1859">
      <x:c r="G1859" t="str">
        <x:v>DCA-SFO</x:v>
      </x:c>
      <x:c r="H1859" t="str">
        <x:v>DCA</x:v>
      </x:c>
      <x:c r="I1859" t="str">
        <x:v>SFO</x:v>
      </x:c>
      <x:c r="J1859" s="23" t="n">
        <x:v>2507</x:v>
      </x:c>
      <x:c r="K1859" s="24" t="n">
        <x:v>0.20981252493019545</x:v>
      </x:c>
      <x:c r="L1859" s="24" t="n">
        <x:v>0.007179896290386917</x:v>
      </x:c>
    </x:row>
    <x:row r="1860">
      <x:c r="G1860" t="str">
        <x:v>BTR-DFW</x:v>
      </x:c>
      <x:c r="H1860" t="str">
        <x:v>BTR</x:v>
      </x:c>
      <x:c r="I1860" t="str">
        <x:v>DFW</x:v>
      </x:c>
      <x:c r="J1860" s="23" t="n">
        <x:v>5691</x:v>
      </x:c>
      <x:c r="K1860" s="24" t="n">
        <x:v>0.20980495519240908</x:v>
      </x:c>
      <x:c r="L1860" s="24" t="n">
        <x:v>0.0291688631172026</x:v>
      </x:c>
    </x:row>
    <x:row r="1861">
      <x:c r="G1861" t="str">
        <x:v>SEA-OMA</x:v>
      </x:c>
      <x:c r="H1861" t="str">
        <x:v>SEA</x:v>
      </x:c>
      <x:c r="I1861" t="str">
        <x:v>OMA</x:v>
      </x:c>
      <x:c r="J1861" s="23" t="n">
        <x:v>1368</x:v>
      </x:c>
      <x:c r="K1861" s="24" t="n">
        <x:v>0.2097953216374269</x:v>
      </x:c>
      <x:c r="L1861" s="24" t="n">
        <x:v>0.006578947368421052</x:v>
      </x:c>
    </x:row>
    <x:row r="1862">
      <x:c r="G1862" t="str">
        <x:v>ORD-PWM</x:v>
      </x:c>
      <x:c r="H1862" t="str">
        <x:v>ORD</x:v>
      </x:c>
      <x:c r="I1862" t="str">
        <x:v>PWM</x:v>
      </x:c>
      <x:c r="J1862" s="23" t="n">
        <x:v>3270</x:v>
      </x:c>
      <x:c r="K1862" s="24" t="n">
        <x:v>0.20978593272171253</x:v>
      </x:c>
      <x:c r="L1862" s="24" t="n">
        <x:v>0.01437308868501529</x:v>
      </x:c>
    </x:row>
    <x:row r="1863">
      <x:c r="G1863" t="str">
        <x:v>RDU-IAH</x:v>
      </x:c>
      <x:c r="H1863" t="str">
        <x:v>RDU</x:v>
      </x:c>
      <x:c r="I1863" t="str">
        <x:v>IAH</x:v>
      </x:c>
      <x:c r="J1863" s="23" t="n">
        <x:v>2532</x:v>
      </x:c>
      <x:c r="K1863" s="24" t="n">
        <x:v>0.20971563981042654</x:v>
      </x:c>
      <x:c r="L1863" s="24" t="n">
        <x:v>0.013428120063191154</x:v>
      </x:c>
    </x:row>
    <x:row r="1864">
      <x:c r="G1864" t="str">
        <x:v>PHX-HOU</x:v>
      </x:c>
      <x:c r="H1864" t="str">
        <x:v>PHX</x:v>
      </x:c>
      <x:c r="I1864" t="str">
        <x:v>HOU</x:v>
      </x:c>
      <x:c r="J1864" s="23" t="n">
        <x:v>6095</x:v>
      </x:c>
      <x:c r="K1864" s="24" t="n">
        <x:v>0.20968006562756358</x:v>
      </x:c>
      <x:c r="L1864" s="24" t="n">
        <x:v>0.006398687448728466</x:v>
      </x:c>
    </x:row>
    <x:row r="1865">
      <x:c r="G1865" t="str">
        <x:v>COS-LAS</x:v>
      </x:c>
      <x:c r="H1865" t="str">
        <x:v>COS</x:v>
      </x:c>
      <x:c r="I1865" t="str">
        <x:v>LAS</x:v>
      </x:c>
      <x:c r="J1865" s="23" t="n">
        <x:v>2853</x:v>
      </x:c>
      <x:c r="K1865" s="24" t="n">
        <x:v>0.20960392569225378</x:v>
      </x:c>
      <x:c r="L1865" s="24" t="n">
        <x:v>0.005608131791097091</x:v>
      </x:c>
    </x:row>
    <x:row r="1866">
      <x:c r="G1866" t="str">
        <x:v>BOS-DTW</x:v>
      </x:c>
      <x:c r="H1866" t="str">
        <x:v>BOS</x:v>
      </x:c>
      <x:c r="I1866" t="str">
        <x:v>DTW</x:v>
      </x:c>
      <x:c r="J1866" s="23" t="n">
        <x:v>8269</x:v>
      </x:c>
      <x:c r="K1866" s="24" t="n">
        <x:v>0.20957794171000121</x:v>
      </x:c>
      <x:c r="L1866" s="24" t="n">
        <x:v>0.011851493530052002</x:v>
      </x:c>
    </x:row>
    <x:row r="1867">
      <x:c r="G1867" t="str">
        <x:v>ECP-CLT</x:v>
      </x:c>
      <x:c r="H1867" t="str">
        <x:v>ECP</x:v>
      </x:c>
      <x:c r="I1867" t="str">
        <x:v>CLT</x:v>
      </x:c>
      <x:c r="J1867" s="23" t="n">
        <x:v>3164</x:v>
      </x:c>
      <x:c r="K1867" s="24" t="n">
        <x:v>0.2095448798988622</x:v>
      </x:c>
      <x:c r="L1867" s="24" t="n">
        <x:v>0.01359039190897598</x:v>
      </x:c>
    </x:row>
    <x:row r="1868">
      <x:c r="G1868" t="str">
        <x:v>LAS-SNA</x:v>
      </x:c>
      <x:c r="H1868" t="str">
        <x:v>LAS</x:v>
      </x:c>
      <x:c r="I1868" t="str">
        <x:v>SNA</x:v>
      </x:c>
      <x:c r="J1868" s="23" t="n">
        <x:v>12633</x:v>
      </x:c>
      <x:c r="K1868" s="24" t="n">
        <x:v>0.20953059447478825</x:v>
      </x:c>
      <x:c r="L1868" s="24" t="n">
        <x:v>0.010765455552916964</x:v>
      </x:c>
    </x:row>
    <x:row r="1869">
      <x:c r="G1869" t="str">
        <x:v>DFW-BIL</x:v>
      </x:c>
      <x:c r="H1869" t="str">
        <x:v>DFW</x:v>
      </x:c>
      <x:c r="I1869" t="str">
        <x:v>BIL</x:v>
      </x:c>
      <x:c r="J1869" s="23" t="n">
        <x:v>1948</x:v>
      </x:c>
      <x:c r="K1869" s="24" t="n">
        <x:v>0.20944558521560575</x:v>
      </x:c>
      <x:c r="L1869" s="24" t="n">
        <x:v>0.008213552361396304</x:v>
      </x:c>
    </x:row>
    <x:row r="1870">
      <x:c r="G1870" t="str">
        <x:v>MIA-GSP</x:v>
      </x:c>
      <x:c r="H1870" t="str">
        <x:v>MIA</x:v>
      </x:c>
      <x:c r="I1870" t="str">
        <x:v>GSP</x:v>
      </x:c>
      <x:c r="J1870" s="23" t="n">
        <x:v>1466</x:v>
      </x:c>
      <x:c r="K1870" s="24" t="n">
        <x:v>0.20941336971350613</x:v>
      </x:c>
      <x:c r="L1870" s="24" t="n">
        <x:v>0.005457025920873124</x:v>
      </x:c>
    </x:row>
    <x:row r="1871">
      <x:c r="G1871" t="str">
        <x:v>ATL-RIC</x:v>
      </x:c>
      <x:c r="H1871" t="str">
        <x:v>ATL</x:v>
      </x:c>
      <x:c r="I1871" t="str">
        <x:v>RIC</x:v>
      </x:c>
      <x:c r="J1871" s="23" t="n">
        <x:v>9247</x:v>
      </x:c>
      <x:c r="K1871" s="24" t="n">
        <x:v>0.20936519952417001</x:v>
      </x:c>
      <x:c r="L1871" s="24" t="n">
        <x:v>0.008327024981074944</x:v>
      </x:c>
    </x:row>
    <x:row r="1872">
      <x:c r="G1872" t="str">
        <x:v>SFO-PSP</x:v>
      </x:c>
      <x:c r="H1872" t="str">
        <x:v>SFO</x:v>
      </x:c>
      <x:c r="I1872" t="str">
        <x:v>PSP</x:v>
      </x:c>
      <x:c r="J1872" s="23" t="n">
        <x:v>7370</x:v>
      </x:c>
      <x:c r="K1872" s="24" t="n">
        <x:v>0.20936227951153324</x:v>
      </x:c>
      <x:c r="L1872" s="24" t="n">
        <x:v>0.008819538670284939</x:v>
      </x:c>
    </x:row>
    <x:row r="1873">
      <x:c r="G1873" t="str">
        <x:v>BZN-SFO</x:v>
      </x:c>
      <x:c r="H1873" t="str">
        <x:v>BZN</x:v>
      </x:c>
      <x:c r="I1873" t="str">
        <x:v>SFO</x:v>
      </x:c>
      <x:c r="J1873" s="23" t="n">
        <x:v>1261</x:v>
      </x:c>
      <x:c r="K1873" s="24" t="n">
        <x:v>0.20935765265662173</x:v>
      </x:c>
      <x:c r="L1873" s="24" t="n">
        <x:v>0.00951625693893735</x:v>
      </x:c>
    </x:row>
    <x:row r="1874">
      <x:c r="G1874" t="str">
        <x:v>XNA-LAX</x:v>
      </x:c>
      <x:c r="H1874" t="str">
        <x:v>XNA</x:v>
      </x:c>
      <x:c r="I1874" t="str">
        <x:v>LAX</x:v>
      </x:c>
      <x:c r="J1874" s="23" t="n">
        <x:v>1304</x:v>
      </x:c>
      <x:c r="K1874" s="24" t="n">
        <x:v>0.2093558282208589</x:v>
      </x:c>
      <x:c r="L1874" s="24" t="n">
        <x:v>0.003834355828220859</x:v>
      </x:c>
    </x:row>
    <x:row r="1875">
      <x:c r="G1875" t="str">
        <x:v>LAS-SCK</x:v>
      </x:c>
      <x:c r="H1875" t="str">
        <x:v>LAS</x:v>
      </x:c>
      <x:c r="I1875" t="str">
        <x:v>SCK</x:v>
      </x:c>
      <x:c r="J1875" s="23" t="n">
        <x:v>1242</x:v>
      </x:c>
      <x:c r="K1875" s="24" t="n">
        <x:v>0.20933977455716588</x:v>
      </x:c>
      <x:c r="L1875" s="24" t="n">
        <x:v>0.004830917874396135</x:v>
      </x:c>
    </x:row>
    <x:row r="1876">
      <x:c r="G1876" t="str">
        <x:v>MSP-DFW</x:v>
      </x:c>
      <x:c r="H1876" t="str">
        <x:v>MSP</x:v>
      </x:c>
      <x:c r="I1876" t="str">
        <x:v>DFW</x:v>
      </x:c>
      <x:c r="J1876" s="23" t="n">
        <x:v>9527</x:v>
      </x:c>
      <x:c r="K1876" s="24" t="n">
        <x:v>0.20929988453867954</x:v>
      </x:c>
      <x:c r="L1876" s="24" t="n">
        <x:v>0.016059620027290857</x:v>
      </x:c>
    </x:row>
    <x:row r="1877">
      <x:c r="G1877" t="str">
        <x:v>BWI-BHM</x:v>
      </x:c>
      <x:c r="H1877" t="str">
        <x:v>BWI</x:v>
      </x:c>
      <x:c r="I1877" t="str">
        <x:v>BHM</x:v>
      </x:c>
      <x:c r="J1877" s="23" t="n">
        <x:v>1013</x:v>
      </x:c>
      <x:c r="K1877" s="24" t="n">
        <x:v>0.20927936821322804</x:v>
      </x:c>
      <x:c r="L1877" s="24" t="n">
        <x:v>0.004935834155972359</x:v>
      </x:c>
    </x:row>
    <x:row r="1878">
      <x:c r="G1878" t="str">
        <x:v>ORD-PIT</x:v>
      </x:c>
      <x:c r="H1878" t="str">
        <x:v>ORD</x:v>
      </x:c>
      <x:c r="I1878" t="str">
        <x:v>PIT</x:v>
      </x:c>
      <x:c r="J1878" s="23" t="n">
        <x:v>9298</x:v>
      </x:c>
      <x:c r="K1878" s="24" t="n">
        <x:v>0.2090772209077221</x:v>
      </x:c>
      <x:c r="L1878" s="24" t="n">
        <x:v>0.011400301140030114</x:v>
      </x:c>
    </x:row>
    <x:row r="1879">
      <x:c r="G1879" t="str">
        <x:v>RDU-AUS</x:v>
      </x:c>
      <x:c r="H1879" t="str">
        <x:v>RDU</x:v>
      </x:c>
      <x:c r="I1879" t="str">
        <x:v>AUS</x:v>
      </x:c>
      <x:c r="J1879" s="23" t="n">
        <x:v>3702</x:v>
      </x:c>
      <x:c r="K1879" s="24" t="n">
        <x:v>0.20907617504051865</x:v>
      </x:c>
      <x:c r="L1879" s="24" t="n">
        <x:v>0.004862236628849271</x:v>
      </x:c>
    </x:row>
    <x:row r="1880">
      <x:c r="G1880" t="str">
        <x:v>CHS-PHL</x:v>
      </x:c>
      <x:c r="H1880" t="str">
        <x:v>CHS</x:v>
      </x:c>
      <x:c r="I1880" t="str">
        <x:v>PHL</x:v>
      </x:c>
      <x:c r="J1880" s="23" t="n">
        <x:v>4081</x:v>
      </x:c>
      <x:c r="K1880" s="24" t="n">
        <x:v>0.209017397696643</x:v>
      </x:c>
      <x:c r="L1880" s="24" t="n">
        <x:v>0.018377848566527813</x:v>
      </x:c>
    </x:row>
    <x:row r="1881">
      <x:c r="G1881" t="str">
        <x:v>RSW-MDW</x:v>
      </x:c>
      <x:c r="H1881" t="str">
        <x:v>RSW</x:v>
      </x:c>
      <x:c r="I1881" t="str">
        <x:v>MDW</x:v>
      </x:c>
      <x:c r="J1881" s="23" t="n">
        <x:v>3507</x:v>
      </x:c>
      <x:c r="K1881" s="24" t="n">
        <x:v>0.2090105503279156</x:v>
      </x:c>
      <x:c r="L1881" s="24" t="n">
        <x:v>0.015968063872255488</x:v>
      </x:c>
    </x:row>
    <x:row r="1882">
      <x:c r="G1882" t="str">
        <x:v>EWR-PHX</x:v>
      </x:c>
      <x:c r="H1882" t="str">
        <x:v>EWR</x:v>
      </x:c>
      <x:c r="I1882" t="str">
        <x:v>PHX</x:v>
      </x:c>
      <x:c r="J1882" s="23" t="n">
        <x:v>7853</x:v>
      </x:c>
      <x:c r="K1882" s="24" t="n">
        <x:v>0.2089647268559786</x:v>
      </x:c>
      <x:c r="L1882" s="24" t="n">
        <x:v>0.012224627530879918</x:v>
      </x:c>
    </x:row>
    <x:row r="1883">
      <x:c r="G1883" t="str">
        <x:v>DEN-SNA</x:v>
      </x:c>
      <x:c r="H1883" t="str">
        <x:v>DEN</x:v>
      </x:c>
      <x:c r="I1883" t="str">
        <x:v>SNA</x:v>
      </x:c>
      <x:c r="J1883" s="23" t="n">
        <x:v>11098</x:v>
      </x:c>
      <x:c r="K1883" s="24" t="n">
        <x:v>0.20895656875112634</x:v>
      </x:c>
      <x:c r="L1883" s="24" t="n">
        <x:v>0.007839250315372139</x:v>
      </x:c>
    </x:row>
    <x:row r="1884">
      <x:c r="G1884" t="str">
        <x:v>ATL-SAT</x:v>
      </x:c>
      <x:c r="H1884" t="str">
        <x:v>ATL</x:v>
      </x:c>
      <x:c r="I1884" t="str">
        <x:v>SAT</x:v>
      </x:c>
      <x:c r="J1884" s="23" t="n">
        <x:v>9232</x:v>
      </x:c>
      <x:c r="K1884" s="24" t="n">
        <x:v>0.2089471403812825</x:v>
      </x:c>
      <x:c r="L1884" s="24" t="n">
        <x:v>0.008448873483535528</x:v>
      </x:c>
    </x:row>
    <x:row r="1885">
      <x:c r="G1885" t="str">
        <x:v>PHL-SRQ</x:v>
      </x:c>
      <x:c r="H1885" t="str">
        <x:v>PHL</x:v>
      </x:c>
      <x:c r="I1885" t="str">
        <x:v>SRQ</x:v>
      </x:c>
      <x:c r="J1885" s="23" t="n">
        <x:v>1613</x:v>
      </x:c>
      <x:c r="K1885" s="24" t="n">
        <x:v>0.20892746435213888</x:v>
      </x:c>
      <x:c r="L1885" s="24" t="n">
        <x:v>0.03037817730936144</x:v>
      </x:c>
    </x:row>
    <x:row r="1886">
      <x:c r="G1886" t="str">
        <x:v>DFW-XNA</x:v>
      </x:c>
      <x:c r="H1886" t="str">
        <x:v>DFW</x:v>
      </x:c>
      <x:c r="I1886" t="str">
        <x:v>XNA</x:v>
      </x:c>
      <x:c r="J1886" s="23" t="n">
        <x:v>9574</x:v>
      </x:c>
      <x:c r="K1886" s="24" t="n">
        <x:v>0.20889910173386256</x:v>
      </x:c>
      <x:c r="L1886" s="24" t="n">
        <x:v>0.018383120952579903</x:v>
      </x:c>
    </x:row>
    <x:row r="1887">
      <x:c r="G1887" t="str">
        <x:v>TPA-LAS</x:v>
      </x:c>
      <x:c r="H1887" t="str">
        <x:v>TPA</x:v>
      </x:c>
      <x:c r="I1887" t="str">
        <x:v>LAS</x:v>
      </x:c>
      <x:c r="J1887" s="23" t="n">
        <x:v>3088</x:v>
      </x:c>
      <x:c r="K1887" s="24" t="n">
        <x:v>0.20887305699481865</x:v>
      </x:c>
      <x:c r="L1887" s="24" t="n">
        <x:v>0.01133419689119171</x:v>
      </x:c>
    </x:row>
    <x:row r="1888">
      <x:c r="G1888" t="str">
        <x:v>PIT-TPA</x:v>
      </x:c>
      <x:c r="H1888" t="str">
        <x:v>PIT</x:v>
      </x:c>
      <x:c r="I1888" t="str">
        <x:v>TPA</x:v>
      </x:c>
      <x:c r="J1888" s="23" t="n">
        <x:v>2998</x:v>
      </x:c>
      <x:c r="K1888" s="24" t="n">
        <x:v>0.20880587058038694</x:v>
      </x:c>
      <x:c r="L1888" s="24" t="n">
        <x:v>0.01000667111407605</x:v>
      </x:c>
    </x:row>
    <x:row r="1889">
      <x:c r="G1889" t="str">
        <x:v>MYR-EWR</x:v>
      </x:c>
      <x:c r="H1889" t="str">
        <x:v>MYR</x:v>
      </x:c>
      <x:c r="I1889" t="str">
        <x:v>EWR</x:v>
      </x:c>
      <x:c r="J1889" s="23" t="n">
        <x:v>3295</x:v>
      </x:c>
      <x:c r="K1889" s="24" t="n">
        <x:v>0.2088012139605463</x:v>
      </x:c>
      <x:c r="L1889" s="24" t="n">
        <x:v>0.051593323216995446</x:v>
      </x:c>
    </x:row>
    <x:row r="1890">
      <x:c r="G1890" t="str">
        <x:v>BIS-DFW</x:v>
      </x:c>
      <x:c r="H1890" t="str">
        <x:v>BIS</x:v>
      </x:c>
      <x:c r="I1890" t="str">
        <x:v>DFW</x:v>
      </x:c>
      <x:c r="J1890" s="23" t="n">
        <x:v>1887</x:v>
      </x:c>
      <x:c r="K1890" s="24" t="n">
        <x:v>0.2087970323264441</x:v>
      </x:c>
      <x:c r="L1890" s="24" t="n">
        <x:v>0.005829358770535241</x:v>
      </x:c>
    </x:row>
    <x:row r="1891">
      <x:c r="G1891" t="str">
        <x:v>BGR-EWR</x:v>
      </x:c>
      <x:c r="H1891" t="str">
        <x:v>BGR</x:v>
      </x:c>
      <x:c r="I1891" t="str">
        <x:v>EWR</x:v>
      </x:c>
      <x:c r="J1891" s="23" t="n">
        <x:v>1806</x:v>
      </x:c>
      <x:c r="K1891" s="24" t="n">
        <x:v>0.2087486157253599</x:v>
      </x:c>
      <x:c r="L1891" s="24" t="n">
        <x:v>0.05537098560354374</x:v>
      </x:c>
    </x:row>
    <x:row r="1892">
      <x:c r="G1892" t="str">
        <x:v>DSM-LAS</x:v>
      </x:c>
      <x:c r="H1892" t="str">
        <x:v>DSM</x:v>
      </x:c>
      <x:c r="I1892" t="str">
        <x:v>LAS</x:v>
      </x:c>
      <x:c r="J1892" s="23" t="n">
        <x:v>1581</x:v>
      </x:c>
      <x:c r="K1892" s="24" t="n">
        <x:v>0.20872865275142316</x:v>
      </x:c>
      <x:c r="L1892" s="24" t="n">
        <x:v>0.006957621758380772</x:v>
      </x:c>
    </x:row>
    <x:row r="1893">
      <x:c r="G1893" t="str">
        <x:v>CVG-PHL</x:v>
      </x:c>
      <x:c r="H1893" t="str">
        <x:v>CVG</x:v>
      </x:c>
      <x:c r="I1893" t="str">
        <x:v>PHL</x:v>
      </x:c>
      <x:c r="J1893" s="23" t="n">
        <x:v>3330</x:v>
      </x:c>
      <x:c r="K1893" s="24" t="n">
        <x:v>0.2087087087087087</x:v>
      </x:c>
      <x:c r="L1893" s="24" t="n">
        <x:v>0.015915915915915915</x:v>
      </x:c>
    </x:row>
    <x:row r="1894">
      <x:c r="G1894" t="str">
        <x:v>STL-CLE</x:v>
      </x:c>
      <x:c r="H1894" t="str">
        <x:v>STL</x:v>
      </x:c>
      <x:c r="I1894" t="str">
        <x:v>CLE</x:v>
      </x:c>
      <x:c r="J1894" s="23" t="n">
        <x:v>2113</x:v>
      </x:c>
      <x:c r="K1894" s="24" t="n">
        <x:v>0.20870799810695692</x:v>
      </x:c>
      <x:c r="L1894" s="24" t="n">
        <x:v>0.004259346900141978</x:v>
      </x:c>
    </x:row>
    <x:row r="1895">
      <x:c r="G1895" t="str">
        <x:v>SAT-MCO</x:v>
      </x:c>
      <x:c r="H1895" t="str">
        <x:v>SAT</x:v>
      </x:c>
      <x:c r="I1895" t="str">
        <x:v>MCO</x:v>
      </x:c>
      <x:c r="J1895" s="23" t="n">
        <x:v>3552</x:v>
      </x:c>
      <x:c r="K1895" s="24" t="n">
        <x:v>0.20861486486486486</x:v>
      </x:c>
      <x:c r="L1895" s="24" t="n">
        <x:v>0.01126126126126126</x:v>
      </x:c>
    </x:row>
    <x:row r="1896">
      <x:c r="G1896" t="str">
        <x:v>DCA-STL</x:v>
      </x:c>
      <x:c r="H1896" t="str">
        <x:v>DCA</x:v>
      </x:c>
      <x:c r="I1896" t="str">
        <x:v>STL</x:v>
      </x:c>
      <x:c r="J1896" s="23" t="n">
        <x:v>7009</x:v>
      </x:c>
      <x:c r="K1896" s="24" t="n">
        <x:v>0.2085889570552147</x:v>
      </x:c>
      <x:c r="L1896" s="24" t="n">
        <x:v>0.018690255385932372</x:v>
      </x:c>
    </x:row>
    <x:row r="1897">
      <x:c r="G1897" t="str">
        <x:v>AUS-CLT</x:v>
      </x:c>
      <x:c r="H1897" t="str">
        <x:v>AUS</x:v>
      </x:c>
      <x:c r="I1897" t="str">
        <x:v>CLT</x:v>
      </x:c>
      <x:c r="J1897" s="23" t="n">
        <x:v>5542</x:v>
      </x:c>
      <x:c r="K1897" s="24" t="n">
        <x:v>0.2085889570552147</x:v>
      </x:c>
      <x:c r="L1897" s="24" t="n">
        <x:v>0.011909058101768314</x:v>
      </x:c>
    </x:row>
    <x:row r="1898">
      <x:c r="G1898" t="str">
        <x:v>SFO-ACV</x:v>
      </x:c>
      <x:c r="H1898" t="str">
        <x:v>SFO</x:v>
      </x:c>
      <x:c r="I1898" t="str">
        <x:v>ACV</x:v>
      </x:c>
      <x:c r="J1898" s="23" t="n">
        <x:v>3308</x:v>
      </x:c>
      <x:c r="K1898" s="24" t="n">
        <x:v>0.20858524788391777</x:v>
      </x:c>
      <x:c r="L1898" s="24" t="n">
        <x:v>0.022067714631197097</x:v>
      </x:c>
    </x:row>
    <x:row r="1899">
      <x:c r="G1899" t="str">
        <x:v>SYR-ORD</x:v>
      </x:c>
      <x:c r="H1899" t="str">
        <x:v>SYR</x:v>
      </x:c>
      <x:c r="I1899" t="str">
        <x:v>ORD</x:v>
      </x:c>
      <x:c r="J1899" s="23" t="n">
        <x:v>5323</x:v>
      </x:c>
      <x:c r="K1899" s="24" t="n">
        <x:v>0.2085290249859102</x:v>
      </x:c>
      <x:c r="L1899" s="24" t="n">
        <x:v>0.015968438850272403</x:v>
      </x:c>
    </x:row>
    <x:row r="1900">
      <x:c r="G1900" t="str">
        <x:v>IAH-MEI</x:v>
      </x:c>
      <x:c r="H1900" t="str">
        <x:v>IAH</x:v>
      </x:c>
      <x:c r="I1900" t="str">
        <x:v>MEI</x:v>
      </x:c>
      <x:c r="J1900" s="23" t="n">
        <x:v>1554</x:v>
      </x:c>
      <x:c r="K1900" s="24" t="n">
        <x:v>0.2084942084942085</x:v>
      </x:c>
      <x:c r="L1900" s="24" t="n">
        <x:v>0.019305019305019305</x:v>
      </x:c>
    </x:row>
    <x:row r="1901">
      <x:c r="G1901" t="str">
        <x:v>TPA-ATL</x:v>
      </x:c>
      <x:c r="H1901" t="str">
        <x:v>TPA</x:v>
      </x:c>
      <x:c r="I1901" t="str">
        <x:v>ATL</x:v>
      </x:c>
      <x:c r="J1901" s="23" t="n">
        <x:v>19547</x:v>
      </x:c>
      <x:c r="K1901" s="24" t="n">
        <x:v>0.20842072952371207</x:v>
      </x:c>
      <x:c r="L1901" s="24" t="n">
        <x:v>0.015194147439504783</x:v>
      </x:c>
    </x:row>
    <x:row r="1902">
      <x:c r="G1902" t="str">
        <x:v>SAV-JFK</x:v>
      </x:c>
      <x:c r="H1902" t="str">
        <x:v>SAV</x:v>
      </x:c>
      <x:c r="I1902" t="str">
        <x:v>JFK</x:v>
      </x:c>
      <x:c r="J1902" s="23" t="n">
        <x:v>3968</x:v>
      </x:c>
      <x:c r="K1902" s="24" t="n">
        <x:v>0.2084173387096774</x:v>
      </x:c>
      <x:c r="L1902" s="24" t="n">
        <x:v>0.030997983870967742</x:v>
      </x:c>
    </x:row>
    <x:row r="1903">
      <x:c r="G1903" t="str">
        <x:v>RDU-BOS</x:v>
      </x:c>
      <x:c r="H1903" t="str">
        <x:v>RDU</x:v>
      </x:c>
      <x:c r="I1903" t="str">
        <x:v>BOS</x:v>
      </x:c>
      <x:c r="J1903" s="23" t="n">
        <x:v>8964</x:v>
      </x:c>
      <x:c r="K1903" s="24" t="n">
        <x:v>0.20838911200356983</x:v>
      </x:c>
      <x:c r="L1903" s="24" t="n">
        <x:v>0.015952699687639446</x:v>
      </x:c>
    </x:row>
    <x:row r="1904">
      <x:c r="G1904" t="str">
        <x:v>LIT-CLT</x:v>
      </x:c>
      <x:c r="H1904" t="str">
        <x:v>LIT</x:v>
      </x:c>
      <x:c r="I1904" t="str">
        <x:v>CLT</x:v>
      </x:c>
      <x:c r="J1904" s="23" t="n">
        <x:v>3494</x:v>
      </x:c>
      <x:c r="K1904" s="24" t="n">
        <x:v>0.20835718374356038</x:v>
      </x:c>
      <x:c r="L1904" s="24" t="n">
        <x:v>0.01688609044075558</x:v>
      </x:c>
    </x:row>
    <x:row r="1905">
      <x:c r="G1905" t="str">
        <x:v>DEN-GTF</x:v>
      </x:c>
      <x:c r="H1905" t="str">
        <x:v>DEN</x:v>
      </x:c>
      <x:c r="I1905" t="str">
        <x:v>GTF</x:v>
      </x:c>
      <x:c r="J1905" s="23" t="n">
        <x:v>2189</x:v>
      </x:c>
      <x:c r="K1905" s="24" t="n">
        <x:v>0.20831429876656007</x:v>
      </x:c>
      <x:c r="L1905" s="24" t="n">
        <x:v>0.010507080858839652</x:v>
      </x:c>
    </x:row>
    <x:row r="1906">
      <x:c r="G1906" t="str">
        <x:v>DTW-GRR</x:v>
      </x:c>
      <x:c r="H1906" t="str">
        <x:v>DTW</x:v>
      </x:c>
      <x:c r="I1906" t="str">
        <x:v>GRR</x:v>
      </x:c>
      <x:c r="J1906" s="23" t="n">
        <x:v>4388</x:v>
      </x:c>
      <x:c r="K1906" s="24" t="n">
        <x:v>0.20829535095715587</x:v>
      </x:c>
      <x:c r="L1906" s="24" t="n">
        <x:v>0.008432087511394713</x:v>
      </x:c>
    </x:row>
    <x:row r="1907">
      <x:c r="G1907" t="str">
        <x:v>PHX-DEN</x:v>
      </x:c>
      <x:c r="H1907" t="str">
        <x:v>PHX</x:v>
      </x:c>
      <x:c r="I1907" t="str">
        <x:v>DEN</x:v>
      </x:c>
      <x:c r="J1907" s="23" t="n">
        <x:v>27736</x:v>
      </x:c>
      <x:c r="K1907" s="24" t="n">
        <x:v>0.2082492068070378</x:v>
      </x:c>
      <x:c r="L1907" s="24" t="n">
        <x:v>0.011104701471012402</x:v>
      </x:c>
    </x:row>
    <x:row r="1908">
      <x:c r="G1908" t="str">
        <x:v>PIT-MIA</x:v>
      </x:c>
      <x:c r="H1908" t="str">
        <x:v>PIT</x:v>
      </x:c>
      <x:c r="I1908" t="str">
        <x:v>MIA</x:v>
      </x:c>
      <x:c r="J1908" s="23" t="n">
        <x:v>1897</x:v>
      </x:c>
      <x:c r="K1908" s="24" t="n">
        <x:v>0.20822351080653664</x:v>
      </x:c>
      <x:c r="L1908" s="24" t="n">
        <x:v>0.006852925672113864</x:v>
      </x:c>
    </x:row>
    <x:row r="1909">
      <x:c r="G1909" t="str">
        <x:v>PHX-EUG</x:v>
      </x:c>
      <x:c r="H1909" t="str">
        <x:v>PHX</x:v>
      </x:c>
      <x:c r="I1909" t="str">
        <x:v>EUG</x:v>
      </x:c>
      <x:c r="J1909" s="23" t="n">
        <x:v>1657</x:v>
      </x:c>
      <x:c r="K1909" s="24" t="n">
        <x:v>0.20820760410380204</x:v>
      </x:c>
      <x:c r="L1909" s="24" t="n">
        <x:v>0.004828002414001207</x:v>
      </x:c>
    </x:row>
    <x:row r="1910">
      <x:c r="G1910" t="str">
        <x:v>MSP-MCO</x:v>
      </x:c>
      <x:c r="H1910" t="str">
        <x:v>MSP</x:v>
      </x:c>
      <x:c r="I1910" t="str">
        <x:v>MCO</x:v>
      </x:c>
      <x:c r="J1910" s="23" t="n">
        <x:v>6087</x:v>
      </x:c>
      <x:c r="K1910" s="24" t="n">
        <x:v>0.20814851322490555</x:v>
      </x:c>
      <x:c r="L1910" s="24" t="n">
        <x:v>0.011828486939379004</x:v>
      </x:c>
    </x:row>
    <x:row r="1911">
      <x:c r="G1911" t="str">
        <x:v>SJU-BWI</x:v>
      </x:c>
      <x:c r="H1911" t="str">
        <x:v>SJU</x:v>
      </x:c>
      <x:c r="I1911" t="str">
        <x:v>BWI</x:v>
      </x:c>
      <x:c r="J1911" s="23" t="n">
        <x:v>4055</x:v>
      </x:c>
      <x:c r="K1911" s="24" t="n">
        <x:v>0.20813810110974107</x:v>
      </x:c>
      <x:c r="L1911" s="24" t="n">
        <x:v>0.010850801479654747</x:v>
      </x:c>
    </x:row>
    <x:row r="1912">
      <x:c r="G1912" t="str">
        <x:v>MCI-LAX</x:v>
      </x:c>
      <x:c r="H1912" t="str">
        <x:v>MCI</x:v>
      </x:c>
      <x:c r="I1912" t="str">
        <x:v>LAX</x:v>
      </x:c>
      <x:c r="J1912" s="23" t="n">
        <x:v>3916</x:v>
      </x:c>
      <x:c r="K1912" s="24" t="n">
        <x:v>0.208120531154239</x:v>
      </x:c>
      <x:c r="L1912" s="24" t="n">
        <x:v>0.008171603677221655</x:v>
      </x:c>
    </x:row>
    <x:row r="1913">
      <x:c r="G1913" t="str">
        <x:v>SNA-AUS</x:v>
      </x:c>
      <x:c r="H1913" t="str">
        <x:v>SNA</x:v>
      </x:c>
      <x:c r="I1913" t="str">
        <x:v>AUS</x:v>
      </x:c>
      <x:c r="J1913" s="23" t="n">
        <x:v>1903</x:v>
      </x:c>
      <x:c r="K1913" s="24" t="n">
        <x:v>0.20809248554913296</x:v>
      </x:c>
      <x:c r="L1913" s="24" t="n">
        <x:v>0.007882291119285338</x:v>
      </x:c>
    </x:row>
    <x:row r="1914">
      <x:c r="G1914" t="str">
        <x:v>PHX-SAT</x:v>
      </x:c>
      <x:c r="H1914" t="str">
        <x:v>PHX</x:v>
      </x:c>
      <x:c r="I1914" t="str">
        <x:v>SAT</x:v>
      </x:c>
      <x:c r="J1914" s="23" t="n">
        <x:v>7690</x:v>
      </x:c>
      <x:c r="K1914" s="24" t="n">
        <x:v>0.20806241872561768</x:v>
      </x:c>
      <x:c r="L1914" s="24" t="n">
        <x:v>0.0037711313394018205</x:v>
      </x:c>
    </x:row>
    <x:row r="1915">
      <x:c r="G1915" t="str">
        <x:v>HOU-SAN</x:v>
      </x:c>
      <x:c r="H1915" t="str">
        <x:v>HOU</x:v>
      </x:c>
      <x:c r="I1915" t="str">
        <x:v>SAN</x:v>
      </x:c>
      <x:c r="J1915" s="23" t="n">
        <x:v>2437</x:v>
      </x:c>
      <x:c r="K1915" s="24" t="n">
        <x:v>0.2080426754205991</x:v>
      </x:c>
      <x:c r="L1915" s="24" t="n">
        <x:v>0.006975789905621666</x:v>
      </x:c>
    </x:row>
    <x:row r="1916">
      <x:c r="G1916" t="str">
        <x:v>IAD-ORD</x:v>
      </x:c>
      <x:c r="H1916" t="str">
        <x:v>IAD</x:v>
      </x:c>
      <x:c r="I1916" t="str">
        <x:v>ORD</x:v>
      </x:c>
      <x:c r="J1916" s="23" t="n">
        <x:v>5341</x:v>
      </x:c>
      <x:c r="K1916" s="24" t="n">
        <x:v>0.20801348062160643</x:v>
      </x:c>
      <x:c r="L1916" s="24" t="n">
        <x:v>0.007863695937090432</x:v>
      </x:c>
    </x:row>
    <x:row r="1917">
      <x:c r="G1917" t="str">
        <x:v>IAH-MDW</x:v>
      </x:c>
      <x:c r="H1917" t="str">
        <x:v>IAH</x:v>
      </x:c>
      <x:c r="I1917" t="str">
        <x:v>MDW</x:v>
      </x:c>
      <x:c r="J1917" s="23" t="n">
        <x:v>1505</x:v>
      </x:c>
      <x:c r="K1917" s="24" t="n">
        <x:v>0.2079734219269103</x:v>
      </x:c>
      <x:c r="L1917" s="24" t="n">
        <x:v>0.011960132890365448</x:v>
      </x:c>
    </x:row>
    <x:row r="1918">
      <x:c r="G1918" t="str">
        <x:v>DCA-DEN</x:v>
      </x:c>
      <x:c r="H1918" t="str">
        <x:v>DCA</x:v>
      </x:c>
      <x:c r="I1918" t="str">
        <x:v>DEN</x:v>
      </x:c>
      <x:c r="J1918" s="23" t="n">
        <x:v>4309</x:v>
      </x:c>
      <x:c r="K1918" s="24" t="n">
        <x:v>0.20793687630540728</x:v>
      </x:c>
      <x:c r="L1918" s="24" t="n">
        <x:v>0.01206776514272453</x:v>
      </x:c>
    </x:row>
    <x:row r="1919">
      <x:c r="G1919" t="str">
        <x:v>SLC-MIA</x:v>
      </x:c>
      <x:c r="H1919" t="str">
        <x:v>SLC</x:v>
      </x:c>
      <x:c r="I1919" t="str">
        <x:v>MIA</x:v>
      </x:c>
      <x:c r="J1919" s="23" t="n">
        <x:v>1751</x:v>
      </x:c>
      <x:c r="K1919" s="24" t="n">
        <x:v>0.20788121073672186</x:v>
      </x:c>
      <x:c r="L1919" s="24" t="n">
        <x:v>0.0057110222729868645</x:v>
      </x:c>
    </x:row>
    <x:row r="1920">
      <x:c r="G1920" t="str">
        <x:v>OAK-DAL</x:v>
      </x:c>
      <x:c r="H1920" t="str">
        <x:v>OAK</x:v>
      </x:c>
      <x:c r="I1920" t="str">
        <x:v>DAL</x:v>
      </x:c>
      <x:c r="J1920" s="23" t="n">
        <x:v>1891</x:v>
      </x:c>
      <x:c r="K1920" s="24" t="n">
        <x:v>0.2078265468006346</x:v>
      </x:c>
      <x:c r="L1920" s="24" t="n">
        <x:v>0.004230565838180857</x:v>
      </x:c>
    </x:row>
    <x:row r="1921">
      <x:c r="G1921" t="str">
        <x:v>JAX-PHL</x:v>
      </x:c>
      <x:c r="H1921" t="str">
        <x:v>JAX</x:v>
      </x:c>
      <x:c r="I1921" t="str">
        <x:v>PHL</x:v>
      </x:c>
      <x:c r="J1921" s="23" t="n">
        <x:v>4629</x:v>
      </x:c>
      <x:c r="K1921" s="24" t="n">
        <x:v>0.2078202635558436</x:v>
      </x:c>
      <x:c r="L1921" s="24" t="n">
        <x:v>0.01793043853964139</x:v>
      </x:c>
    </x:row>
    <x:row r="1922">
      <x:c r="G1922" t="str">
        <x:v>LGA-SRQ</x:v>
      </x:c>
      <x:c r="H1922" t="str">
        <x:v>LGA</x:v>
      </x:c>
      <x:c r="I1922" t="str">
        <x:v>SRQ</x:v>
      </x:c>
      <x:c r="J1922" s="23" t="n">
        <x:v>1954</x:v>
      </x:c>
      <x:c r="K1922" s="24" t="n">
        <x:v>0.20777891504605936</x:v>
      </x:c>
      <x:c r="L1922" s="24" t="n">
        <x:v>0.02098259979529171</x:v>
      </x:c>
    </x:row>
    <x:row r="1923">
      <x:c r="G1923" t="str">
        <x:v>MDW-CLE</x:v>
      </x:c>
      <x:c r="H1923" t="str">
        <x:v>MDW</x:v>
      </x:c>
      <x:c r="I1923" t="str">
        <x:v>CLE</x:v>
      </x:c>
      <x:c r="J1923" s="23" t="n">
        <x:v>3783</x:v>
      </x:c>
      <x:c r="K1923" s="24" t="n">
        <x:v>0.20777160983346551</x:v>
      </x:c>
      <x:c r="L1923" s="24" t="n">
        <x:v>0.010573618821041502</x:v>
      </x:c>
    </x:row>
    <x:row r="1924">
      <x:c r="G1924" t="str">
        <x:v>LEX-DFW</x:v>
      </x:c>
      <x:c r="H1924" t="str">
        <x:v>LEX</x:v>
      </x:c>
      <x:c r="I1924" t="str">
        <x:v>DFW</x:v>
      </x:c>
      <x:c r="J1924" s="23" t="n">
        <x:v>3302</x:v>
      </x:c>
      <x:c r="K1924" s="24" t="n">
        <x:v>0.20775287704421563</x:v>
      </x:c>
      <x:c r="L1924" s="24" t="n">
        <x:v>0.019987886129618413</x:v>
      </x:c>
    </x:row>
    <x:row r="1925">
      <x:c r="G1925" t="str">
        <x:v>BOS-SAV</x:v>
      </x:c>
      <x:c r="H1925" t="str">
        <x:v>BOS</x:v>
      </x:c>
      <x:c r="I1925" t="str">
        <x:v>SAV</x:v>
      </x:c>
      <x:c r="J1925" s="23" t="n">
        <x:v>2296</x:v>
      </x:c>
      <x:c r="K1925" s="24" t="n">
        <x:v>0.2077526132404181</x:v>
      </x:c>
      <x:c r="L1925" s="24" t="n">
        <x:v>0.009146341463414634</x:v>
      </x:c>
    </x:row>
    <x:row r="1926">
      <x:c r="G1926" t="str">
        <x:v>PHL-ATL</x:v>
      </x:c>
      <x:c r="H1926" t="str">
        <x:v>PHL</x:v>
      </x:c>
      <x:c r="I1926" t="str">
        <x:v>ATL</x:v>
      </x:c>
      <x:c r="J1926" s="23" t="n">
        <x:v>17272</x:v>
      </x:c>
      <x:c r="K1926" s="24" t="n">
        <x:v>0.20773506252894858</x:v>
      </x:c>
      <x:c r="L1926" s="24" t="n">
        <x:v>0.012911069939786938</x:v>
      </x:c>
    </x:row>
    <x:row r="1927">
      <x:c r="G1927" t="str">
        <x:v>DCA-ILM</x:v>
      </x:c>
      <x:c r="H1927" t="str">
        <x:v>DCA</x:v>
      </x:c>
      <x:c r="I1927" t="str">
        <x:v>ILM</x:v>
      </x:c>
      <x:c r="J1927" s="23" t="n">
        <x:v>2417</x:v>
      </x:c>
      <x:c r="K1927" s="24" t="n">
        <x:v>0.20769549027720313</x:v>
      </x:c>
      <x:c r="L1927" s="24" t="n">
        <x:v>0.03475382705833678</x:v>
      </x:c>
    </x:row>
    <x:row r="1928">
      <x:c r="G1928" t="str">
        <x:v>PWM-PHL</x:v>
      </x:c>
      <x:c r="H1928" t="str">
        <x:v>PWM</x:v>
      </x:c>
      <x:c r="I1928" t="str">
        <x:v>PHL</x:v>
      </x:c>
      <x:c r="J1928" s="23" t="n">
        <x:v>2475</x:v>
      </x:c>
      <x:c r="K1928" s="24" t="n">
        <x:v>0.20767676767676768</x:v>
      </x:c>
      <x:c r="L1928" s="24" t="n">
        <x:v>0.021414141414141413</x:v>
      </x:c>
    </x:row>
    <x:row r="1929">
      <x:c r="G1929" t="str">
        <x:v>ATL-DTW</x:v>
      </x:c>
      <x:c r="H1929" t="str">
        <x:v>ATL</x:v>
      </x:c>
      <x:c r="I1929" t="str">
        <x:v>DTW</x:v>
      </x:c>
      <x:c r="J1929" s="23" t="n">
        <x:v>15251</x:v>
      </x:c>
      <x:c r="K1929" s="24" t="n">
        <x:v>0.20759294472493606</x:v>
      </x:c>
      <x:c r="L1929" s="24" t="n">
        <x:v>0.007015933381417612</x:v>
      </x:c>
    </x:row>
    <x:row r="1930">
      <x:c r="G1930" t="str">
        <x:v>MCI-DCA</x:v>
      </x:c>
      <x:c r="H1930" t="str">
        <x:v>MCI</x:v>
      </x:c>
      <x:c r="I1930" t="str">
        <x:v>DCA</x:v>
      </x:c>
      <x:c r="J1930" s="23" t="n">
        <x:v>5641</x:v>
      </x:c>
      <x:c r="K1930" s="24" t="n">
        <x:v>0.2075873072150328</x:v>
      </x:c>
      <x:c r="L1930" s="24" t="n">
        <x:v>0.0203864563020741</x:v>
      </x:c>
    </x:row>
    <x:row r="1931">
      <x:c r="G1931" t="str">
        <x:v>CHO-LGA</x:v>
      </x:c>
      <x:c r="H1931" t="str">
        <x:v>CHO</x:v>
      </x:c>
      <x:c r="I1931" t="str">
        <x:v>LGA</x:v>
      </x:c>
      <x:c r="J1931" s="23" t="n">
        <x:v>3223</x:v>
      </x:c>
      <x:c r="K1931" s="24" t="n">
        <x:v>0.20757058641017687</x:v>
      </x:c>
      <x:c r="L1931" s="24" t="n">
        <x:v>0.04219671113869066</x:v>
      </x:c>
    </x:row>
    <x:row r="1932">
      <x:c r="G1932" t="str">
        <x:v>BWI-BNA</x:v>
      </x:c>
      <x:c r="H1932" t="str">
        <x:v>BWI</x:v>
      </x:c>
      <x:c r="I1932" t="str">
        <x:v>BNA</x:v>
      </x:c>
      <x:c r="J1932" s="23" t="n">
        <x:v>5811</x:v>
      </x:c>
      <x:c r="K1932" s="24" t="n">
        <x:v>0.20753742901393907</x:v>
      </x:c>
      <x:c r="L1932" s="24" t="n">
        <x:v>0.009464808122526243</x:v>
      </x:c>
    </x:row>
    <x:row r="1933">
      <x:c r="G1933" t="str">
        <x:v>TPA-CLT</x:v>
      </x:c>
      <x:c r="H1933" t="str">
        <x:v>TPA</x:v>
      </x:c>
      <x:c r="I1933" t="str">
        <x:v>CLT</x:v>
      </x:c>
      <x:c r="J1933" s="23" t="n">
        <x:v>10707</x:v>
      </x:c>
      <x:c r="K1933" s="24" t="n">
        <x:v>0.20752778556084805</x:v>
      </x:c>
      <x:c r="L1933" s="24" t="n">
        <x:v>0.018866162323713458</x:v>
      </x:c>
    </x:row>
    <x:row r="1934">
      <x:c r="G1934" t="str">
        <x:v>PDX-MCO</x:v>
      </x:c>
      <x:c r="H1934" t="str">
        <x:v>PDX</x:v>
      </x:c>
      <x:c r="I1934" t="str">
        <x:v>MCO</x:v>
      </x:c>
      <x:c r="J1934" s="23" t="n">
        <x:v>1412</x:v>
      </x:c>
      <x:c r="K1934" s="24" t="n">
        <x:v>0.2075070821529745</x:v>
      </x:c>
      <x:c r="L1934" s="24" t="n">
        <x:v>0.0113314447592068</x:v>
      </x:c>
    </x:row>
    <x:row r="1935">
      <x:c r="G1935" t="str">
        <x:v>COS-DEN</x:v>
      </x:c>
      <x:c r="H1935" t="str">
        <x:v>COS</x:v>
      </x:c>
      <x:c r="I1935" t="str">
        <x:v>DEN</x:v>
      </x:c>
      <x:c r="J1935" s="23" t="n">
        <x:v>14555</x:v>
      </x:c>
      <x:c r="K1935" s="24" t="n">
        <x:v>0.2074888354517348</x:v>
      </x:c>
      <x:c r="L1935" s="24" t="n">
        <x:v>0.017176228100309172</x:v>
      </x:c>
    </x:row>
    <x:row r="1936">
      <x:c r="G1936" t="str">
        <x:v>BDL-FLL</x:v>
      </x:c>
      <x:c r="H1936" t="str">
        <x:v>BDL</x:v>
      </x:c>
      <x:c r="I1936" t="str">
        <x:v>FLL</x:v>
      </x:c>
      <x:c r="J1936" s="23" t="n">
        <x:v>2193</x:v>
      </x:c>
      <x:c r="K1936" s="24" t="n">
        <x:v>0.20747834017327862</x:v>
      </x:c>
      <x:c r="L1936" s="24" t="n">
        <x:v>0.013223894208846329</x:v>
      </x:c>
    </x:row>
    <x:row r="1937">
      <x:c r="G1937" t="str">
        <x:v>DEN-LIH</x:v>
      </x:c>
      <x:c r="H1937" t="str">
        <x:v>DEN</x:v>
      </x:c>
      <x:c r="I1937" t="str">
        <x:v>LIH</x:v>
      </x:c>
      <x:c r="J1937" s="23" t="n">
        <x:v>1128</x:v>
      </x:c>
      <x:c r="K1937" s="24" t="n">
        <x:v>0.2074468085106383</x:v>
      </x:c>
      <x:c r="L1937" s="24" t="n">
        <x:v>0.0062056737588652485</x:v>
      </x:c>
    </x:row>
    <x:row r="1938">
      <x:c r="G1938" t="str">
        <x:v>TPA-ORD</x:v>
      </x:c>
      <x:c r="H1938" t="str">
        <x:v>TPA</x:v>
      </x:c>
      <x:c r="I1938" t="str">
        <x:v>ORD</x:v>
      </x:c>
      <x:c r="J1938" s="23" t="n">
        <x:v>9388</x:v>
      </x:c>
      <x:c r="K1938" s="24" t="n">
        <x:v>0.2073924158500213</x:v>
      </x:c>
      <x:c r="L1938" s="24" t="n">
        <x:v>0.015445249254367277</x:v>
      </x:c>
    </x:row>
    <x:row r="1939">
      <x:c r="G1939" t="str">
        <x:v>ATL-ELP</x:v>
      </x:c>
      <x:c r="H1939" t="str">
        <x:v>ATL</x:v>
      </x:c>
      <x:c r="I1939" t="str">
        <x:v>ELP</x:v>
      </x:c>
      <x:c r="J1939" s="23" t="n">
        <x:v>2113</x:v>
      </x:c>
      <x:c r="K1939" s="24" t="n">
        <x:v>0.20728821580690962</x:v>
      </x:c>
      <x:c r="L1939" s="24" t="n">
        <x:v>0.007572172266919072</x:v>
      </x:c>
    </x:row>
    <x:row r="1940">
      <x:c r="G1940" t="str">
        <x:v>DCA-LAS</x:v>
      </x:c>
      <x:c r="H1940" t="str">
        <x:v>DCA</x:v>
      </x:c>
      <x:c r="I1940" t="str">
        <x:v>LAS</x:v>
      </x:c>
      <x:c r="J1940" s="23" t="n">
        <x:v>1409</x:v>
      </x:c>
      <x:c r="K1940" s="24" t="n">
        <x:v>0.20723917672107878</x:v>
      </x:c>
      <x:c r="L1940" s="24" t="n">
        <x:v>0.0063875088715401</x:v>
      </x:c>
    </x:row>
    <x:row r="1941">
      <x:c r="G1941" t="str">
        <x:v>PDX-ANC</x:v>
      </x:c>
      <x:c r="H1941" t="str">
        <x:v>PDX</x:v>
      </x:c>
      <x:c r="I1941" t="str">
        <x:v>ANC</x:v>
      </x:c>
      <x:c r="J1941" s="23" t="n">
        <x:v>1742</x:v>
      </x:c>
      <x:c r="K1941" s="24" t="n">
        <x:v>0.20723306544202066</x:v>
      </x:c>
      <x:c r="L1941" s="24" t="n">
        <x:v>0.007462686567164179</x:v>
      </x:c>
    </x:row>
    <x:row r="1942">
      <x:c r="G1942" t="str">
        <x:v>DEN-JAC</x:v>
      </x:c>
      <x:c r="H1942" t="str">
        <x:v>DEN</x:v>
      </x:c>
      <x:c r="I1942" t="str">
        <x:v>JAC</x:v>
      </x:c>
      <x:c r="J1942" s="23" t="n">
        <x:v>4488</x:v>
      </x:c>
      <x:c r="K1942" s="24" t="n">
        <x:v>0.2072192513368984</x:v>
      </x:c>
      <x:c r="L1942" s="24" t="n">
        <x:v>0.009358288770053475</x:v>
      </x:c>
    </x:row>
    <x:row r="1943">
      <x:c r="G1943" t="str">
        <x:v>SAV-BNA</x:v>
      </x:c>
      <x:c r="H1943" t="str">
        <x:v>SAV</x:v>
      </x:c>
      <x:c r="I1943" t="str">
        <x:v>BNA</x:v>
      </x:c>
      <x:c r="J1943" s="23" t="n">
        <x:v>1974</x:v>
      </x:c>
      <x:c r="K1943" s="24" t="n">
        <x:v>0.207193515704154</x:v>
      </x:c>
      <x:c r="L1943" s="24" t="n">
        <x:v>0.0070921985815602835</x:v>
      </x:c>
    </x:row>
    <x:row r="1944">
      <x:c r="G1944" t="str">
        <x:v>SFO-BUR</x:v>
      </x:c>
      <x:c r="H1944" t="str">
        <x:v>SFO</x:v>
      </x:c>
      <x:c r="I1944" t="str">
        <x:v>BUR</x:v>
      </x:c>
      <x:c r="J1944" s="23" t="n">
        <x:v>9204</x:v>
      </x:c>
      <x:c r="K1944" s="24" t="n">
        <x:v>0.20719252498913515</x:v>
      </x:c>
      <x:c r="L1944" s="24" t="n">
        <x:v>0.013689700130378096</x:v>
      </x:c>
    </x:row>
    <x:row r="1945">
      <x:c r="G1945" t="str">
        <x:v>DFW-ABI</x:v>
      </x:c>
      <x:c r="H1945" t="str">
        <x:v>DFW</x:v>
      </x:c>
      <x:c r="I1945" t="str">
        <x:v>ABI</x:v>
      </x:c>
      <x:c r="J1945" s="23" t="n">
        <x:v>4880</x:v>
      </x:c>
      <x:c r="K1945" s="24" t="n">
        <x:v>0.207172131147541</x:v>
      </x:c>
      <x:c r="L1945" s="24" t="n">
        <x:v>0.015778688524590165</x:v>
      </x:c>
    </x:row>
    <x:row r="1946">
      <x:c r="G1946" t="str">
        <x:v>JFK-PWM</x:v>
      </x:c>
      <x:c r="H1946" t="str">
        <x:v>JFK</x:v>
      </x:c>
      <x:c r="I1946" t="str">
        <x:v>PWM</x:v>
      </x:c>
      <x:c r="J1946" s="23" t="n">
        <x:v>2650</x:v>
      </x:c>
      <x:c r="K1946" s="24" t="n">
        <x:v>0.2071698113207547</x:v>
      </x:c>
      <x:c r="L1946" s="24" t="n">
        <x:v>0.04452830188679245</x:v>
      </x:c>
    </x:row>
    <x:row r="1947">
      <x:c r="G1947" t="str">
        <x:v>MCO-MSP</x:v>
      </x:c>
      <x:c r="H1947" t="str">
        <x:v>MCO</x:v>
      </x:c>
      <x:c r="I1947" t="str">
        <x:v>MSP</x:v>
      </x:c>
      <x:c r="J1947" s="23" t="n">
        <x:v>6088</x:v>
      </x:c>
      <x:c r="K1947" s="24" t="n">
        <x:v>0.2071287779237845</x:v>
      </x:c>
      <x:c r="L1947" s="24" t="n">
        <x:v>0.011005256241787123</x:v>
      </x:c>
    </x:row>
    <x:row r="1948">
      <x:c r="G1948" t="str">
        <x:v>BUF-DEN</x:v>
      </x:c>
      <x:c r="H1948" t="str">
        <x:v>BUF</x:v>
      </x:c>
      <x:c r="I1948" t="str">
        <x:v>DEN</x:v>
      </x:c>
      <x:c r="J1948" s="23" t="n">
        <x:v>1347</x:v>
      </x:c>
      <x:c r="K1948" s="24" t="n">
        <x:v>0.2071269487750557</x:v>
      </x:c>
      <x:c r="L1948" s="24" t="n">
        <x:v>0.008908685968819599</x:v>
      </x:c>
    </x:row>
    <x:row r="1949">
      <x:c r="G1949" t="str">
        <x:v>MSP-PSC</x:v>
      </x:c>
      <x:c r="H1949" t="str">
        <x:v>MSP</x:v>
      </x:c>
      <x:c r="I1949" t="str">
        <x:v>PSC</x:v>
      </x:c>
      <x:c r="J1949" s="23" t="n">
        <x:v>1096</x:v>
      </x:c>
      <x:c r="K1949" s="24" t="n">
        <x:v>0.2071167883211679</x:v>
      </x:c>
      <x:c r="L1949" s="24" t="n">
        <x:v>0.0036496350364963502</x:v>
      </x:c>
    </x:row>
    <x:row r="1950">
      <x:c r="G1950" t="str">
        <x:v>LBB-LAS</x:v>
      </x:c>
      <x:c r="H1950" t="str">
        <x:v>LBB</x:v>
      </x:c>
      <x:c r="I1950" t="str">
        <x:v>LAS</x:v>
      </x:c>
      <x:c r="J1950" s="23" t="n">
        <x:v>1096</x:v>
      </x:c>
      <x:c r="K1950" s="24" t="n">
        <x:v>0.2071167883211679</x:v>
      </x:c>
      <x:c r="L1950" s="24" t="n">
        <x:v>0.002737226277372263</x:v>
      </x:c>
    </x:row>
    <x:row r="1951">
      <x:c r="G1951" t="str">
        <x:v>LGA-ATL</x:v>
      </x:c>
      <x:c r="H1951" t="str">
        <x:v>LGA</x:v>
      </x:c>
      <x:c r="I1951" t="str">
        <x:v>ATL</x:v>
      </x:c>
      <x:c r="J1951" s="23" t="n">
        <x:v>23734</x:v>
      </x:c>
      <x:c r="K1951" s="24" t="n">
        <x:v>0.20700261228617173</x:v>
      </x:c>
      <x:c r="L1951" s="24" t="n">
        <x:v>0.018623072385607144</x:v>
      </x:c>
    </x:row>
    <x:row r="1952">
      <x:c r="G1952" t="str">
        <x:v>DFW-HSV</x:v>
      </x:c>
      <x:c r="H1952" t="str">
        <x:v>DFW</x:v>
      </x:c>
      <x:c r="I1952" t="str">
        <x:v>HSV</x:v>
      </x:c>
      <x:c r="J1952" s="23" t="n">
        <x:v>5989</x:v>
      </x:c>
      <x:c r="K1952" s="24" t="n">
        <x:v>0.20687927867757555</x:v>
      </x:c>
      <x:c r="L1952" s="24" t="n">
        <x:v>0.024878944732008683</x:v>
      </x:c>
    </x:row>
    <x:row r="1953">
      <x:c r="G1953" t="str">
        <x:v>BHM-ORD</x:v>
      </x:c>
      <x:c r="H1953" t="str">
        <x:v>BHM</x:v>
      </x:c>
      <x:c r="I1953" t="str">
        <x:v>ORD</x:v>
      </x:c>
      <x:c r="J1953" s="23" t="n">
        <x:v>2098</x:v>
      </x:c>
      <x:c r="K1953" s="24" t="n">
        <x:v>0.20686367969494757</x:v>
      </x:c>
      <x:c r="L1953" s="24" t="n">
        <x:v>0.00905624404194471</x:v>
      </x:c>
    </x:row>
    <x:row r="1954">
      <x:c r="G1954" t="str">
        <x:v>CLT-HSV</x:v>
      </x:c>
      <x:c r="H1954" t="str">
        <x:v>CLT</x:v>
      </x:c>
      <x:c r="I1954" t="str">
        <x:v>HSV</x:v>
      </x:c>
      <x:c r="J1954" s="23" t="n">
        <x:v>2983</x:v>
      </x:c>
      <x:c r="K1954" s="24" t="n">
        <x:v>0.20683875293328863</x:v>
      </x:c>
      <x:c r="L1954" s="24" t="n">
        <x:v>0.017767348307073418</x:v>
      </x:c>
    </x:row>
    <x:row r="1955">
      <x:c r="G1955" t="str">
        <x:v>DCA-MYR</x:v>
      </x:c>
      <x:c r="H1955" t="str">
        <x:v>DCA</x:v>
      </x:c>
      <x:c r="I1955" t="str">
        <x:v>MYR</x:v>
      </x:c>
      <x:c r="J1955" s="23" t="n">
        <x:v>1688</x:v>
      </x:c>
      <x:c r="K1955" s="24" t="n">
        <x:v>0.20675355450236968</x:v>
      </x:c>
      <x:c r="L1955" s="24" t="n">
        <x:v>0.027843601895734597</x:v>
      </x:c>
    </x:row>
    <x:row r="1956">
      <x:c r="G1956" t="str">
        <x:v>DTW-PHX</x:v>
      </x:c>
      <x:c r="H1956" t="str">
        <x:v>DTW</x:v>
      </x:c>
      <x:c r="I1956" t="str">
        <x:v>PHX</x:v>
      </x:c>
      <x:c r="J1956" s="23" t="n">
        <x:v>7120</x:v>
      </x:c>
      <x:c r="K1956" s="24" t="n">
        <x:v>0.20674157303370785</x:v>
      </x:c>
      <x:c r="L1956" s="24" t="n">
        <x:v>0.007584269662921348</x:v>
      </x:c>
    </x:row>
    <x:row r="1957">
      <x:c r="G1957" t="str">
        <x:v>DCA-DFW</x:v>
      </x:c>
      <x:c r="H1957" t="str">
        <x:v>DCA</x:v>
      </x:c>
      <x:c r="I1957" t="str">
        <x:v>DFW</x:v>
      </x:c>
      <x:c r="J1957" s="23" t="n">
        <x:v>9916</x:v>
      </x:c>
      <x:c r="K1957" s="24" t="n">
        <x:v>0.20673658733360226</x:v>
      </x:c>
      <x:c r="L1957" s="24" t="n">
        <x:v>0.023396530859217425</x:v>
      </x:c>
    </x:row>
    <x:row r="1958">
      <x:c r="G1958" t="str">
        <x:v>LAX-HNL</x:v>
      </x:c>
      <x:c r="H1958" t="str">
        <x:v>LAX</x:v>
      </x:c>
      <x:c r="I1958" t="str">
        <x:v>HNL</x:v>
      </x:c>
      <x:c r="J1958" s="23" t="n">
        <x:v>16268</x:v>
      </x:c>
      <x:c r="K1958" s="24" t="n">
        <x:v>0.206663388246865</x:v>
      </x:c>
      <x:c r="L1958" s="24" t="n">
        <x:v>0.006147037128104254</x:v>
      </x:c>
    </x:row>
    <x:row r="1959">
      <x:c r="G1959" t="str">
        <x:v>SLC-AUS</x:v>
      </x:c>
      <x:c r="H1959" t="str">
        <x:v>SLC</x:v>
      </x:c>
      <x:c r="I1959" t="str">
        <x:v>AUS</x:v>
      </x:c>
      <x:c r="J1959" s="23" t="n">
        <x:v>5048</x:v>
      </x:c>
      <x:c r="K1959" s="24" t="n">
        <x:v>0.2066164817749604</x:v>
      </x:c>
      <x:c r="L1959" s="24" t="n">
        <x:v>0.003961965134706815</x:v>
      </x:c>
    </x:row>
    <x:row r="1960">
      <x:c r="G1960" t="str">
        <x:v>DAL-TUL</x:v>
      </x:c>
      <x:c r="H1960" t="str">
        <x:v>DAL</x:v>
      </x:c>
      <x:c r="I1960" t="str">
        <x:v>TUL</x:v>
      </x:c>
      <x:c r="J1960" s="23" t="n">
        <x:v>3451</x:v>
      </x:c>
      <x:c r="K1960" s="24" t="n">
        <x:v>0.2066067806432918</x:v>
      </x:c>
      <x:c r="L1960" s="24" t="n">
        <x:v>0.00927267458707621</x:v>
      </x:c>
    </x:row>
    <x:row r="1961">
      <x:c r="G1961" t="str">
        <x:v>SEA-MCO</x:v>
      </x:c>
      <x:c r="H1961" t="str">
        <x:v>SEA</x:v>
      </x:c>
      <x:c r="I1961" t="str">
        <x:v>MCO</x:v>
      </x:c>
      <x:c r="J1961" s="23" t="n">
        <x:v>5524</x:v>
      </x:c>
      <x:c r="K1961" s="24" t="n">
        <x:v>0.20655322230267922</x:v>
      </x:c>
      <x:c r="L1961" s="24" t="n">
        <x:v>0.014844315713251267</x:v>
      </x:c>
    </x:row>
    <x:row r="1962">
      <x:c r="G1962" t="str">
        <x:v>PHX-BWI</x:v>
      </x:c>
      <x:c r="H1962" t="str">
        <x:v>PHX</x:v>
      </x:c>
      <x:c r="I1962" t="str">
        <x:v>BWI</x:v>
      </x:c>
      <x:c r="J1962" s="23" t="n">
        <x:v>3733</x:v>
      </x:c>
      <x:c r="K1962" s="24" t="n">
        <x:v>0.20653629788373962</x:v>
      </x:c>
      <x:c r="L1962" s="24" t="n">
        <x:v>0.006429145459416019</x:v>
      </x:c>
    </x:row>
    <x:row r="1963">
      <x:c r="G1963" t="str">
        <x:v>BOS-RIC</x:v>
      </x:c>
      <x:c r="H1963" t="str">
        <x:v>BOS</x:v>
      </x:c>
      <x:c r="I1963" t="str">
        <x:v>RIC</x:v>
      </x:c>
      <x:c r="J1963" s="23" t="n">
        <x:v>5297</x:v>
      </x:c>
      <x:c r="K1963" s="24" t="n">
        <x:v>0.20653199924485557</x:v>
      </x:c>
      <x:c r="L1963" s="24" t="n">
        <x:v>0.015669246743439683</x:v>
      </x:c>
    </x:row>
    <x:row r="1964">
      <x:c r="G1964" t="str">
        <x:v>DTW-OMA</x:v>
      </x:c>
      <x:c r="H1964" t="str">
        <x:v>DTW</x:v>
      </x:c>
      <x:c r="I1964" t="str">
        <x:v>OMA</x:v>
      </x:c>
      <x:c r="J1964" s="23" t="n">
        <x:v>3186</x:v>
      </x:c>
      <x:c r="K1964" s="24" t="n">
        <x:v>0.20652856246076584</x:v>
      </x:c>
      <x:c r="L1964" s="24" t="n">
        <x:v>0.005021971123666039</x:v>
      </x:c>
    </x:row>
    <x:row r="1965">
      <x:c r="G1965" t="str">
        <x:v>BFL-SFO</x:v>
      </x:c>
      <x:c r="H1965" t="str">
        <x:v>BFL</x:v>
      </x:c>
      <x:c r="I1965" t="str">
        <x:v>SFO</x:v>
      </x:c>
      <x:c r="J1965" s="23" t="n">
        <x:v>1753</x:v>
      </x:c>
      <x:c r="K1965" s="24" t="n">
        <x:v>0.2065031374786081</x:v>
      </x:c>
      <x:c r="L1965" s="24" t="n">
        <x:v>0.005704506560182544</x:v>
      </x:c>
    </x:row>
    <x:row r="1966">
      <x:c r="G1966" t="str">
        <x:v>DFW-GCK</x:v>
      </x:c>
      <x:c r="H1966" t="str">
        <x:v>DFW</x:v>
      </x:c>
      <x:c r="I1966" t="str">
        <x:v>GCK</x:v>
      </x:c>
      <x:c r="J1966" s="23" t="n">
        <x:v>2184</x:v>
      </x:c>
      <x:c r="K1966" s="24" t="n">
        <x:v>0.2065018315018315</x:v>
      </x:c>
      <x:c r="L1966" s="24" t="n">
        <x:v>0.026556776556776556</x:v>
      </x:c>
    </x:row>
    <x:row r="1967">
      <x:c r="G1967" t="str">
        <x:v>SEA-PHX</x:v>
      </x:c>
      <x:c r="H1967" t="str">
        <x:v>SEA</x:v>
      </x:c>
      <x:c r="I1967" t="str">
        <x:v>PHX</x:v>
      </x:c>
      <x:c r="J1967" s="23" t="n">
        <x:v>21536</x:v>
      </x:c>
      <x:c r="K1967" s="24" t="n">
        <x:v>0.206491456166419</x:v>
      </x:c>
      <x:c r="L1967" s="24" t="n">
        <x:v>0.005711367013372957</x:v>
      </x:c>
    </x:row>
    <x:row r="1968">
      <x:c r="G1968" t="str">
        <x:v>DFW-SHV</x:v>
      </x:c>
      <x:c r="H1968" t="str">
        <x:v>DFW</x:v>
      </x:c>
      <x:c r="I1968" t="str">
        <x:v>SHV</x:v>
      </x:c>
      <x:c r="J1968" s="23" t="n">
        <x:v>5957</x:v>
      </x:c>
      <x:c r="K1968" s="24" t="n">
        <x:v>0.206479771697163</x:v>
      </x:c>
      <x:c r="L1968" s="24" t="n">
        <x:v>0.027530636226288402</x:v>
      </x:c>
    </x:row>
    <x:row r="1969">
      <x:c r="G1969" t="str">
        <x:v>DFW-PIA</x:v>
      </x:c>
      <x:c r="H1969" t="str">
        <x:v>DFW</x:v>
      </x:c>
      <x:c r="I1969" t="str">
        <x:v>PIA</x:v>
      </x:c>
      <x:c r="J1969" s="23" t="n">
        <x:v>2349</x:v>
      </x:c>
      <x:c r="K1969" s="24" t="n">
        <x:v>0.2064708386547467</x:v>
      </x:c>
      <x:c r="L1969" s="24" t="n">
        <x:v>0.019157088122605363</x:v>
      </x:c>
    </x:row>
    <x:row r="1970">
      <x:c r="G1970" t="str">
        <x:v>JFK-SEA</x:v>
      </x:c>
      <x:c r="H1970" t="str">
        <x:v>JFK</x:v>
      </x:c>
      <x:c r="I1970" t="str">
        <x:v>SEA</x:v>
      </x:c>
      <x:c r="J1970" s="23" t="n">
        <x:v>8954</x:v>
      </x:c>
      <x:c r="K1970" s="24" t="n">
        <x:v>0.20638820638820637</x:v>
      </x:c>
      <x:c r="L1970" s="24" t="n">
        <x:v>0.014183605092696002</x:v>
      </x:c>
    </x:row>
    <x:row r="1971">
      <x:c r="G1971" t="str">
        <x:v>SLC-MCO</x:v>
      </x:c>
      <x:c r="H1971" t="str">
        <x:v>SLC</x:v>
      </x:c>
      <x:c r="I1971" t="str">
        <x:v>MCO</x:v>
      </x:c>
      <x:c r="J1971" s="23" t="n">
        <x:v>5524</x:v>
      </x:c>
      <x:c r="K1971" s="24" t="n">
        <x:v>0.20637219406227372</x:v>
      </x:c>
      <x:c r="L1971" s="24" t="n">
        <x:v>0.00941346850108617</x:v>
      </x:c>
    </x:row>
    <x:row r="1972">
      <x:c r="G1972" t="str">
        <x:v>RIC-DEN</x:v>
      </x:c>
      <x:c r="H1972" t="str">
        <x:v>RIC</x:v>
      </x:c>
      <x:c r="I1972" t="str">
        <x:v>DEN</x:v>
      </x:c>
      <x:c r="J1972" s="23" t="n">
        <x:v>2142</x:v>
      </x:c>
      <x:c r="K1972" s="24" t="n">
        <x:v>0.20634920634920634</x:v>
      </x:c>
      <x:c r="L1972" s="24" t="n">
        <x:v>0.006069094304388422</x:v>
      </x:c>
    </x:row>
    <x:row r="1973">
      <x:c r="G1973" t="str">
        <x:v>MCO-IAD</x:v>
      </x:c>
      <x:c r="H1973" t="str">
        <x:v>MCO</x:v>
      </x:c>
      <x:c r="I1973" t="str">
        <x:v>IAD</x:v>
      </x:c>
      <x:c r="J1973" s="23" t="n">
        <x:v>5363</x:v>
      </x:c>
      <x:c r="K1973" s="24" t="n">
        <x:v>0.2062278575424203</x:v>
      </x:c>
      <x:c r="L1973" s="24" t="n">
        <x:v>0.010814842438933433</x:v>
      </x:c>
    </x:row>
    <x:row r="1974">
      <x:c r="G1974" t="str">
        <x:v>SLC-FLL</x:v>
      </x:c>
      <x:c r="H1974" t="str">
        <x:v>SLC</x:v>
      </x:c>
      <x:c r="I1974" t="str">
        <x:v>FLL</x:v>
      </x:c>
      <x:c r="J1974" s="23" t="n">
        <x:v>1639</x:v>
      </x:c>
      <x:c r="K1974" s="24" t="n">
        <x:v>0.20622330689444784</x:v>
      </x:c>
      <x:c r="L1974" s="24" t="n">
        <x:v>0.009762050030506406</x:v>
      </x:c>
    </x:row>
    <x:row r="1975">
      <x:c r="G1975" t="str">
        <x:v>SEA-SAN</x:v>
      </x:c>
      <x:c r="H1975" t="str">
        <x:v>SEA</x:v>
      </x:c>
      <x:c r="I1975" t="str">
        <x:v>SAN</x:v>
      </x:c>
      <x:c r="J1975" s="23" t="n">
        <x:v>13835</x:v>
      </x:c>
      <x:c r="K1975" s="24" t="n">
        <x:v>0.20614383809179618</x:v>
      </x:c>
      <x:c r="L1975" s="24" t="n">
        <x:v>0.009685580050596315</x:v>
      </x:c>
    </x:row>
    <x:row r="1976">
      <x:c r="G1976" t="str">
        <x:v>DAL-PNS</x:v>
      </x:c>
      <x:c r="H1976" t="str">
        <x:v>DAL</x:v>
      </x:c>
      <x:c r="I1976" t="str">
        <x:v>PNS</x:v>
      </x:c>
      <x:c r="J1976" s="23" t="n">
        <x:v>1344</x:v>
      </x:c>
      <x:c r="K1976" s="24" t="n">
        <x:v>0.20610119047619047</x:v>
      </x:c>
      <x:c r="L1976" s="24" t="n">
        <x:v>0.004464285714285714</x:v>
      </x:c>
    </x:row>
    <x:row r="1977">
      <x:c r="G1977" t="str">
        <x:v>RSW-IND</x:v>
      </x:c>
      <x:c r="H1977" t="str">
        <x:v>RSW</x:v>
      </x:c>
      <x:c r="I1977" t="str">
        <x:v>IND</x:v>
      </x:c>
      <x:c r="J1977" s="23" t="n">
        <x:v>2664</x:v>
      </x:c>
      <x:c r="K1977" s="24" t="n">
        <x:v>0.20608108108108109</x:v>
      </x:c>
      <x:c r="L1977" s="24" t="n">
        <x:v>0.012387387387387387</x:v>
      </x:c>
    </x:row>
    <x:row r="1978">
      <x:c r="G1978" t="str">
        <x:v>DCA-MKE</x:v>
      </x:c>
      <x:c r="H1978" t="str">
        <x:v>DCA</x:v>
      </x:c>
      <x:c r="I1978" t="str">
        <x:v>MKE</x:v>
      </x:c>
      <x:c r="J1978" s="23" t="n">
        <x:v>3528</x:v>
      </x:c>
      <x:c r="K1978" s="24" t="n">
        <x:v>0.2060657596371882</x:v>
      </x:c>
      <x:c r="L1978" s="24" t="n">
        <x:v>0.025793650793650792</x:v>
      </x:c>
    </x:row>
    <x:row r="1979">
      <x:c r="G1979" t="str">
        <x:v>BGR-PHL</x:v>
      </x:c>
      <x:c r="H1979" t="str">
        <x:v>BGR</x:v>
      </x:c>
      <x:c r="I1979" t="str">
        <x:v>PHL</x:v>
      </x:c>
      <x:c r="J1979" s="23" t="n">
        <x:v>1519</x:v>
      </x:c>
      <x:c r="K1979" s="24" t="n">
        <x:v>0.20605661619486504</x:v>
      </x:c>
      <x:c r="L1979" s="24" t="n">
        <x:v>0.027649769585253458</x:v>
      </x:c>
    </x:row>
    <x:row r="1980">
      <x:c r="G1980" t="str">
        <x:v>OAK-DEN</x:v>
      </x:c>
      <x:c r="H1980" t="str">
        <x:v>OAK</x:v>
      </x:c>
      <x:c r="I1980" t="str">
        <x:v>DEN</x:v>
      </x:c>
      <x:c r="J1980" s="23" t="n">
        <x:v>5596</x:v>
      </x:c>
      <x:c r="K1980" s="24" t="n">
        <x:v>0.20604002859185133</x:v>
      </x:c>
      <x:c r="L1980" s="24" t="n">
        <x:v>0.005718370264474625</x:v>
      </x:c>
    </x:row>
    <x:row r="1981">
      <x:c r="G1981" t="str">
        <x:v>PWM-CLT</x:v>
      </x:c>
      <x:c r="H1981" t="str">
        <x:v>PWM</x:v>
      </x:c>
      <x:c r="I1981" t="str">
        <x:v>CLT</x:v>
      </x:c>
      <x:c r="J1981" s="23" t="n">
        <x:v>2034</x:v>
      </x:c>
      <x:c r="K1981" s="24" t="n">
        <x:v>0.20599803343166176</x:v>
      </x:c>
      <x:c r="L1981" s="24" t="n">
        <x:v>0.012782694198623401</x:v>
      </x:c>
    </x:row>
    <x:row r="1982">
      <x:c r="G1982" t="str">
        <x:v>DCA-JAX</x:v>
      </x:c>
      <x:c r="H1982" t="str">
        <x:v>DCA</x:v>
      </x:c>
      <x:c r="I1982" t="str">
        <x:v>JAX</x:v>
      </x:c>
      <x:c r="J1982" s="23" t="n">
        <x:v>4483</x:v>
      </x:c>
      <x:c r="K1982" s="24" t="n">
        <x:v>0.2058889136738791</x:v>
      </x:c>
      <x:c r="L1982" s="24" t="n">
        <x:v>0.020298906981931743</x:v>
      </x:c>
    </x:row>
    <x:row r="1983">
      <x:c r="G1983" t="str">
        <x:v>MSP-AUS</x:v>
      </x:c>
      <x:c r="H1983" t="str">
        <x:v>MSP</x:v>
      </x:c>
      <x:c r="I1983" t="str">
        <x:v>AUS</x:v>
      </x:c>
      <x:c r="J1983" s="23" t="n">
        <x:v>4513</x:v>
      </x:c>
      <x:c r="K1983" s="24" t="n">
        <x:v>0.20584976733879903</x:v>
      </x:c>
      <x:c r="L1983" s="24" t="n">
        <x:v>0.005761134500332373</x:v>
      </x:c>
    </x:row>
    <x:row r="1984">
      <x:c r="G1984" t="str">
        <x:v>EWR-CLE</x:v>
      </x:c>
      <x:c r="H1984" t="str">
        <x:v>EWR</x:v>
      </x:c>
      <x:c r="I1984" t="str">
        <x:v>CLE</x:v>
      </x:c>
      <x:c r="J1984" s="23" t="n">
        <x:v>6166</x:v>
      </x:c>
      <x:c r="K1984" s="24" t="n">
        <x:v>0.2058060330846578</x:v>
      </x:c>
      <x:c r="L1984" s="24" t="n">
        <x:v>0.02416477457022381</x:v>
      </x:c>
    </x:row>
    <x:row r="1985">
      <x:c r="G1985" t="str">
        <x:v>GSO-CLT</x:v>
      </x:c>
      <x:c r="H1985" t="str">
        <x:v>GSO</x:v>
      </x:c>
      <x:c r="I1985" t="str">
        <x:v>CLT</x:v>
      </x:c>
      <x:c r="J1985" s="23" t="n">
        <x:v>6103</x:v>
      </x:c>
      <x:c r="K1985" s="24" t="n">
        <x:v>0.20580042601999016</x:v>
      </x:c>
      <x:c r="L1985" s="24" t="n">
        <x:v>0.013599868916926102</x:v>
      </x:c>
    </x:row>
    <x:row r="1986">
      <x:c r="G1986" t="str">
        <x:v>CMH-DEN</x:v>
      </x:c>
      <x:c r="H1986" t="str">
        <x:v>CMH</x:v>
      </x:c>
      <x:c r="I1986" t="str">
        <x:v>DEN</x:v>
      </x:c>
      <x:c r="J1986" s="23" t="n">
        <x:v>5263</x:v>
      </x:c>
      <x:c r="K1986" s="24" t="n">
        <x:v>0.20577617328519857</x:v>
      </x:c>
      <x:c r="L1986" s="24" t="n">
        <x:v>0.0060801824054721645</x:v>
      </x:c>
    </x:row>
    <x:row r="1987">
      <x:c r="G1987" t="str">
        <x:v>JFK-IAD</x:v>
      </x:c>
      <x:c r="H1987" t="str">
        <x:v>JFK</x:v>
      </x:c>
      <x:c r="I1987" t="str">
        <x:v>IAD</x:v>
      </x:c>
      <x:c r="J1987" s="23" t="n">
        <x:v>1803</x:v>
      </x:c>
      <x:c r="K1987" s="24" t="n">
        <x:v>0.2057681641708264</x:v>
      </x:c>
      <x:c r="L1987" s="24" t="n">
        <x:v>0.01608430393788131</x:v>
      </x:c>
    </x:row>
    <x:row r="1988">
      <x:c r="G1988" t="str">
        <x:v>DSM-ORD</x:v>
      </x:c>
      <x:c r="H1988" t="str">
        <x:v>DSM</x:v>
      </x:c>
      <x:c r="I1988" t="str">
        <x:v>ORD</x:v>
      </x:c>
      <x:c r="J1988" s="23" t="n">
        <x:v>6786</x:v>
      </x:c>
      <x:c r="K1988" s="24" t="n">
        <x:v>0.20571765399351608</x:v>
      </x:c>
      <x:c r="L1988" s="24" t="n">
        <x:v>0.020925434718538166</x:v>
      </x:c>
    </x:row>
    <x:row r="1989">
      <x:c r="G1989" t="str">
        <x:v>BOS-SLC</x:v>
      </x:c>
      <x:c r="H1989" t="str">
        <x:v>BOS</x:v>
      </x:c>
      <x:c r="I1989" t="str">
        <x:v>SLC</x:v>
      </x:c>
      <x:c r="J1989" s="23" t="n">
        <x:v>3865</x:v>
      </x:c>
      <x:c r="K1989" s="24" t="n">
        <x:v>0.2056921086675291</x:v>
      </x:c>
      <x:c r="L1989" s="24" t="n">
        <x:v>0.004398447606727037</x:v>
      </x:c>
    </x:row>
    <x:row r="1990">
      <x:c r="G1990" t="str">
        <x:v>OAK-BOI</x:v>
      </x:c>
      <x:c r="H1990" t="str">
        <x:v>OAK</x:v>
      </x:c>
      <x:c r="I1990" t="str">
        <x:v>BOI</x:v>
      </x:c>
      <x:c r="J1990" s="23" t="n">
        <x:v>2003</x:v>
      </x:c>
      <x:c r="K1990" s="24" t="n">
        <x:v>0.20569146280579131</x:v>
      </x:c>
      <x:c r="L1990" s="24" t="n">
        <x:v>0.00199700449326011</x:v>
      </x:c>
    </x:row>
    <x:row r="1991">
      <x:c r="G1991" t="str">
        <x:v>ONT-HNL</x:v>
      </x:c>
      <x:c r="H1991" t="str">
        <x:v>ONT</x:v>
      </x:c>
      <x:c r="I1991" t="str">
        <x:v>HNL</x:v>
      </x:c>
      <x:c r="J1991" s="23" t="n">
        <x:v>1099</x:v>
      </x:c>
      <x:c r="K1991" s="24" t="n">
        <x:v>0.20564149226569609</x:v>
      </x:c>
      <x:c r="L1991" s="24" t="n">
        <x:v>0.006369426751592357</x:v>
      </x:c>
    </x:row>
    <x:row r="1992">
      <x:c r="G1992" t="str">
        <x:v>OAK-HNL</x:v>
      </x:c>
      <x:c r="H1992" t="str">
        <x:v>OAK</x:v>
      </x:c>
      <x:c r="I1992" t="str">
        <x:v>HNL</x:v>
      </x:c>
      <x:c r="J1992" s="23" t="n">
        <x:v>3006</x:v>
      </x:c>
      <x:c r="K1992" s="24" t="n">
        <x:v>0.2055888223552894</x:v>
      </x:c>
      <x:c r="L1992" s="24" t="n">
        <x:v>0.015635395874916833</x:v>
      </x:c>
    </x:row>
    <x:row r="1993">
      <x:c r="G1993" t="str">
        <x:v>DTW-GRB</x:v>
      </x:c>
      <x:c r="H1993" t="str">
        <x:v>DTW</x:v>
      </x:c>
      <x:c r="I1993" t="str">
        <x:v>GRB</x:v>
      </x:c>
      <x:c r="J1993" s="23" t="n">
        <x:v>2588</x:v>
      </x:c>
      <x:c r="K1993" s="24" t="n">
        <x:v>0.20556414219474498</x:v>
      </x:c>
      <x:c r="L1993" s="24" t="n">
        <x:v>0.008887171561051005</x:v>
      </x:c>
    </x:row>
    <x:row r="1994">
      <x:c r="G1994" t="str">
        <x:v>PNS-CLT</x:v>
      </x:c>
      <x:c r="H1994" t="str">
        <x:v>PNS</x:v>
      </x:c>
      <x:c r="I1994" t="str">
        <x:v>CLT</x:v>
      </x:c>
      <x:c r="J1994" s="23" t="n">
        <x:v>5911</x:v>
      </x:c>
      <x:c r="K1994" s="24" t="n">
        <x:v>0.2055489764845204</x:v>
      </x:c>
      <x:c r="L1994" s="24" t="n">
        <x:v>0.014887497885298596</x:v>
      </x:c>
    </x:row>
    <x:row r="1995">
      <x:c r="G1995" t="str">
        <x:v>ORD-XNA</x:v>
      </x:c>
      <x:c r="H1995" t="str">
        <x:v>ORD</x:v>
      </x:c>
      <x:c r="I1995" t="str">
        <x:v>XNA</x:v>
      </x:c>
      <x:c r="J1995" s="23" t="n">
        <x:v>5483</x:v>
      </x:c>
      <x:c r="K1995" s="24" t="n">
        <x:v>0.20554440999452855</x:v>
      </x:c>
      <x:c r="L1995" s="24" t="n">
        <x:v>0.010395768739741018</x:v>
      </x:c>
    </x:row>
    <x:row r="1996">
      <x:c r="G1996" t="str">
        <x:v>DTW-HPN</x:v>
      </x:c>
      <x:c r="H1996" t="str">
        <x:v>DTW</x:v>
      </x:c>
      <x:c r="I1996" t="str">
        <x:v>HPN</x:v>
      </x:c>
      <x:c r="J1996" s="23" t="n">
        <x:v>2389</x:v>
      </x:c>
      <x:c r="K1996" s="24" t="n">
        <x:v>0.20552532440351612</x:v>
      </x:c>
      <x:c r="L1996" s="24" t="n">
        <x:v>0.012557555462536627</x:v>
      </x:c>
    </x:row>
    <x:row r="1997">
      <x:c r="G1997" t="str">
        <x:v>SAV-BWI</x:v>
      </x:c>
      <x:c r="H1997" t="str">
        <x:v>SAV</x:v>
      </x:c>
      <x:c r="I1997" t="str">
        <x:v>BWI</x:v>
      </x:c>
      <x:c r="J1997" s="23" t="n">
        <x:v>2754</x:v>
      </x:c>
      <x:c r="K1997" s="24" t="n">
        <x:v>0.20551924473493102</x:v>
      </x:c>
      <x:c r="L1997" s="24" t="n">
        <x:v>0.00907770515613653</x:v>
      </x:c>
    </x:row>
    <x:row r="1998">
      <x:c r="G1998" t="str">
        <x:v>MSP-DCA</x:v>
      </x:c>
      <x:c r="H1998" t="str">
        <x:v>MSP</x:v>
      </x:c>
      <x:c r="I1998" t="str">
        <x:v>DCA</x:v>
      </x:c>
      <x:c r="J1998" s="23" t="n">
        <x:v>7193</x:v>
      </x:c>
      <x:c r="K1998" s="24" t="n">
        <x:v>0.20547754761573753</x:v>
      </x:c>
      <x:c r="L1998" s="24" t="n">
        <x:v>0.01849019880439316</x:v>
      </x:c>
    </x:row>
    <x:row r="1999">
      <x:c r="G1999" t="str">
        <x:v>DFW-LFT</x:v>
      </x:c>
      <x:c r="H1999" t="str">
        <x:v>DFW</x:v>
      </x:c>
      <x:c r="I1999" t="str">
        <x:v>LFT</x:v>
      </x:c>
      <x:c r="J1999" s="23" t="n">
        <x:v>4775</x:v>
      </x:c>
      <x:c r="K1999" s="24" t="n">
        <x:v>0.20544502617801047</x:v>
      </x:c>
      <x:c r="L1999" s="24" t="n">
        <x:v>0.02680628272251309</x:v>
      </x:c>
    </x:row>
    <x:row r="2000">
      <x:c r="G2000" t="str">
        <x:v>IAH-MAF</x:v>
      </x:c>
      <x:c r="H2000" t="str">
        <x:v>IAH</x:v>
      </x:c>
      <x:c r="I2000" t="str">
        <x:v>MAF</x:v>
      </x:c>
      <x:c r="J2000" s="23" t="n">
        <x:v>2278</x:v>
      </x:c>
      <x:c r="K2000" s="24" t="n">
        <x:v>0.2054433713784021</x:v>
      </x:c>
      <x:c r="L2000" s="24" t="n">
        <x:v>0.01141352063213345</x:v>
      </x:c>
    </x:row>
    <x:row r="2001">
      <x:c r="G2001" t="str">
        <x:v>ORD-SJU</x:v>
      </x:c>
      <x:c r="H2001" t="str">
        <x:v>ORD</x:v>
      </x:c>
      <x:c r="I2001" t="str">
        <x:v>SJU</x:v>
      </x:c>
      <x:c r="J2001" s="23" t="n">
        <x:v>3428</x:v>
      </x:c>
      <x:c r="K2001" s="24" t="n">
        <x:v>0.20536756126021002</x:v>
      </x:c>
      <x:c r="L2001" s="24" t="n">
        <x:v>0.003500583430571762</x:v>
      </x:c>
    </x:row>
    <x:row r="2002">
      <x:c r="G2002" t="str">
        <x:v>CVG-PGD</x:v>
      </x:c>
      <x:c r="H2002" t="str">
        <x:v>CVG</x:v>
      </x:c>
      <x:c r="I2002" t="str">
        <x:v>PGD</x:v>
      </x:c>
      <x:c r="J2002" s="23" t="n">
        <x:v>1008</x:v>
      </x:c>
      <x:c r="K2002" s="24" t="n">
        <x:v>0.20535714285714285</x:v>
      </x:c>
      <x:c r="L2002" s="24" t="n">
        <x:v>0.003968253968253968</x:v>
      </x:c>
    </x:row>
    <x:row r="2003">
      <x:c r="G2003" t="str">
        <x:v>DEN-FSD</x:v>
      </x:c>
      <x:c r="H2003" t="str">
        <x:v>DEN</x:v>
      </x:c>
      <x:c r="I2003" t="str">
        <x:v>FSD</x:v>
      </x:c>
      <x:c r="J2003" s="23" t="n">
        <x:v>5045</x:v>
      </x:c>
      <x:c r="K2003" s="24" t="n">
        <x:v>0.20535183349851338</x:v>
      </x:c>
      <x:c r="L2003" s="24" t="n">
        <x:v>0.010703666997026759</x:v>
      </x:c>
    </x:row>
    <x:row r="2004">
      <x:c r="G2004" t="str">
        <x:v>GRI-DFW</x:v>
      </x:c>
      <x:c r="H2004" t="str">
        <x:v>GRI</x:v>
      </x:c>
      <x:c r="I2004" t="str">
        <x:v>DFW</x:v>
      </x:c>
      <x:c r="J2004" s="23" t="n">
        <x:v>2177</x:v>
      </x:c>
      <x:c r="K2004" s="24" t="n">
        <x:v>0.20532843362425357</x:v>
      </x:c>
      <x:c r="L2004" s="24" t="n">
        <x:v>0.025264124942581533</x:v>
      </x:c>
    </x:row>
    <x:row r="2005">
      <x:c r="G2005" t="str">
        <x:v>LGB-LAS</x:v>
      </x:c>
      <x:c r="H2005" t="str">
        <x:v>LGB</x:v>
      </x:c>
      <x:c r="I2005" t="str">
        <x:v>LAS</x:v>
      </x:c>
      <x:c r="J2005" s="23" t="n">
        <x:v>6790</x:v>
      </x:c>
      <x:c r="K2005" s="24" t="n">
        <x:v>0.2053019145802651</x:v>
      </x:c>
      <x:c r="L2005" s="24" t="n">
        <x:v>0.0075110456553755525</x:v>
      </x:c>
    </x:row>
    <x:row r="2006">
      <x:c r="G2006" t="str">
        <x:v>OKC-SEA</x:v>
      </x:c>
      <x:c r="H2006" t="str">
        <x:v>OKC</x:v>
      </x:c>
      <x:c r="I2006" t="str">
        <x:v>SEA</x:v>
      </x:c>
      <x:c r="J2006" s="23" t="n">
        <x:v>1057</x:v>
      </x:c>
      <x:c r="K2006" s="24" t="n">
        <x:v>0.2052980132450331</x:v>
      </x:c>
      <x:c r="L2006" s="24" t="n">
        <x:v>0.01229895931882687</x:v>
      </x:c>
    </x:row>
    <x:row r="2007">
      <x:c r="G2007" t="str">
        <x:v>DAL-ATL</x:v>
      </x:c>
      <x:c r="H2007" t="str">
        <x:v>DAL</x:v>
      </x:c>
      <x:c r="I2007" t="str">
        <x:v>ATL</x:v>
      </x:c>
      <x:c r="J2007" s="23" t="n">
        <x:v>10541</x:v>
      </x:c>
      <x:c r="K2007" s="24" t="n">
        <x:v>0.20529361540650792</x:v>
      </x:c>
      <x:c r="L2007" s="24" t="n">
        <x:v>0.012807134048003035</x:v>
      </x:c>
    </x:row>
    <x:row r="2008">
      <x:c r="G2008" t="str">
        <x:v>SAN-JFK</x:v>
      </x:c>
      <x:c r="H2008" t="str">
        <x:v>SAN</x:v>
      </x:c>
      <x:c r="I2008" t="str">
        <x:v>JFK</x:v>
      </x:c>
      <x:c r="J2008" s="23" t="n">
        <x:v>7308</x:v>
      </x:c>
      <x:c r="K2008" s="24" t="n">
        <x:v>0.20525451559934318</x:v>
      </x:c>
      <x:c r="L2008" s="24" t="n">
        <x:v>0.013820470717022441</x:v>
      </x:c>
    </x:row>
    <x:row r="2009">
      <x:c r="G2009" t="str">
        <x:v>MCI-BOS</x:v>
      </x:c>
      <x:c r="H2009" t="str">
        <x:v>MCI</x:v>
      </x:c>
      <x:c r="I2009" t="str">
        <x:v>BOS</x:v>
      </x:c>
      <x:c r="J2009" s="23" t="n">
        <x:v>2115</x:v>
      </x:c>
      <x:c r="K2009" s="24" t="n">
        <x:v>0.20520094562647753</x:v>
      </x:c>
      <x:c r="L2009" s="24" t="n">
        <x:v>0.019858156028368795</x:v>
      </x:c>
    </x:row>
    <x:row r="2010">
      <x:c r="G2010" t="str">
        <x:v>STL-SAT</x:v>
      </x:c>
      <x:c r="H2010" t="str">
        <x:v>STL</x:v>
      </x:c>
      <x:c r="I2010" t="str">
        <x:v>SAT</x:v>
      </x:c>
      <x:c r="J2010" s="23" t="n">
        <x:v>1540</x:v>
      </x:c>
      <x:c r="K2010" s="24" t="n">
        <x:v>0.2051948051948052</x:v>
      </x:c>
      <x:c r="L2010" s="24" t="n">
        <x:v>0.004545454545454545</x:v>
      </x:c>
    </x:row>
    <x:row r="2011">
      <x:c r="G2011" t="str">
        <x:v>PHX-MSN</x:v>
      </x:c>
      <x:c r="H2011" t="str">
        <x:v>PHX</x:v>
      </x:c>
      <x:c r="I2011" t="str">
        <x:v>MSN</x:v>
      </x:c>
      <x:c r="J2011" s="23" t="n">
        <x:v>1272</x:v>
      </x:c>
      <x:c r="K2011" s="24" t="n">
        <x:v>0.20518867924528303</x:v>
      </x:c>
      <x:c r="L2011" s="24" t="n">
        <x:v>0.0007861635220125787</x:v>
      </x:c>
    </x:row>
    <x:row r="2012">
      <x:c r="G2012" t="str">
        <x:v>BHM-MIA</x:v>
      </x:c>
      <x:c r="H2012" t="str">
        <x:v>BHM</x:v>
      </x:c>
      <x:c r="I2012" t="str">
        <x:v>MIA</x:v>
      </x:c>
      <x:c r="J2012" s="23" t="n">
        <x:v>2164</x:v>
      </x:c>
      <x:c r="K2012" s="24" t="n">
        <x:v>0.20517560073937152</x:v>
      </x:c>
      <x:c r="L2012" s="24" t="n">
        <x:v>0.012476894639556377</x:v>
      </x:c>
    </x:row>
    <x:row r="2013">
      <x:c r="G2013" t="str">
        <x:v>EYW-DCA</x:v>
      </x:c>
      <x:c r="H2013" t="str">
        <x:v>EYW</x:v>
      </x:c>
      <x:c r="I2013" t="str">
        <x:v>DCA</x:v>
      </x:c>
      <x:c r="J2013" s="23" t="n">
        <x:v>1550</x:v>
      </x:c>
      <x:c r="K2013" s="24" t="n">
        <x:v>0.20516129032258065</x:v>
      </x:c>
      <x:c r="L2013" s="24" t="n">
        <x:v>0.013548387096774193</x:v>
      </x:c>
    </x:row>
    <x:row r="2014">
      <x:c r="G2014" t="str">
        <x:v>DFW-HOU</x:v>
      </x:c>
      <x:c r="H2014" t="str">
        <x:v>DFW</x:v>
      </x:c>
      <x:c r="I2014" t="str">
        <x:v>HOU</x:v>
      </x:c>
      <x:c r="J2014" s="23" t="n">
        <x:v>6542</x:v>
      </x:c>
      <x:c r="K2014" s="24" t="n">
        <x:v>0.2051360440232345</x:v>
      </x:c>
      <x:c r="L2014" s="24" t="n">
        <x:v>0.032253133598287985</x:v>
      </x:c>
    </x:row>
    <x:row r="2015">
      <x:c r="G2015" t="str">
        <x:v>DCA-MSN</x:v>
      </x:c>
      <x:c r="H2015" t="str">
        <x:v>DCA</x:v>
      </x:c>
      <x:c r="I2015" t="str">
        <x:v>MSN</x:v>
      </x:c>
      <x:c r="J2015" s="23" t="n">
        <x:v>2618</x:v>
      </x:c>
      <x:c r="K2015" s="24" t="n">
        <x:v>0.20511841100076394</x:v>
      </x:c>
      <x:c r="L2015" s="24" t="n">
        <x:v>0.0213903743315508</x:v>
      </x:c>
    </x:row>
    <x:row r="2016">
      <x:c r="G2016" t="str">
        <x:v>DEN-PSC</x:v>
      </x:c>
      <x:c r="H2016" t="str">
        <x:v>DEN</x:v>
      </x:c>
      <x:c r="I2016" t="str">
        <x:v>PSC</x:v>
      </x:c>
      <x:c r="J2016" s="23" t="n">
        <x:v>2189</x:v>
      </x:c>
      <x:c r="K2016" s="24" t="n">
        <x:v>0.20511649154865236</x:v>
      </x:c>
      <x:c r="L2016" s="24" t="n">
        <x:v>0.004111466423024212</x:v>
      </x:c>
    </x:row>
    <x:row r="2017">
      <x:c r="G2017" t="str">
        <x:v>DFW-JAN</x:v>
      </x:c>
      <x:c r="H2017" t="str">
        <x:v>DFW</x:v>
      </x:c>
      <x:c r="I2017" t="str">
        <x:v>JAN</x:v>
      </x:c>
      <x:c r="J2017" s="23" t="n">
        <x:v>5617</x:v>
      </x:c>
      <x:c r="K2017" s="24" t="n">
        <x:v>0.2050916859533559</x:v>
      </x:c>
      <x:c r="L2017" s="24" t="n">
        <x:v>0.023144027060708564</x:v>
      </x:c>
    </x:row>
    <x:row r="2018">
      <x:c r="G2018" t="str">
        <x:v>HOU-LAS</x:v>
      </x:c>
      <x:c r="H2018" t="str">
        <x:v>HOU</x:v>
      </x:c>
      <x:c r="I2018" t="str">
        <x:v>LAS</x:v>
      </x:c>
      <x:c r="J2018" s="23" t="n">
        <x:v>6179</x:v>
      </x:c>
      <x:c r="K2018" s="24" t="n">
        <x:v>0.2050493607379835</x:v>
      </x:c>
      <x:c r="L2018" s="24" t="n">
        <x:v>0.0074445703188218155</x:v>
      </x:c>
    </x:row>
    <x:row r="2019">
      <x:c r="G2019" t="str">
        <x:v>OKC-LAS</x:v>
      </x:c>
      <x:c r="H2019" t="str">
        <x:v>OKC</x:v>
      </x:c>
      <x:c r="I2019" t="str">
        <x:v>LAS</x:v>
      </x:c>
      <x:c r="J2019" s="23" t="n">
        <x:v>3307</x:v>
      </x:c>
      <x:c r="K2019" s="24" t="n">
        <x:v>0.2050196552766858</x:v>
      </x:c>
      <x:c r="L2019" s="24" t="n">
        <x:v>0.005140610825521621</x:v>
      </x:c>
    </x:row>
    <x:row r="2020">
      <x:c r="G2020" t="str">
        <x:v>LAR-DEN</x:v>
      </x:c>
      <x:c r="H2020" t="str">
        <x:v>LAR</x:v>
      </x:c>
      <x:c r="I2020" t="str">
        <x:v>DEN</x:v>
      </x:c>
      <x:c r="J2020" s="23" t="n">
        <x:v>1878</x:v>
      </x:c>
      <x:c r="K2020" s="24" t="n">
        <x:v>0.2050053248136315</x:v>
      </x:c>
      <x:c r="L2020" s="24" t="n">
        <x:v>0.038338658146964855</x:v>
      </x:c>
    </x:row>
    <x:row r="2021">
      <x:c r="G2021" t="str">
        <x:v>DTW-EWR</x:v>
      </x:c>
      <x:c r="H2021" t="str">
        <x:v>DTW</x:v>
      </x:c>
      <x:c r="I2021" t="str">
        <x:v>EWR</x:v>
      </x:c>
      <x:c r="J2021" s="23" t="n">
        <x:v>10059</x:v>
      </x:c>
      <x:c r="K2021" s="24" t="n">
        <x:v>0.20499055572124467</x:v>
      </x:c>
      <x:c r="L2021" s="24" t="n">
        <x:v>0.028432249726612985</x:v>
      </x:c>
    </x:row>
    <x:row r="2022">
      <x:c r="G2022" t="str">
        <x:v>DEN-FCA</x:v>
      </x:c>
      <x:c r="H2022" t="str">
        <x:v>DEN</x:v>
      </x:c>
      <x:c r="I2022" t="str">
        <x:v>FCA</x:v>
      </x:c>
      <x:c r="J2022" s="23" t="n">
        <x:v>3162</x:v>
      </x:c>
      <x:c r="K2022" s="24" t="n">
        <x:v>0.2049335863377609</x:v>
      </x:c>
      <x:c r="L2022" s="24" t="n">
        <x:v>0.005376344086021506</x:v>
      </x:c>
    </x:row>
    <x:row r="2023">
      <x:c r="G2023" t="str">
        <x:v>AUS-MFE</x:v>
      </x:c>
      <x:c r="H2023" t="str">
        <x:v>AUS</x:v>
      </x:c>
      <x:c r="I2023" t="str">
        <x:v>MFE</x:v>
      </x:c>
      <x:c r="J2023" s="23" t="n">
        <x:v>1723</x:v>
      </x:c>
      <x:c r="K2023" s="24" t="n">
        <x:v>0.2048752176436448</x:v>
      </x:c>
      <x:c r="L2023" s="24" t="n">
        <x:v>0.0046430644225188625</x:v>
      </x:c>
    </x:row>
    <x:row r="2024">
      <x:c r="G2024" t="str">
        <x:v>GSP-DCA</x:v>
      </x:c>
      <x:c r="H2024" t="str">
        <x:v>GSP</x:v>
      </x:c>
      <x:c r="I2024" t="str">
        <x:v>DCA</x:v>
      </x:c>
      <x:c r="J2024" s="23" t="n">
        <x:v>3013</x:v>
      </x:c>
      <x:c r="K2024" s="24" t="n">
        <x:v>0.20477928974444076</x:v>
      </x:c>
      <x:c r="L2024" s="24" t="n">
        <x:v>0.030534351145038167</x:v>
      </x:c>
    </x:row>
    <x:row r="2025">
      <x:c r="G2025" t="str">
        <x:v>RSW-CVG</x:v>
      </x:c>
      <x:c r="H2025" t="str">
        <x:v>RSW</x:v>
      </x:c>
      <x:c r="I2025" t="str">
        <x:v>CVG</x:v>
      </x:c>
      <x:c r="J2025" s="23" t="n">
        <x:v>2266</x:v>
      </x:c>
      <x:c r="K2025" s="24" t="n">
        <x:v>0.20476610767872905</x:v>
      </x:c>
      <x:c r="L2025" s="24" t="n">
        <x:v>0.020741394527802295</x:v>
      </x:c>
    </x:row>
    <x:row r="2026">
      <x:c r="G2026" t="str">
        <x:v>MDW-PIT</x:v>
      </x:c>
      <x:c r="H2026" t="str">
        <x:v>MDW</x:v>
      </x:c>
      <x:c r="I2026" t="str">
        <x:v>PIT</x:v>
      </x:c>
      <x:c r="J2026" s="23" t="n">
        <x:v>3780</x:v>
      </x:c>
      <x:c r="K2026" s="24" t="n">
        <x:v>0.20476190476190476</x:v>
      </x:c>
      <x:c r="L2026" s="24" t="n">
        <x:v>0.013492063492063493</x:v>
      </x:c>
    </x:row>
    <x:row r="2027">
      <x:c r="G2027" t="str">
        <x:v>HSV-CLT</x:v>
      </x:c>
      <x:c r="H2027" t="str">
        <x:v>HSV</x:v>
      </x:c>
      <x:c r="I2027" t="str">
        <x:v>CLT</x:v>
      </x:c>
      <x:c r="J2027" s="23" t="n">
        <x:v>2989</x:v>
      </x:c>
      <x:c r="K2027" s="24" t="n">
        <x:v>0.20475075276012045</x:v>
      </x:c>
      <x:c r="L2027" s="24" t="n">
        <x:v>0.01371696219471395</x:v>
      </x:c>
    </x:row>
    <x:row r="2028">
      <x:c r="G2028" t="str">
        <x:v>BUF-MCO</x:v>
      </x:c>
      <x:c r="H2028" t="str">
        <x:v>BUF</x:v>
      </x:c>
      <x:c r="I2028" t="str">
        <x:v>MCO</x:v>
      </x:c>
      <x:c r="J2028" s="23" t="n">
        <x:v>5109</x:v>
      </x:c>
      <x:c r="K2028" s="24" t="n">
        <x:v>0.20473673908788412</x:v>
      </x:c>
      <x:c r="L2028" s="24" t="n">
        <x:v>0.013701311411235075</x:v>
      </x:c>
    </x:row>
    <x:row r="2029">
      <x:c r="G2029" t="str">
        <x:v>MEM-DAL</x:v>
      </x:c>
      <x:c r="H2029" t="str">
        <x:v>MEM</x:v>
      </x:c>
      <x:c r="I2029" t="str">
        <x:v>DAL</x:v>
      </x:c>
      <x:c r="J2029" s="23" t="n">
        <x:v>1407</x:v>
      </x:c>
      <x:c r="K2029" s="24" t="n">
        <x:v>0.2046908315565032</x:v>
      </x:c>
      <x:c r="L2029" s="24" t="n">
        <x:v>0.007818052594171997</x:v>
      </x:c>
    </x:row>
    <x:row r="2030">
      <x:c r="G2030" t="str">
        <x:v>PIT-PHX</x:v>
      </x:c>
      <x:c r="H2030" t="str">
        <x:v>PIT</x:v>
      </x:c>
      <x:c r="I2030" t="str">
        <x:v>PHX</x:v>
      </x:c>
      <x:c r="J2030" s="23" t="n">
        <x:v>2018</x:v>
      </x:c>
      <x:c r="K2030" s="24" t="n">
        <x:v>0.20465807730426164</x:v>
      </x:c>
      <x:c r="L2030" s="24" t="n">
        <x:v>0.0014866204162537165</x:v>
      </x:c>
    </x:row>
    <x:row r="2031">
      <x:c r="G2031" t="str">
        <x:v>LAS-ORD</x:v>
      </x:c>
      <x:c r="H2031" t="str">
        <x:v>LAS</x:v>
      </x:c>
      <x:c r="I2031" t="str">
        <x:v>ORD</x:v>
      </x:c>
      <x:c r="J2031" s="23" t="n">
        <x:v>15996</x:v>
      </x:c>
      <x:c r="K2031" s="24" t="n">
        <x:v>0.20461365341335333</x:v>
      </x:c>
      <x:c r="L2031" s="24" t="n">
        <x:v>0.010815203800950237</x:v>
      </x:c>
    </x:row>
    <x:row r="2032">
      <x:c r="G2032" t="str">
        <x:v>SMF-DFW</x:v>
      </x:c>
      <x:c r="H2032" t="str">
        <x:v>SMF</x:v>
      </x:c>
      <x:c r="I2032" t="str">
        <x:v>DFW</x:v>
      </x:c>
      <x:c r="J2032" s="23" t="n">
        <x:v>5188</x:v>
      </x:c>
      <x:c r="K2032" s="24" t="n">
        <x:v>0.20451040863531225</x:v>
      </x:c>
      <x:c r="L2032" s="24" t="n">
        <x:v>0.021010023130300693</x:v>
      </x:c>
    </x:row>
    <x:row r="2033">
      <x:c r="G2033" t="str">
        <x:v>JFK-ACK</x:v>
      </x:c>
      <x:c r="H2033" t="str">
        <x:v>JFK</x:v>
      </x:c>
      <x:c r="I2033" t="str">
        <x:v>ACK</x:v>
      </x:c>
      <x:c r="J2033" s="23" t="n">
        <x:v>1110</x:v>
      </x:c>
      <x:c r="K2033" s="24" t="n">
        <x:v>0.2045045045045045</x:v>
      </x:c>
      <x:c r="L2033" s="24" t="n">
        <x:v>0.03873873873873874</x:v>
      </x:c>
    </x:row>
    <x:row r="2034">
      <x:c r="G2034" t="str">
        <x:v>MEM-ORD</x:v>
      </x:c>
      <x:c r="H2034" t="str">
        <x:v>MEM</x:v>
      </x:c>
      <x:c r="I2034" t="str">
        <x:v>ORD</x:v>
      </x:c>
      <x:c r="J2034" s="23" t="n">
        <x:v>5512</x:v>
      </x:c>
      <x:c r="K2034" s="24" t="n">
        <x:v>0.20446298984034833</x:v>
      </x:c>
      <x:c r="L2034" s="24" t="n">
        <x:v>0.013062409288824383</x:v>
      </x:c>
    </x:row>
    <x:row r="2035">
      <x:c r="G2035" t="str">
        <x:v>CMH-SEA</x:v>
      </x:c>
      <x:c r="H2035" t="str">
        <x:v>CMH</x:v>
      </x:c>
      <x:c r="I2035" t="str">
        <x:v>SEA</x:v>
      </x:c>
      <x:c r="J2035" s="23" t="n">
        <x:v>1394</x:v>
      </x:c>
      <x:c r="K2035" s="24" t="n">
        <x:v>0.20444763271162122</x:v>
      </x:c>
      <x:c r="L2035" s="24" t="n">
        <x:v>0.007890961262553802</x:v>
      </x:c>
    </x:row>
    <x:row r="2036">
      <x:c r="G2036" t="str">
        <x:v>ANC-CDV</x:v>
      </x:c>
      <x:c r="H2036" t="str">
        <x:v>ANC</x:v>
      </x:c>
      <x:c r="I2036" t="str">
        <x:v>CDV</x:v>
      </x:c>
      <x:c r="J2036" s="23" t="n">
        <x:v>1086</x:v>
      </x:c>
      <x:c r="K2036" s="24" t="n">
        <x:v>0.20441988950276244</x:v>
      </x:c>
      <x:c r="L2036" s="24" t="n">
        <x:v>0</x:v>
      </x:c>
    </x:row>
    <x:row r="2037">
      <x:c r="G2037" t="str">
        <x:v>LGA-CHS</x:v>
      </x:c>
      <x:c r="H2037" t="str">
        <x:v>LGA</x:v>
      </x:c>
      <x:c r="I2037" t="str">
        <x:v>CHS</x:v>
      </x:c>
      <x:c r="J2037" s="23" t="n">
        <x:v>4721</x:v>
      </x:c>
      <x:c r="K2037" s="24" t="n">
        <x:v>0.2044058462190214</x:v>
      </x:c>
      <x:c r="L2037" s="24" t="n">
        <x:v>0.02901927557720822</x:v>
      </x:c>
    </x:row>
    <x:row r="2038">
      <x:c r="G2038" t="str">
        <x:v>DTW-LAS</x:v>
      </x:c>
      <x:c r="H2038" t="str">
        <x:v>DTW</x:v>
      </x:c>
      <x:c r="I2038" t="str">
        <x:v>LAS</x:v>
      </x:c>
      <x:c r="J2038" s="23" t="n">
        <x:v>9550</x:v>
      </x:c>
      <x:c r="K2038" s="24" t="n">
        <x:v>0.2043979057591623</x:v>
      </x:c>
      <x:c r="L2038" s="24" t="n">
        <x:v>0.0062827225130890054</x:v>
      </x:c>
    </x:row>
    <x:row r="2039">
      <x:c r="G2039" t="str">
        <x:v>JFK-LAS</x:v>
      </x:c>
      <x:c r="H2039" t="str">
        <x:v>JFK</x:v>
      </x:c>
      <x:c r="I2039" t="str">
        <x:v>LAS</x:v>
      </x:c>
      <x:c r="J2039" s="23" t="n">
        <x:v>10246</x:v>
      </x:c>
      <x:c r="K2039" s="24" t="n">
        <x:v>0.20437243802459495</x:v>
      </x:c>
      <x:c r="L2039" s="24" t="n">
        <x:v>0.011809486628928362</x:v>
      </x:c>
    </x:row>
    <x:row r="2040">
      <x:c r="G2040" t="str">
        <x:v>OAK-SEA</x:v>
      </x:c>
      <x:c r="H2040" t="str">
        <x:v>OAK</x:v>
      </x:c>
      <x:c r="I2040" t="str">
        <x:v>SEA</x:v>
      </x:c>
      <x:c r="J2040" s="23" t="n">
        <x:v>6733</x:v>
      </x:c>
      <x:c r="K2040" s="24" t="n">
        <x:v>0.20436655279964355</x:v>
      </x:c>
      <x:c r="L2040" s="24" t="n">
        <x:v>0.006089410366849844</x:v>
      </x:c>
    </x:row>
    <x:row r="2041">
      <x:c r="G2041" t="str">
        <x:v>DCA-ROC</x:v>
      </x:c>
      <x:c r="H2041" t="str">
        <x:v>DCA</x:v>
      </x:c>
      <x:c r="I2041" t="str">
        <x:v>ROC</x:v>
      </x:c>
      <x:c r="J2041" s="23" t="n">
        <x:v>3254</x:v>
      </x:c>
      <x:c r="K2041" s="24" t="n">
        <x:v>0.2043638598647818</x:v>
      </x:c>
      <x:c r="L2041" s="24" t="n">
        <x:v>0.03564843269821758</x:v>
      </x:c>
    </x:row>
    <x:row r="2042">
      <x:c r="G2042" t="str">
        <x:v>CHS-JFK</x:v>
      </x:c>
      <x:c r="H2042" t="str">
        <x:v>CHS</x:v>
      </x:c>
      <x:c r="I2042" t="str">
        <x:v>JFK</x:v>
      </x:c>
      <x:c r="J2042" s="23" t="n">
        <x:v>4278</x:v>
      </x:c>
      <x:c r="K2042" s="24" t="n">
        <x:v>0.20430107526881722</x:v>
      </x:c>
      <x:c r="L2042" s="24" t="n">
        <x:v>0.03225806451612903</x:v>
      </x:c>
    </x:row>
    <x:row r="2043">
      <x:c r="G2043" t="str">
        <x:v>ATL-BUF</x:v>
      </x:c>
      <x:c r="H2043" t="str">
        <x:v>ATL</x:v>
      </x:c>
      <x:c r="I2043" t="str">
        <x:v>BUF</x:v>
      </x:c>
      <x:c r="J2043" s="23" t="n">
        <x:v>3980</x:v>
      </x:c>
      <x:c r="K2043" s="24" t="n">
        <x:v>0.2042713567839196</x:v>
      </x:c>
      <x:c r="L2043" s="24" t="n">
        <x:v>0.015577889447236181</x:v>
      </x:c>
    </x:row>
    <x:row r="2044">
      <x:c r="G2044" t="str">
        <x:v>MDW-MCI</x:v>
      </x:c>
      <x:c r="H2044" t="str">
        <x:v>MDW</x:v>
      </x:c>
      <x:c r="I2044" t="str">
        <x:v>MCI</x:v>
      </x:c>
      <x:c r="J2044" s="23" t="n">
        <x:v>6742</x:v>
      </x:c>
      <x:c r="K2044" s="24" t="n">
        <x:v>0.2042420646692376</x:v>
      </x:c>
      <x:c r="L2044" s="24" t="n">
        <x:v>0.01320083061406111</x:v>
      </x:c>
    </x:row>
    <x:row r="2045">
      <x:c r="G2045" t="str">
        <x:v>IDA-DEN</x:v>
      </x:c>
      <x:c r="H2045" t="str">
        <x:v>IDA</x:v>
      </x:c>
      <x:c r="I2045" t="str">
        <x:v>DEN</x:v>
      </x:c>
      <x:c r="J2045" s="23" t="n">
        <x:v>3824</x:v>
      </x:c>
      <x:c r="K2045" s="24" t="n">
        <x:v>0.20423640167364016</x:v>
      </x:c>
      <x:c r="L2045" s="24" t="n">
        <x:v>0.012290794979079499</x:v>
      </x:c>
    </x:row>
    <x:row r="2046">
      <x:c r="G2046" t="str">
        <x:v>BOS-PHL</x:v>
      </x:c>
      <x:c r="H2046" t="str">
        <x:v>BOS</x:v>
      </x:c>
      <x:c r="I2046" t="str">
        <x:v>PHL</x:v>
      </x:c>
      <x:c r="J2046" s="23" t="n">
        <x:v>14823</x:v>
      </x:c>
      <x:c r="K2046" s="24" t="n">
        <x:v>0.20414221142818592</x:v>
      </x:c>
      <x:c r="L2046" s="24" t="n">
        <x:v>0.018687175335627065</x:v>
      </x:c>
    </x:row>
    <x:row r="2047">
      <x:c r="G2047" t="str">
        <x:v>LAS-SJC</x:v>
      </x:c>
      <x:c r="H2047" t="str">
        <x:v>LAS</x:v>
      </x:c>
      <x:c r="I2047" t="str">
        <x:v>SJC</x:v>
      </x:c>
      <x:c r="J2047" s="23" t="n">
        <x:v>13222</x:v>
      </x:c>
      <x:c r="K2047" s="24" t="n">
        <x:v>0.20412948116775073</x:v>
      </x:c>
      <x:c r="L2047" s="24" t="n">
        <x:v>0.007714415368325518</x:v>
      </x:c>
    </x:row>
    <x:row r="2048">
      <x:c r="G2048" t="str">
        <x:v>DTW-IAH</x:v>
      </x:c>
      <x:c r="H2048" t="str">
        <x:v>DTW</x:v>
      </x:c>
      <x:c r="I2048" t="str">
        <x:v>IAH</x:v>
      </x:c>
      <x:c r="J2048" s="23" t="n">
        <x:v>7021</x:v>
      </x:c>
      <x:c r="K2048" s="24" t="n">
        <x:v>0.20410197977496083</x:v>
      </x:c>
      <x:c r="L2048" s="24" t="n">
        <x:v>0.012533827090158097</x:v>
      </x:c>
    </x:row>
    <x:row r="2049">
      <x:c r="G2049" t="str">
        <x:v>SAN-BWI</x:v>
      </x:c>
      <x:c r="H2049" t="str">
        <x:v>SAN</x:v>
      </x:c>
      <x:c r="I2049" t="str">
        <x:v>BWI</x:v>
      </x:c>
      <x:c r="J2049" s="23" t="n">
        <x:v>2588</x:v>
      </x:c>
      <x:c r="K2049" s="24" t="n">
        <x:v>0.20401854714064915</x:v>
      </x:c>
      <x:c r="L2049" s="24" t="n">
        <x:v>0.0077279752704791345</x:v>
      </x:c>
    </x:row>
    <x:row r="2050">
      <x:c r="G2050" t="str">
        <x:v>TPA-PHX</x:v>
      </x:c>
      <x:c r="H2050" t="str">
        <x:v>TPA</x:v>
      </x:c>
      <x:c r="I2050" t="str">
        <x:v>PHX</x:v>
      </x:c>
      <x:c r="J2050" s="23" t="n">
        <x:v>3387</x:v>
      </x:c>
      <x:c r="K2050" s="24" t="n">
        <x:v>0.20401535281960437</x:v>
      </x:c>
      <x:c r="L2050" s="24" t="n">
        <x:v>0.010333628579864187</x:v>
      </x:c>
    </x:row>
    <x:row r="2051">
      <x:c r="G2051" t="str">
        <x:v>DCA-BTV</x:v>
      </x:c>
      <x:c r="H2051" t="str">
        <x:v>DCA</x:v>
      </x:c>
      <x:c r="I2051" t="str">
        <x:v>BTV</x:v>
      </x:c>
      <x:c r="J2051" s="23" t="n">
        <x:v>3902</x:v>
      </x:c>
      <x:c r="K2051" s="24" t="n">
        <x:v>0.20399794976934904</x:v>
      </x:c>
      <x:c r="L2051" s="24" t="n">
        <x:v>0.027934392619169655</x:v>
      </x:c>
    </x:row>
    <x:row r="2052">
      <x:c r="G2052" t="str">
        <x:v>FLL-STT</x:v>
      </x:c>
      <x:c r="H2052" t="str">
        <x:v>FLL</x:v>
      </x:c>
      <x:c r="I2052" t="str">
        <x:v>STT</x:v>
      </x:c>
      <x:c r="J2052" s="23" t="n">
        <x:v>1255</x:v>
      </x:c>
      <x:c r="K2052" s="24" t="n">
        <x:v>0.20398406374501993</x:v>
      </x:c>
      <x:c r="L2052" s="24" t="n">
        <x:v>0.007171314741035857</x:v>
      </x:c>
    </x:row>
    <x:row r="2053">
      <x:c r="G2053" t="str">
        <x:v>MDW-DTW</x:v>
      </x:c>
      <x:c r="H2053" t="str">
        <x:v>MDW</x:v>
      </x:c>
      <x:c r="I2053" t="str">
        <x:v>DTW</x:v>
      </x:c>
      <x:c r="J2053" s="23" t="n">
        <x:v>6178</x:v>
      </x:c>
      <x:c r="K2053" s="24" t="n">
        <x:v>0.20394949821948852</x:v>
      </x:c>
      <x:c r="L2053" s="24" t="n">
        <x:v>0.010359339592101004</x:v>
      </x:c>
    </x:row>
    <x:row r="2054">
      <x:c r="G2054" t="str">
        <x:v>EWR-JAX</x:v>
      </x:c>
      <x:c r="H2054" t="str">
        <x:v>EWR</x:v>
      </x:c>
      <x:c r="I2054" t="str">
        <x:v>JAX</x:v>
      </x:c>
      <x:c r="J2054" s="23" t="n">
        <x:v>3987</x:v>
      </x:c>
      <x:c r="K2054" s="24" t="n">
        <x:v>0.2039127163280662</x:v>
      </x:c>
      <x:c r="L2054" s="24" t="n">
        <x:v>0.02056684223727113</x:v>
      </x:c>
    </x:row>
    <x:row r="2055">
      <x:c r="G2055" t="str">
        <x:v>LGA-MCI</x:v>
      </x:c>
      <x:c r="H2055" t="str">
        <x:v>LGA</x:v>
      </x:c>
      <x:c r="I2055" t="str">
        <x:v>MCI</x:v>
      </x:c>
      <x:c r="J2055" s="23" t="n">
        <x:v>5955</x:v>
      </x:c>
      <x:c r="K2055" s="24" t="n">
        <x:v>0.2038623005877414</x:v>
      </x:c>
      <x:c r="L2055" s="24" t="n">
        <x:v>0.02871536523929471</x:v>
      </x:c>
    </x:row>
    <x:row r="2056">
      <x:c r="G2056" t="str">
        <x:v>CVG-PHX</x:v>
      </x:c>
      <x:c r="H2056" t="str">
        <x:v>CVG</x:v>
      </x:c>
      <x:c r="I2056" t="str">
        <x:v>PHX</x:v>
      </x:c>
      <x:c r="J2056" s="23" t="n">
        <x:v>1570</x:v>
      </x:c>
      <x:c r="K2056" s="24" t="n">
        <x:v>0.20382165605095542</x:v>
      </x:c>
      <x:c r="L2056" s="24" t="n">
        <x:v>0.005732484076433121</x:v>
      </x:c>
    </x:row>
    <x:row r="2057">
      <x:c r="G2057" t="str">
        <x:v>PHX-ICT</x:v>
      </x:c>
      <x:c r="H2057" t="str">
        <x:v>PHX</x:v>
      </x:c>
      <x:c r="I2057" t="str">
        <x:v>ICT</x:v>
      </x:c>
      <x:c r="J2057" s="23" t="n">
        <x:v>1256</x:v>
      </x:c>
      <x:c r="K2057" s="24" t="n">
        <x:v>0.20382165605095542</x:v>
      </x:c>
      <x:c r="L2057" s="24" t="n">
        <x:v>0.009554140127388535</x:v>
      </x:c>
    </x:row>
    <x:row r="2058">
      <x:c r="G2058" t="str">
        <x:v>BNA-JAX</x:v>
      </x:c>
      <x:c r="H2058" t="str">
        <x:v>BNA</x:v>
      </x:c>
      <x:c r="I2058" t="str">
        <x:v>JAX</x:v>
      </x:c>
      <x:c r="J2058" s="23" t="n">
        <x:v>3003</x:v>
      </x:c>
      <x:c r="K2058" s="24" t="n">
        <x:v>0.2037962037962038</x:v>
      </x:c>
      <x:c r="L2058" s="24" t="n">
        <x:v>0.007326007326007326</x:v>
      </x:c>
    </x:row>
    <x:row r="2059">
      <x:c r="G2059" t="str">
        <x:v>IAH-SAN</x:v>
      </x:c>
      <x:c r="H2059" t="str">
        <x:v>IAH</x:v>
      </x:c>
      <x:c r="I2059" t="str">
        <x:v>SAN</x:v>
      </x:c>
      <x:c r="J2059" s="23" t="n">
        <x:v>5295</x:v>
      </x:c>
      <x:c r="K2059" s="24" t="n">
        <x:v>0.20377714825306895</x:v>
      </x:c>
      <x:c r="L2059" s="24" t="n">
        <x:v>0.013031161473087818</x:v>
      </x:c>
    </x:row>
    <x:row r="2060">
      <x:c r="G2060" t="str">
        <x:v>DEN-MSO</x:v>
      </x:c>
      <x:c r="H2060" t="str">
        <x:v>DEN</x:v>
      </x:c>
      <x:c r="I2060" t="str">
        <x:v>MSO</x:v>
      </x:c>
      <x:c r="J2060" s="23" t="n">
        <x:v>3412</x:v>
      </x:c>
      <x:c r="K2060" s="24" t="n">
        <x:v>0.20369284876905042</x:v>
      </x:c>
      <x:c r="L2060" s="24" t="n">
        <x:v>0.008792497069167644</x:v>
      </x:c>
    </x:row>
    <x:row r="2061">
      <x:c r="G2061" t="str">
        <x:v>PHL-MEM</x:v>
      </x:c>
      <x:c r="H2061" t="str">
        <x:v>PHL</x:v>
      </x:c>
      <x:c r="I2061" t="str">
        <x:v>MEM</x:v>
      </x:c>
      <x:c r="J2061" s="23" t="n">
        <x:v>1851</x:v>
      </x:c>
      <x:c r="K2061" s="24" t="n">
        <x:v>0.2036736898973528</x:v>
      </x:c>
      <x:c r="L2061" s="24" t="n">
        <x:v>0.024311183144246355</x:v>
      </x:c>
    </x:row>
    <x:row r="2062">
      <x:c r="G2062" t="str">
        <x:v>ORD-SDF</x:v>
      </x:c>
      <x:c r="H2062" t="str">
        <x:v>ORD</x:v>
      </x:c>
      <x:c r="I2062" t="str">
        <x:v>SDF</x:v>
      </x:c>
      <x:c r="J2062" s="23" t="n">
        <x:v>6577</x:v>
      </x:c>
      <x:c r="K2062" s="24" t="n">
        <x:v>0.20358826212558917</x:v>
      </x:c>
      <x:c r="L2062" s="24" t="n">
        <x:v>0.014140185494906492</x:v>
      </x:c>
    </x:row>
    <x:row r="2063">
      <x:c r="G2063" t="str">
        <x:v>STL-HOU</x:v>
      </x:c>
      <x:c r="H2063" t="str">
        <x:v>STL</x:v>
      </x:c>
      <x:c r="I2063" t="str">
        <x:v>HOU</x:v>
      </x:c>
      <x:c r="J2063" s="23" t="n">
        <x:v>4519</x:v>
      </x:c>
      <x:c r="K2063" s="24" t="n">
        <x:v>0.20358486390794422</x:v>
      </x:c>
      <x:c r="L2063" s="24" t="n">
        <x:v>0.007523788448771852</x:v>
      </x:c>
    </x:row>
    <x:row r="2064">
      <x:c r="G2064" t="str">
        <x:v>SCE-ORD</x:v>
      </x:c>
      <x:c r="H2064" t="str">
        <x:v>SCE</x:v>
      </x:c>
      <x:c r="I2064" t="str">
        <x:v>ORD</x:v>
      </x:c>
      <x:c r="J2064" s="23" t="n">
        <x:v>2009</x:v>
      </x:c>
      <x:c r="K2064" s="24" t="n">
        <x:v>0.20358387257341962</x:v>
      </x:c>
      <x:c r="L2064" s="24" t="n">
        <x:v>0.01443504230960677</x:v>
      </x:c>
    </x:row>
    <x:row r="2065">
      <x:c r="G2065" t="str">
        <x:v>BNA-DEN</x:v>
      </x:c>
      <x:c r="H2065" t="str">
        <x:v>BNA</x:v>
      </x:c>
      <x:c r="I2065" t="str">
        <x:v>DEN</x:v>
      </x:c>
      <x:c r="J2065" s="23" t="n">
        <x:v>11711</x:v>
      </x:c>
      <x:c r="K2065" s="24" t="n">
        <x:v>0.20356929382631714</x:v>
      </x:c>
      <x:c r="L2065" s="24" t="n">
        <x:v>0.008538980445734779</x:v>
      </x:c>
    </x:row>
    <x:row r="2066">
      <x:c r="G2066" t="str">
        <x:v>DAL-SEA</x:v>
      </x:c>
      <x:c r="H2066" t="str">
        <x:v>DAL</x:v>
      </x:c>
      <x:c r="I2066" t="str">
        <x:v>SEA</x:v>
      </x:c>
      <x:c r="J2066" s="23" t="n">
        <x:v>1071</x:v>
      </x:c>
      <x:c r="K2066" s="24" t="n">
        <x:v>0.20354808590102708</x:v>
      </x:c>
      <x:c r="L2066" s="24" t="n">
        <x:v>0.015873015873015872</x:v>
      </x:c>
    </x:row>
    <x:row r="2067">
      <x:c r="G2067" t="str">
        <x:v>BUF-ATL</x:v>
      </x:c>
      <x:c r="H2067" t="str">
        <x:v>BUF</x:v>
      </x:c>
      <x:c r="I2067" t="str">
        <x:v>ATL</x:v>
      </x:c>
      <x:c r="J2067" s="23" t="n">
        <x:v>3980</x:v>
      </x:c>
      <x:c r="K2067" s="24" t="n">
        <x:v>0.20351758793969849</x:v>
      </x:c>
      <x:c r="L2067" s="24" t="n">
        <x:v>0.016582914572864323</x:v>
      </x:c>
    </x:row>
    <x:row r="2068">
      <x:c r="G2068" t="str">
        <x:v>MDW-ABQ</x:v>
      </x:c>
      <x:c r="H2068" t="str">
        <x:v>MDW</x:v>
      </x:c>
      <x:c r="I2068" t="str">
        <x:v>ABQ</x:v>
      </x:c>
      <x:c r="J2068" s="23" t="n">
        <x:v>1430</x:v>
      </x:c>
      <x:c r="K2068" s="24" t="n">
        <x:v>0.2034965034965035</x:v>
      </x:c>
      <x:c r="L2068" s="24" t="n">
        <x:v>0.006293706293706294</x:v>
      </x:c>
    </x:row>
    <x:row r="2069">
      <x:c r="G2069" t="str">
        <x:v>PDX-DCA</x:v>
      </x:c>
      <x:c r="H2069" t="str">
        <x:v>PDX</x:v>
      </x:c>
      <x:c r="I2069" t="str">
        <x:v>DCA</x:v>
      </x:c>
      <x:c r="J2069" s="23" t="n">
        <x:v>1091</x:v>
      </x:c>
      <x:c r="K2069" s="24" t="n">
        <x:v>0.20348304307974335</x:v>
      </x:c>
      <x:c r="L2069" s="24" t="n">
        <x:v>0.0036663611365719525</x:v>
      </x:c>
    </x:row>
    <x:row r="2070">
      <x:c r="G2070" t="str">
        <x:v>RIC-LGA</x:v>
      </x:c>
      <x:c r="H2070" t="str">
        <x:v>RIC</x:v>
      </x:c>
      <x:c r="I2070" t="str">
        <x:v>LGA</x:v>
      </x:c>
      <x:c r="J2070" s="23" t="n">
        <x:v>6320</x:v>
      </x:c>
      <x:c r="K2070" s="24" t="n">
        <x:v>0.20348101265822785</x:v>
      </x:c>
      <x:c r="L2070" s="24" t="n">
        <x:v>0.034968354430379746</x:v>
      </x:c>
    </x:row>
    <x:row r="2071">
      <x:c r="G2071" t="str">
        <x:v>CID-DEN</x:v>
      </x:c>
      <x:c r="H2071" t="str">
        <x:v>CID</x:v>
      </x:c>
      <x:c r="I2071" t="str">
        <x:v>DEN</x:v>
      </x:c>
      <x:c r="J2071" s="23" t="n">
        <x:v>3111</x:v>
      </x:c>
      <x:c r="K2071" s="24" t="n">
        <x:v>0.2034715525554484</x:v>
      </x:c>
      <x:c r="L2071" s="24" t="n">
        <x:v>0.014143362262937963</x:v>
      </x:c>
    </x:row>
    <x:row r="2072">
      <x:c r="G2072" t="str">
        <x:v>MSP-SBN</x:v>
      </x:c>
      <x:c r="H2072" t="str">
        <x:v>MSP</x:v>
      </x:c>
      <x:c r="I2072" t="str">
        <x:v>SBN</x:v>
      </x:c>
      <x:c r="J2072" s="23" t="n">
        <x:v>1096</x:v>
      </x:c>
      <x:c r="K2072" s="24" t="n">
        <x:v>0.20346715328467152</x:v>
      </x:c>
      <x:c r="L2072" s="24" t="n">
        <x:v>0.0072992700729927005</x:v>
      </x:c>
    </x:row>
    <x:row r="2073">
      <x:c r="G2073" t="str">
        <x:v>ATL-IAD</x:v>
      </x:c>
      <x:c r="H2073" t="str">
        <x:v>ATL</x:v>
      </x:c>
      <x:c r="I2073" t="str">
        <x:v>IAD</x:v>
      </x:c>
      <x:c r="J2073" s="23" t="n">
        <x:v>10608</x:v>
      </x:c>
      <x:c r="K2073" s="24" t="n">
        <x:v>0.2034313725490196</x:v>
      </x:c>
      <x:c r="L2073" s="24" t="n">
        <x:v>0.010935143288084464</x:v>
      </x:c>
    </x:row>
    <x:row r="2074">
      <x:c r="G2074" t="str">
        <x:v>DFW-GRK</x:v>
      </x:c>
      <x:c r="H2074" t="str">
        <x:v>DFW</x:v>
      </x:c>
      <x:c r="I2074" t="str">
        <x:v>GRK</x:v>
      </x:c>
      <x:c r="J2074" s="23" t="n">
        <x:v>5191</x:v>
      </x:c>
      <x:c r="K2074" s="24" t="n">
        <x:v>0.2034290117511077</x:v>
      </x:c>
      <x:c r="L2074" s="24" t="n">
        <x:v>0.02369485648237334</x:v>
      </x:c>
    </x:row>
    <x:row r="2075">
      <x:c r="G2075" t="str">
        <x:v>OKC-DCA</x:v>
      </x:c>
      <x:c r="H2075" t="str">
        <x:v>OKC</x:v>
      </x:c>
      <x:c r="I2075" t="str">
        <x:v>DCA</x:v>
      </x:c>
      <x:c r="J2075" s="23" t="n">
        <x:v>2104</x:v>
      </x:c>
      <x:c r="K2075" s="24" t="n">
        <x:v>0.20342205323193915</x:v>
      </x:c>
      <x:c r="L2075" s="24" t="n">
        <x:v>0.01758555133079848</x:v>
      </x:c>
    </x:row>
    <x:row r="2076">
      <x:c r="G2076" t="str">
        <x:v>BOS-DCA</x:v>
      </x:c>
      <x:c r="H2076" t="str">
        <x:v>BOS</x:v>
      </x:c>
      <x:c r="I2076" t="str">
        <x:v>DCA</x:v>
      </x:c>
      <x:c r="J2076" s="23" t="n">
        <x:v>28532</x:v>
      </x:c>
      <x:c r="K2076" s="24" t="n">
        <x:v>0.2033506238609281</x:v>
      </x:c>
      <x:c r="L2076" s="24" t="n">
        <x:v>0.021975325949810737</x:v>
      </x:c>
    </x:row>
    <x:row r="2077">
      <x:c r="G2077" t="str">
        <x:v>HPN-DTW</x:v>
      </x:c>
      <x:c r="H2077" t="str">
        <x:v>HPN</x:v>
      </x:c>
      <x:c r="I2077" t="str">
        <x:v>DTW</x:v>
      </x:c>
      <x:c r="J2077" s="23" t="n">
        <x:v>2390</x:v>
      </x:c>
      <x:c r="K2077" s="24" t="n">
        <x:v>0.20334728033472804</x:v>
      </x:c>
      <x:c r="L2077" s="24" t="n">
        <x:v>0.015481171548117154</x:v>
      </x:c>
    </x:row>
    <x:row r="2078">
      <x:c r="G2078" t="str">
        <x:v>MFE-AUS</x:v>
      </x:c>
      <x:c r="H2078" t="str">
        <x:v>MFE</x:v>
      </x:c>
      <x:c r="I2078" t="str">
        <x:v>AUS</x:v>
      </x:c>
      <x:c r="J2078" s="23" t="n">
        <x:v>1722</x:v>
      </x:c>
      <x:c r="K2078" s="24" t="n">
        <x:v>0.2032520325203252</x:v>
      </x:c>
      <x:c r="L2078" s="24" t="n">
        <x:v>0.005226480836236934</x:v>
      </x:c>
    </x:row>
    <x:row r="2079">
      <x:c r="G2079" t="str">
        <x:v>BUF-BOS</x:v>
      </x:c>
      <x:c r="H2079" t="str">
        <x:v>BUF</x:v>
      </x:c>
      <x:c r="I2079" t="str">
        <x:v>BOS</x:v>
      </x:c>
      <x:c r="J2079" s="23" t="n">
        <x:v>3002</x:v>
      </x:c>
      <x:c r="K2079" s="24" t="n">
        <x:v>0.20319786808794138</x:v>
      </x:c>
      <x:c r="L2079" s="24" t="n">
        <x:v>0.01765489673550966</x:v>
      </x:c>
    </x:row>
    <x:row r="2080">
      <x:c r="G2080" t="str">
        <x:v>PHX-AUS</x:v>
      </x:c>
      <x:c r="H2080" t="str">
        <x:v>PHX</x:v>
      </x:c>
      <x:c r="I2080" t="str">
        <x:v>AUS</x:v>
      </x:c>
      <x:c r="J2080" s="23" t="n">
        <x:v>10091</x:v>
      </x:c>
      <x:c r="K2080" s="24" t="n">
        <x:v>0.2031513229610544</x:v>
      </x:c>
      <x:c r="L2080" s="24" t="n">
        <x:v>0.006144088791992865</x:v>
      </x:c>
    </x:row>
    <x:row r="2081">
      <x:c r="G2081" t="str">
        <x:v>MDW-CMH</x:v>
      </x:c>
      <x:c r="H2081" t="str">
        <x:v>MDW</x:v>
      </x:c>
      <x:c r="I2081" t="str">
        <x:v>CMH</x:v>
      </x:c>
      <x:c r="J2081" s="23" t="n">
        <x:v>4319</x:v>
      </x:c>
      <x:c r="K2081" s="24" t="n">
        <x:v>0.2030562630238481</x:v>
      </x:c>
      <x:c r="L2081" s="24" t="n">
        <x:v>0.01389210465385506</x:v>
      </x:c>
    </x:row>
    <x:row r="2082">
      <x:c r="G2082" t="str">
        <x:v>AUS-SFO</x:v>
      </x:c>
      <x:c r="H2082" t="str">
        <x:v>AUS</x:v>
      </x:c>
      <x:c r="I2082" t="str">
        <x:v>SFO</x:v>
      </x:c>
      <x:c r="J2082" s="23" t="n">
        <x:v>6684</x:v>
      </x:c>
      <x:c r="K2082" s="24" t="n">
        <x:v>0.20302214242968283</x:v>
      </x:c>
      <x:c r="L2082" s="24" t="n">
        <x:v>0.01331538001196888</x:v>
      </x:c>
    </x:row>
    <x:row r="2083">
      <x:c r="G2083" t="str">
        <x:v>DAL-ORD</x:v>
      </x:c>
      <x:c r="H2083" t="str">
        <x:v>DAL</x:v>
      </x:c>
      <x:c r="I2083" t="str">
        <x:v>ORD</x:v>
      </x:c>
      <x:c r="J2083" s="23" t="n">
        <x:v>3557</x:v>
      </x:c>
      <x:c r="K2083" s="24" t="n">
        <x:v>0.2029800393590104</x:v>
      </x:c>
      <x:c r="L2083" s="24" t="n">
        <x:v>0.016587011526567334</x:v>
      </x:c>
    </x:row>
    <x:row r="2084">
      <x:c r="G2084" t="str">
        <x:v>HHH-CLT</x:v>
      </x:c>
      <x:c r="H2084" t="str">
        <x:v>HHH</x:v>
      </x:c>
      <x:c r="I2084" t="str">
        <x:v>CLT</x:v>
      </x:c>
      <x:c r="J2084" s="23" t="n">
        <x:v>2927</x:v>
      </x:c>
      <x:c r="K2084" s="24" t="n">
        <x:v>0.20293816194055347</x:v>
      </x:c>
      <x:c r="L2084" s="24" t="n">
        <x:v>0.01742398360095661</x:v>
      </x:c>
    </x:row>
    <x:row r="2085">
      <x:c r="G2085" t="str">
        <x:v>AUS-BNA</x:v>
      </x:c>
      <x:c r="H2085" t="str">
        <x:v>AUS</x:v>
      </x:c>
      <x:c r="I2085" t="str">
        <x:v>BNA</x:v>
      </x:c>
      <x:c r="J2085" s="23" t="n">
        <x:v>8772</x:v>
      </x:c>
      <x:c r="K2085" s="24" t="n">
        <x:v>0.2029183766529868</x:v>
      </x:c>
      <x:c r="L2085" s="24" t="n">
        <x:v>0.007523939808481532</x:v>
      </x:c>
    </x:row>
    <x:row r="2086">
      <x:c r="G2086" t="str">
        <x:v>DAL-LGB</x:v>
      </x:c>
      <x:c r="H2086" t="str">
        <x:v>DAL</x:v>
      </x:c>
      <x:c r="I2086" t="str">
        <x:v>LGB</x:v>
      </x:c>
      <x:c r="J2086" s="23" t="n">
        <x:v>1853</x:v>
      </x:c>
      <x:c r="K2086" s="24" t="n">
        <x:v>0.20291419320021586</x:v>
      </x:c>
      <x:c r="L2086" s="24" t="n">
        <x:v>0.009174311926605505</x:v>
      </x:c>
    </x:row>
    <x:row r="2087">
      <x:c r="G2087" t="str">
        <x:v>RIC-FLL</x:v>
      </x:c>
      <x:c r="H2087" t="str">
        <x:v>RIC</x:v>
      </x:c>
      <x:c r="I2087" t="str">
        <x:v>FLL</x:v>
      </x:c>
      <x:c r="J2087" s="23" t="n">
        <x:v>2484</x:v>
      </x:c>
      <x:c r="K2087" s="24" t="n">
        <x:v>0.2028985507246377</x:v>
      </x:c>
      <x:c r="L2087" s="24" t="n">
        <x:v>0.013687600644122383</x:v>
      </x:c>
    </x:row>
    <x:row r="2088">
      <x:c r="G2088" t="str">
        <x:v>MSY-DEN</x:v>
      </x:c>
      <x:c r="H2088" t="str">
        <x:v>MSY</x:v>
      </x:c>
      <x:c r="I2088" t="str">
        <x:v>DEN</x:v>
      </x:c>
      <x:c r="J2088" s="23" t="n">
        <x:v>6803</x:v>
      </x:c>
      <x:c r="K2088" s="24" t="n">
        <x:v>0.2028516830809937</x:v>
      </x:c>
      <x:c r="L2088" s="24" t="n">
        <x:v>0.012347493752756136</x:v>
      </x:c>
    </x:row>
    <x:row r="2089">
      <x:c r="G2089" t="str">
        <x:v>DFW-ACT</x:v>
      </x:c>
      <x:c r="H2089" t="str">
        <x:v>DFW</x:v>
      </x:c>
      <x:c r="I2089" t="str">
        <x:v>ACT</x:v>
      </x:c>
      <x:c r="J2089" s="23" t="n">
        <x:v>3244</x:v>
      </x:c>
      <x:c r="K2089" s="24" t="n">
        <x:v>0.20283600493218248</x:v>
      </x:c>
      <x:c r="L2089" s="24" t="n">
        <x:v>0.031442663378545004</x:v>
      </x:c>
    </x:row>
    <x:row r="2090">
      <x:c r="G2090" t="str">
        <x:v>LAX-EWR</x:v>
      </x:c>
      <x:c r="H2090" t="str">
        <x:v>LAX</x:v>
      </x:c>
      <x:c r="I2090" t="str">
        <x:v>EWR</x:v>
      </x:c>
      <x:c r="J2090" s="23" t="n">
        <x:v>16690</x:v>
      </x:c>
      <x:c r="K2090" s="24" t="n">
        <x:v>0.20281605751947274</x:v>
      </x:c>
      <x:c r="L2090" s="24" t="n">
        <x:v>0.01761533852606351</x:v>
      </x:c>
    </x:row>
    <x:row r="2091">
      <x:c r="G2091" t="str">
        <x:v>BIL-DEN</x:v>
      </x:c>
      <x:c r="H2091" t="str">
        <x:v>BIL</x:v>
      </x:c>
      <x:c r="I2091" t="str">
        <x:v>DEN</x:v>
      </x:c>
      <x:c r="J2091" s="23" t="n">
        <x:v>4206</x:v>
      </x:c>
      <x:c r="K2091" s="24" t="n">
        <x:v>0.20280551592962434</x:v>
      </x:c>
      <x:c r="L2091" s="24" t="n">
        <x:v>0.01331431288635283</x:v>
      </x:c>
    </x:row>
    <x:row r="2092">
      <x:c r="G2092" t="str">
        <x:v>DEN-MRY</x:v>
      </x:c>
      <x:c r="H2092" t="str">
        <x:v>DEN</x:v>
      </x:c>
      <x:c r="I2092" t="str">
        <x:v>MRY</x:v>
      </x:c>
      <x:c r="J2092" s="23" t="n">
        <x:v>1727</x:v>
      </x:c>
      <x:c r="K2092" s="24" t="n">
        <x:v>0.2026635784597568</x:v>
      </x:c>
      <x:c r="L2092" s="24" t="n">
        <x:v>0.0052113491603937466</x:v>
      </x:c>
    </x:row>
    <x:row r="2093">
      <x:c r="G2093" t="str">
        <x:v>BOI-LAS</x:v>
      </x:c>
      <x:c r="H2093" t="str">
        <x:v>BOI</x:v>
      </x:c>
      <x:c r="I2093" t="str">
        <x:v>LAS</x:v>
      </x:c>
      <x:c r="J2093" s="23" t="n">
        <x:v>4728</x:v>
      </x:c>
      <x:c r="K2093" s="24" t="n">
        <x:v>0.20262267343485618</x:v>
      </x:c>
      <x:c r="L2093" s="24" t="n">
        <x:v>0.008037225042301184</x:v>
      </x:c>
    </x:row>
    <x:row r="2094">
      <x:c r="G2094" t="str">
        <x:v>PRC-DEN</x:v>
      </x:c>
      <x:c r="H2094" t="str">
        <x:v>PRC</x:v>
      </x:c>
      <x:c r="I2094" t="str">
        <x:v>DEN</x:v>
      </x:c>
      <x:c r="J2094" s="23" t="n">
        <x:v>1160</x:v>
      </x:c>
      <x:c r="K2094" s="24" t="n">
        <x:v>0.2025862068965517</x:v>
      </x:c>
      <x:c r="L2094" s="24" t="n">
        <x:v>0.004310344827586207</x:v>
      </x:c>
    </x:row>
    <x:row r="2095">
      <x:c r="G2095" t="str">
        <x:v>XWA-MSP</x:v>
      </x:c>
      <x:c r="H2095" t="str">
        <x:v>XWA</x:v>
      </x:c>
      <x:c r="I2095" t="str">
        <x:v>MSP</x:v>
      </x:c>
      <x:c r="J2095" s="23" t="n">
        <x:v>2256</x:v>
      </x:c>
      <x:c r="K2095" s="24" t="n">
        <x:v>0.2025709219858156</x:v>
      </x:c>
      <x:c r="L2095" s="24" t="n">
        <x:v>0.012411347517730497</x:v>
      </x:c>
    </x:row>
    <x:row r="2096">
      <x:c r="G2096" t="str">
        <x:v>MSP-DEN</x:v>
      </x:c>
      <x:c r="H2096" t="str">
        <x:v>MSP</x:v>
      </x:c>
      <x:c r="I2096" t="str">
        <x:v>DEN</x:v>
      </x:c>
      <x:c r="J2096" s="23" t="n">
        <x:v>18459</x:v>
      </x:c>
      <x:c r="K2096" s="24" t="n">
        <x:v>0.20255701825667696</x:v>
      </x:c>
      <x:c r="L2096" s="24" t="n">
        <x:v>0.009968037271791538</x:v>
      </x:c>
    </x:row>
    <x:row r="2097">
      <x:c r="G2097" t="str">
        <x:v>DTW-IAD</x:v>
      </x:c>
      <x:c r="H2097" t="str">
        <x:v>DTW</x:v>
      </x:c>
      <x:c r="I2097" t="str">
        <x:v>IAD</x:v>
      </x:c>
      <x:c r="J2097" s="23" t="n">
        <x:v>3767</x:v>
      </x:c>
      <x:c r="K2097" s="24" t="n">
        <x:v>0.20254844704008496</x:v>
      </x:c>
      <x:c r="L2097" s="24" t="n">
        <x:v>0.005840191133528006</x:v>
      </x:c>
    </x:row>
    <x:row r="2098">
      <x:c r="G2098" t="str">
        <x:v>SAF-DEN</x:v>
      </x:c>
      <x:c r="H2098" t="str">
        <x:v>SAF</x:v>
      </x:c>
      <x:c r="I2098" t="str">
        <x:v>DEN</x:v>
      </x:c>
      <x:c r="J2098" s="23" t="n">
        <x:v>2276</x:v>
      </x:c>
      <x:c r="K2098" s="24" t="n">
        <x:v>0.20254833040421794</x:v>
      </x:c>
      <x:c r="L2098" s="24" t="n">
        <x:v>0.01054481546572935</x:v>
      </x:c>
    </x:row>
    <x:row r="2099">
      <x:c r="G2099" t="str">
        <x:v>AUS-CVG</x:v>
      </x:c>
      <x:c r="H2099" t="str">
        <x:v>AUS</x:v>
      </x:c>
      <x:c r="I2099" t="str">
        <x:v>CVG</x:v>
      </x:c>
      <x:c r="J2099" s="23" t="n">
        <x:v>1590</x:v>
      </x:c>
      <x:c r="K2099" s="24" t="n">
        <x:v>0.20251572327044026</x:v>
      </x:c>
      <x:c r="L2099" s="24" t="n">
        <x:v>0.005660377358490566</x:v>
      </x:c>
    </x:row>
    <x:row r="2100">
      <x:c r="G2100" t="str">
        <x:v>CLT-GPT</x:v>
      </x:c>
      <x:c r="H2100" t="str">
        <x:v>CLT</x:v>
      </x:c>
      <x:c r="I2100" t="str">
        <x:v>GPT</x:v>
      </x:c>
      <x:c r="J2100" s="23" t="n">
        <x:v>2716</x:v>
      </x:c>
      <x:c r="K2100" s="24" t="n">
        <x:v>0.2025036818851252</x:v>
      </x:c>
      <x:c r="L2100" s="24" t="n">
        <x:v>0.02025036818851252</x:v>
      </x:c>
    </x:row>
    <x:row r="2101">
      <x:c r="G2101" t="str">
        <x:v>BOS-CVG</x:v>
      </x:c>
      <x:c r="H2101" t="str">
        <x:v>BOS</x:v>
      </x:c>
      <x:c r="I2101" t="str">
        <x:v>CVG</x:v>
      </x:c>
      <x:c r="J2101" s="23" t="n">
        <x:v>5378</x:v>
      </x:c>
      <x:c r="K2101" s="24" t="n">
        <x:v>0.20249163257716624</x:v>
      </x:c>
      <x:c r="L2101" s="24" t="n">
        <x:v>0.015991074748977315</x:v>
      </x:c>
    </x:row>
    <x:row r="2102">
      <x:c r="G2102" t="str">
        <x:v>IAH-MSY</x:v>
      </x:c>
      <x:c r="H2102" t="str">
        <x:v>IAH</x:v>
      </x:c>
      <x:c r="I2102" t="str">
        <x:v>MSY</x:v>
      </x:c>
      <x:c r="J2102" s="23" t="n">
        <x:v>9275</x:v>
      </x:c>
      <x:c r="K2102" s="24" t="n">
        <x:v>0.20247978436657682</x:v>
      </x:c>
      <x:c r="L2102" s="24" t="n">
        <x:v>0.016388140161725066</x:v>
      </x:c>
    </x:row>
    <x:row r="2103">
      <x:c r="G2103" t="str">
        <x:v>EYW-MIA</x:v>
      </x:c>
      <x:c r="H2103" t="str">
        <x:v>EYW</x:v>
      </x:c>
      <x:c r="I2103" t="str">
        <x:v>MIA</x:v>
      </x:c>
      <x:c r="J2103" s="23" t="n">
        <x:v>3631</x:v>
      </x:c>
      <x:c r="K2103" s="24" t="n">
        <x:v>0.20242357477278985</x:v>
      </x:c>
      <x:c r="L2103" s="24" t="n">
        <x:v>0.015422748554117323</x:v>
      </x:c>
    </x:row>
    <x:row r="2104">
      <x:c r="G2104" t="str">
        <x:v>ATL-DAL</x:v>
      </x:c>
      <x:c r="H2104" t="str">
        <x:v>ATL</x:v>
      </x:c>
      <x:c r="I2104" t="str">
        <x:v>DAL</x:v>
      </x:c>
      <x:c r="J2104" s="23" t="n">
        <x:v>10525</x:v>
      </x:c>
      <x:c r="K2104" s="24" t="n">
        <x:v>0.202375296912114</x:v>
      </x:c>
      <x:c r="L2104" s="24" t="n">
        <x:v>0.011021377672209027</x:v>
      </x:c>
    </x:row>
    <x:row r="2105">
      <x:c r="G2105" t="str">
        <x:v>CLT-SBN</x:v>
      </x:c>
      <x:c r="H2105" t="str">
        <x:v>CLT</x:v>
      </x:c>
      <x:c r="I2105" t="str">
        <x:v>SBN</x:v>
      </x:c>
      <x:c r="J2105" s="23" t="n">
        <x:v>3291</x:v>
      </x:c>
      <x:c r="K2105" s="24" t="n">
        <x:v>0.2023701002734731</x:v>
      </x:c>
      <x:c r="L2105" s="24" t="n">
        <x:v>0.012154360376785172</x:v>
      </x:c>
    </x:row>
    <x:row r="2106">
      <x:c r="G2106" t="str">
        <x:v>PHX-MDW</x:v>
      </x:c>
      <x:c r="H2106" t="str">
        <x:v>PHX</x:v>
      </x:c>
      <x:c r="I2106" t="str">
        <x:v>MDW</x:v>
      </x:c>
      <x:c r="J2106" s="23" t="n">
        <x:v>9068</x:v>
      </x:c>
      <x:c r="K2106" s="24" t="n">
        <x:v>0.20235994706660784</x:v>
      </x:c>
      <x:c r="L2106" s="24" t="n">
        <x:v>0.008491398323775915</x:v>
      </x:c>
    </x:row>
    <x:row r="2107">
      <x:c r="G2107" t="str">
        <x:v>RDU-TPA</x:v>
      </x:c>
      <x:c r="H2107" t="str">
        <x:v>RDU</x:v>
      </x:c>
      <x:c r="I2107" t="str">
        <x:v>TPA</x:v>
      </x:c>
      <x:c r="J2107" s="23" t="n">
        <x:v>3899</x:v>
      </x:c>
      <x:c r="K2107" s="24" t="n">
        <x:v>0.20235957937932803</x:v>
      </x:c>
      <x:c r="L2107" s="24" t="n">
        <x:v>0.015132085150038471</x:v>
      </x:c>
    </x:row>
    <x:row r="2108">
      <x:c r="G2108" t="str">
        <x:v>CLT-GSO</x:v>
      </x:c>
      <x:c r="H2108" t="str">
        <x:v>CLT</x:v>
      </x:c>
      <x:c r="I2108" t="str">
        <x:v>GSO</x:v>
      </x:c>
      <x:c r="J2108" s="23" t="n">
        <x:v>6103</x:v>
      </x:c>
      <x:c r="K2108" s="24" t="n">
        <x:v>0.20235949533016548</x:v>
      </x:c>
      <x:c r="L2108" s="24" t="n">
        <x:v>0.012780599705063084</x:v>
      </x:c>
    </x:row>
    <x:row r="2109">
      <x:c r="G2109" t="str">
        <x:v>MFR-SFO</x:v>
      </x:c>
      <x:c r="H2109" t="str">
        <x:v>MFR</x:v>
      </x:c>
      <x:c r="I2109" t="str">
        <x:v>SFO</x:v>
      </x:c>
      <x:c r="J2109" s="23" t="n">
        <x:v>2847</x:v>
      </x:c>
      <x:c r="K2109" s="24" t="n">
        <x:v>0.20231822971549</x:v>
      </x:c>
      <x:c r="L2109" s="24" t="n">
        <x:v>0.009834913944502985</x:v>
      </x:c>
    </x:row>
    <x:row r="2110">
      <x:c r="G2110" t="str">
        <x:v>DTW-ORD</x:v>
      </x:c>
      <x:c r="H2110" t="str">
        <x:v>DTW</x:v>
      </x:c>
      <x:c r="I2110" t="str">
        <x:v>ORD</x:v>
      </x:c>
      <x:c r="J2110" s="23" t="n">
        <x:v>16106</x:v>
      </x:c>
      <x:c r="K2110" s="24" t="n">
        <x:v>0.20228486278405564</x:v>
      </x:c>
      <x:c r="L2110" s="24" t="n">
        <x:v>0.015460076989941637</x:v>
      </x:c>
    </x:row>
    <x:row r="2111">
      <x:c r="G2111" t="str">
        <x:v>ILM-DFW</x:v>
      </x:c>
      <x:c r="H2111" t="str">
        <x:v>ILM</x:v>
      </x:c>
      <x:c r="I2111" t="str">
        <x:v>DFW</x:v>
      </x:c>
      <x:c r="J2111" s="23" t="n">
        <x:v>1760</x:v>
      </x:c>
      <x:c r="K2111" s="24" t="n">
        <x:v>0.20227272727272727</x:v>
      </x:c>
      <x:c r="L2111" s="24" t="n">
        <x:v>0.016477272727272726</x:v>
      </x:c>
    </x:row>
    <x:row r="2112">
      <x:c r="G2112" t="str">
        <x:v>MYR-PHL</x:v>
      </x:c>
      <x:c r="H2112" t="str">
        <x:v>MYR</x:v>
      </x:c>
      <x:c r="I2112" t="str">
        <x:v>PHL</x:v>
      </x:c>
      <x:c r="J2112" s="23" t="n">
        <x:v>1419</x:v>
      </x:c>
      <x:c r="K2112" s="24" t="n">
        <x:v>0.2022551092318534</x:v>
      </x:c>
      <x:c r="L2112" s="24" t="n">
        <x:v>0.03171247357293869</x:v>
      </x:c>
    </x:row>
    <x:row r="2113">
      <x:c r="G2113" t="str">
        <x:v>MCI-IND</x:v>
      </x:c>
      <x:c r="H2113" t="str">
        <x:v>MCI</x:v>
      </x:c>
      <x:c r="I2113" t="str">
        <x:v>IND</x:v>
      </x:c>
      <x:c r="J2113" s="23" t="n">
        <x:v>1162</x:v>
      </x:c>
      <x:c r="K2113" s="24" t="n">
        <x:v>0.20223752151462995</x:v>
      </x:c>
      <x:c r="L2113" s="24" t="n">
        <x:v>0.0025817555938037868</x:v>
      </x:c>
    </x:row>
    <x:row r="2114">
      <x:c r="G2114" t="str">
        <x:v>BQK-ATL</x:v>
      </x:c>
      <x:c r="H2114" t="str">
        <x:v>BQK</x:v>
      </x:c>
      <x:c r="I2114" t="str">
        <x:v>ATL</x:v>
      </x:c>
      <x:c r="J2114" s="23" t="n">
        <x:v>1523</x:v>
      </x:c>
      <x:c r="K2114" s="24" t="n">
        <x:v>0.20223243598161522</x:v>
      </x:c>
      <x:c r="L2114" s="24" t="n">
        <x:v>0.003282994090610637</x:v>
      </x:c>
    </x:row>
    <x:row r="2115">
      <x:c r="G2115" t="str">
        <x:v>AUS-LAX</x:v>
      </x:c>
      <x:c r="H2115" t="str">
        <x:v>AUS</x:v>
      </x:c>
      <x:c r="I2115" t="str">
        <x:v>LAX</x:v>
      </x:c>
      <x:c r="J2115" s="23" t="n">
        <x:v>12408</x:v>
      </x:c>
      <x:c r="K2115" s="24" t="n">
        <x:v>0.20220825274016763</x:v>
      </x:c>
      <x:c r="L2115" s="24" t="n">
        <x:v>0.007736943907156673</x:v>
      </x:c>
    </x:row>
    <x:row r="2116">
      <x:c r="G2116" t="str">
        <x:v>RSW-EWR</x:v>
      </x:c>
      <x:c r="H2116" t="str">
        <x:v>RSW</x:v>
      </x:c>
      <x:c r="I2116" t="str">
        <x:v>EWR</x:v>
      </x:c>
      <x:c r="J2116" s="23" t="n">
        <x:v>6266</x:v>
      </x:c>
      <x:c r="K2116" s="24" t="n">
        <x:v>0.2022023619533993</x:v>
      </x:c>
      <x:c r="L2116" s="24" t="n">
        <x:v>0.025215448451962975</x:v>
      </x:c>
    </x:row>
    <x:row r="2117">
      <x:c r="G2117" t="str">
        <x:v>JFK-PHX</x:v>
      </x:c>
      <x:c r="H2117" t="str">
        <x:v>JFK</x:v>
      </x:c>
      <x:c r="I2117" t="str">
        <x:v>PHX</x:v>
      </x:c>
      <x:c r="J2117" s="23" t="n">
        <x:v>7958</x:v>
      </x:c>
      <x:c r="K2117" s="24" t="n">
        <x:v>0.20218647901482784</x:v>
      </x:c>
      <x:c r="L2117" s="24" t="n">
        <x:v>0.01206333249560191</x:v>
      </x:c>
    </x:row>
    <x:row r="2118">
      <x:c r="G2118" t="str">
        <x:v>JFK-BTV</x:v>
      </x:c>
      <x:c r="H2118" t="str">
        <x:v>JFK</x:v>
      </x:c>
      <x:c r="I2118" t="str">
        <x:v>BTV</x:v>
      </x:c>
      <x:c r="J2118" s="23" t="n">
        <x:v>2399</x:v>
      </x:c>
      <x:c r="K2118" s="24" t="n">
        <x:v>0.20216756982075865</x:v>
      </x:c>
      <x:c r="L2118" s="24" t="n">
        <x:v>0.032096706961233845</x:v>
      </x:c>
    </x:row>
    <x:row r="2119">
      <x:c r="G2119" t="str">
        <x:v>JFK-MSY</x:v>
      </x:c>
      <x:c r="H2119" t="str">
        <x:v>JFK</x:v>
      </x:c>
      <x:c r="I2119" t="str">
        <x:v>MSY</x:v>
      </x:c>
      <x:c r="J2119" s="23" t="n">
        <x:v>3538</x:v>
      </x:c>
      <x:c r="K2119" s="24" t="n">
        <x:v>0.20209157716223855</x:v>
      </x:c>
      <x:c r="L2119" s="24" t="n">
        <x:v>0.021763708309779535</x:v>
      </x:c>
    </x:row>
    <x:row r="2120">
      <x:c r="G2120" t="str">
        <x:v>PIT-LAS</x:v>
      </x:c>
      <x:c r="H2120" t="str">
        <x:v>PIT</x:v>
      </x:c>
      <x:c r="I2120" t="str">
        <x:v>LAS</x:v>
      </x:c>
      <x:c r="J2120" s="23" t="n">
        <x:v>2623</x:v>
      </x:c>
      <x:c r="K2120" s="24" t="n">
        <x:v>0.20205871139916126</x:v>
      </x:c>
      <x:c r="L2120" s="24" t="n">
        <x:v>0.004574914220358368</x:v>
      </x:c>
    </x:row>
    <x:row r="2121">
      <x:c r="G2121" t="str">
        <x:v>HOU-MCO</x:v>
      </x:c>
      <x:c r="H2121" t="str">
        <x:v>HOU</x:v>
      </x:c>
      <x:c r="I2121" t="str">
        <x:v>MCO</x:v>
      </x:c>
      <x:c r="J2121" s="23" t="n">
        <x:v>6028</x:v>
      </x:c>
      <x:c r="K2121" s="24" t="n">
        <x:v>0.20205706702057066</x:v>
      </x:c>
      <x:c r="L2121" s="24" t="n">
        <x:v>0.013105507631055077</x:v>
      </x:c>
    </x:row>
    <x:row r="2122">
      <x:c r="G2122" t="str">
        <x:v>DTW-TPA</x:v>
      </x:c>
      <x:c r="H2122" t="str">
        <x:v>DTW</x:v>
      </x:c>
      <x:c r="I2122" t="str">
        <x:v>TPA</x:v>
      </x:c>
      <x:c r="J2122" s="23" t="n">
        <x:v>7122</x:v>
      </x:c>
      <x:c r="K2122" s="24" t="n">
        <x:v>0.20204998595900028</x:v>
      </x:c>
      <x:c r="L2122" s="24" t="n">
        <x:v>0.015585509688289806</x:v>
      </x:c>
    </x:row>
    <x:row r="2123">
      <x:c r="G2123" t="str">
        <x:v>ABQ-LAS</x:v>
      </x:c>
      <x:c r="H2123" t="str">
        <x:v>ABQ</x:v>
      </x:c>
      <x:c r="I2123" t="str">
        <x:v>LAS</x:v>
      </x:c>
      <x:c r="J2123" s="23" t="n">
        <x:v>5880</x:v>
      </x:c>
      <x:c r="K2123" s="24" t="n">
        <x:v>0.20204081632653062</x:v>
      </x:c>
      <x:c r="L2123" s="24" t="n">
        <x:v>0.006292517006802721</x:v>
      </x:c>
    </x:row>
    <x:row r="2124">
      <x:c r="G2124" t="str">
        <x:v>IND-PHX</x:v>
      </x:c>
      <x:c r="H2124" t="str">
        <x:v>IND</x:v>
      </x:c>
      <x:c r="I2124" t="str">
        <x:v>PHX</x:v>
      </x:c>
      <x:c r="J2124" s="23" t="n">
        <x:v>4544</x:v>
      </x:c>
      <x:c r="K2124" s="24" t="n">
        <x:v>0.20202464788732394</x:v>
      </x:c>
      <x:c r="L2124" s="24" t="n">
        <x:v>0.0024207746478873238</x:v>
      </x:c>
    </x:row>
    <x:row r="2125">
      <x:c r="G2125" t="str">
        <x:v>SEA-SMF</x:v>
      </x:c>
      <x:c r="H2125" t="str">
        <x:v>SEA</x:v>
      </x:c>
      <x:c r="I2125" t="str">
        <x:v>SMF</x:v>
      </x:c>
      <x:c r="J2125" s="23" t="n">
        <x:v>12511</x:v>
      </x:c>
      <x:c r="K2125" s="24" t="n">
        <x:v>0.20198225561505875</x:v>
      </x:c>
      <x:c r="L2125" s="24" t="n">
        <x:v>0.003836623771081448</x:v>
      </x:c>
    </x:row>
    <x:row r="2126">
      <x:c r="G2126" t="str">
        <x:v>CHS-MIA</x:v>
      </x:c>
      <x:c r="H2126" t="str">
        <x:v>CHS</x:v>
      </x:c>
      <x:c r="I2126" t="str">
        <x:v>MIA</x:v>
      </x:c>
      <x:c r="J2126" s="23" t="n">
        <x:v>2501</x:v>
      </x:c>
      <x:c r="K2126" s="24" t="n">
        <x:v>0.20191923230707717</x:v>
      </x:c>
      <x:c r="L2126" s="24" t="n">
        <x:v>0.01479408236705318</x:v>
      </x:c>
    </x:row>
    <x:row r="2127">
      <x:c r="G2127" t="str">
        <x:v>DAL-LBB</x:v>
      </x:c>
      <x:c r="H2127" t="str">
        <x:v>DAL</x:v>
      </x:c>
      <x:c r="I2127" t="str">
        <x:v>LBB</x:v>
      </x:c>
      <x:c r="J2127" s="23" t="n">
        <x:v>4879</x:v>
      </x:c>
      <x:c r="K2127" s="24" t="n">
        <x:v>0.20188563230170117</x:v>
      </x:c>
      <x:c r="L2127" s="24" t="n">
        <x:v>0.01209264193482271</x:v>
      </x:c>
    </x:row>
    <x:row r="2128">
      <x:c r="G2128" t="str">
        <x:v>JFK-RDU</x:v>
      </x:c>
      <x:c r="H2128" t="str">
        <x:v>JFK</x:v>
      </x:c>
      <x:c r="I2128" t="str">
        <x:v>RDU</x:v>
      </x:c>
      <x:c r="J2128" s="23" t="n">
        <x:v>11056</x:v>
      </x:c>
      <x:c r="K2128" s="24" t="n">
        <x:v>0.20188133140376266</x:v>
      </x:c>
      <x:c r="L2128" s="24" t="n">
        <x:v>0.0329232995658466</x:v>
      </x:c>
    </x:row>
    <x:row r="2129">
      <x:c r="G2129" t="str">
        <x:v>FAT-DFW</x:v>
      </x:c>
      <x:c r="H2129" t="str">
        <x:v>FAT</x:v>
      </x:c>
      <x:c r="I2129" t="str">
        <x:v>DFW</x:v>
      </x:c>
      <x:c r="J2129" s="23" t="n">
        <x:v>4290</x:v>
      </x:c>
      <x:c r="K2129" s="24" t="n">
        <x:v>0.20186480186480185</x:v>
      </x:c>
      <x:c r="L2129" s="24" t="n">
        <x:v>0.01888111888111888</x:v>
      </x:c>
    </x:row>
    <x:row r="2130">
      <x:c r="G2130" t="str">
        <x:v>DEN-OGG</x:v>
      </x:c>
      <x:c r="H2130" t="str">
        <x:v>DEN</x:v>
      </x:c>
      <x:c r="I2130" t="str">
        <x:v>OGG</x:v>
      </x:c>
      <x:c r="J2130" s="23" t="n">
        <x:v>1090</x:v>
      </x:c>
      <x:c r="K2130" s="24" t="n">
        <x:v>0.2018348623853211</x:v>
      </x:c>
      <x:c r="L2130" s="24" t="n">
        <x:v>0.013761467889908258</x:v>
      </x:c>
    </x:row>
    <x:row r="2131">
      <x:c r="G2131" t="str">
        <x:v>BNA-LGB</x:v>
      </x:c>
      <x:c r="H2131" t="str">
        <x:v>BNA</x:v>
      </x:c>
      <x:c r="I2131" t="str">
        <x:v>LGB</x:v>
      </x:c>
      <x:c r="J2131" s="23" t="n">
        <x:v>1105</x:v>
      </x:c>
      <x:c r="K2131" s="24" t="n">
        <x:v>0.20180995475113123</x:v>
      </x:c>
      <x:c r="L2131" s="24" t="n">
        <x:v>0.0027149321266968325</x:v>
      </x:c>
    </x:row>
    <x:row r="2132">
      <x:c r="G2132" t="str">
        <x:v>TYS-DCA</x:v>
      </x:c>
      <x:c r="H2132" t="str">
        <x:v>TYS</x:v>
      </x:c>
      <x:c r="I2132" t="str">
        <x:v>DCA</x:v>
      </x:c>
      <x:c r="J2132" s="23" t="n">
        <x:v>3216</x:v>
      </x:c>
      <x:c r="K2132" s="24" t="n">
        <x:v>0.20180348258706468</x:v>
      </x:c>
      <x:c r="L2132" s="24" t="n">
        <x:v>0.029228855721393034</x:v>
      </x:c>
    </x:row>
    <x:row r="2133">
      <x:c r="G2133" t="str">
        <x:v>PHX-KOA</x:v>
      </x:c>
      <x:c r="H2133" t="str">
        <x:v>PHX</x:v>
      </x:c>
      <x:c r="I2133" t="str">
        <x:v>KOA</x:v>
      </x:c>
      <x:c r="J2133" s="23" t="n">
        <x:v>1155</x:v>
      </x:c>
      <x:c r="K2133" s="24" t="n">
        <x:v>0.20173160173160173</x:v>
      </x:c>
      <x:c r="L2133" s="24" t="n">
        <x:v>0.0008658008658008658</x:v>
      </x:c>
    </x:row>
    <x:row r="2134">
      <x:c r="G2134" t="str">
        <x:v>LEX-CLT</x:v>
      </x:c>
      <x:c r="H2134" t="str">
        <x:v>LEX</x:v>
      </x:c>
      <x:c r="I2134" t="str">
        <x:v>CLT</x:v>
      </x:c>
      <x:c r="J2134" s="23" t="n">
        <x:v>5503</x:v>
      </x:c>
      <x:c r="K2134" s="24" t="n">
        <x:v>0.2017081591858986</x:v>
      </x:c>
      <x:c r="L2134" s="24" t="n">
        <x:v>0.01889878248228239</x:v>
      </x:c>
    </x:row>
    <x:row r="2135">
      <x:c r="G2135" t="str">
        <x:v>DEN-HYS</x:v>
      </x:c>
      <x:c r="H2135" t="str">
        <x:v>DEN</x:v>
      </x:c>
      <x:c r="I2135" t="str">
        <x:v>HYS</x:v>
      </x:c>
      <x:c r="J2135" s="23" t="n">
        <x:v>1056</x:v>
      </x:c>
      <x:c r="K2135" s="24" t="n">
        <x:v>0.20170454545454544</x:v>
      </x:c>
      <x:c r="L2135" s="24" t="n">
        <x:v>0.015151515151515152</x:v>
      </x:c>
    </x:row>
    <x:row r="2136">
      <x:c r="G2136" t="str">
        <x:v>SMF-PSP</x:v>
      </x:c>
      <x:c r="H2136" t="str">
        <x:v>SMF</x:v>
      </x:c>
      <x:c r="I2136" t="str">
        <x:v>PSP</x:v>
      </x:c>
      <x:c r="J2136" s="23" t="n">
        <x:v>1414</x:v>
      </x:c>
      <x:c r="K2136" s="24" t="n">
        <x:v>0.20155586987270155</x:v>
      </x:c>
      <x:c r="L2136" s="24" t="n">
        <x:v>0.003536067892503536</x:v>
      </x:c>
    </x:row>
    <x:row r="2137">
      <x:c r="G2137" t="str">
        <x:v>DFW-MOB</x:v>
      </x:c>
      <x:c r="H2137" t="str">
        <x:v>DFW</x:v>
      </x:c>
      <x:c r="I2137" t="str">
        <x:v>MOB</x:v>
      </x:c>
      <x:c r="J2137" s="23" t="n">
        <x:v>3220</x:v>
      </x:c>
      <x:c r="K2137" s="24" t="n">
        <x:v>0.2015527950310559</x:v>
      </x:c>
      <x:c r="L2137" s="24" t="n">
        <x:v>0.02888198757763975</x:v>
      </x:c>
    </x:row>
    <x:row r="2138">
      <x:c r="G2138" t="str">
        <x:v>HOU-PHX</x:v>
      </x:c>
      <x:c r="H2138" t="str">
        <x:v>HOU</x:v>
      </x:c>
      <x:c r="I2138" t="str">
        <x:v>PHX</x:v>
      </x:c>
      <x:c r="J2138" s="23" t="n">
        <x:v>6103</x:v>
      </x:c>
      <x:c r="K2138" s="24" t="n">
        <x:v>0.20154022611830247</x:v>
      </x:c>
      <x:c r="L2138" s="24" t="n">
        <x:v>0.00720956906439456</x:v>
      </x:c>
    </x:row>
    <x:row r="2139">
      <x:c r="G2139" t="str">
        <x:v>ONT-DFW</x:v>
      </x:c>
      <x:c r="H2139" t="str">
        <x:v>ONT</x:v>
      </x:c>
      <x:c r="I2139" t="str">
        <x:v>DFW</x:v>
      </x:c>
      <x:c r="J2139" s="23" t="n">
        <x:v>7111</x:v>
      </x:c>
      <x:c r="K2139" s="24" t="n">
        <x:v>0.20151877373083954</x:v>
      </x:c>
      <x:c r="L2139" s="24" t="n">
        <x:v>0.020812825200393757</x:v>
      </x:c>
    </x:row>
    <x:row r="2140">
      <x:c r="G2140" t="str">
        <x:v>BDL-CLT</x:v>
      </x:c>
      <x:c r="H2140" t="str">
        <x:v>BDL</x:v>
      </x:c>
      <x:c r="I2140" t="str">
        <x:v>CLT</x:v>
      </x:c>
      <x:c r="J2140" s="23" t="n">
        <x:v>5246</x:v>
      </x:c>
      <x:c r="K2140" s="24" t="n">
        <x:v>0.20148684712161646</x:v>
      </x:c>
      <x:c r="L2140" s="24" t="n">
        <x:v>0.009340449866565003</x:v>
      </x:c>
    </x:row>
    <x:row r="2141">
      <x:c r="G2141" t="str">
        <x:v>ROC-CLT</x:v>
      </x:c>
      <x:c r="H2141" t="str">
        <x:v>ROC</x:v>
      </x:c>
      <x:c r="I2141" t="str">
        <x:v>CLT</x:v>
      </x:c>
      <x:c r="J2141" s="23" t="n">
        <x:v>3162</x:v>
      </x:c>
      <x:c r="K2141" s="24" t="n">
        <x:v>0.20145477545857052</x:v>
      </x:c>
      <x:c r="L2141" s="24" t="n">
        <x:v>0.010120177103099304</x:v>
      </x:c>
    </x:row>
    <x:row r="2142">
      <x:c r="G2142" t="str">
        <x:v>MCI-LAS</x:v>
      </x:c>
      <x:c r="H2142" t="str">
        <x:v>MCI</x:v>
      </x:c>
      <x:c r="I2142" t="str">
        <x:v>LAS</x:v>
      </x:c>
      <x:c r="J2142" s="23" t="n">
        <x:v>6097</x:v>
      </x:c>
      <x:c r="K2142" s="24" t="n">
        <x:v>0.20141052976873872</x:v>
      </x:c>
      <x:c r="L2142" s="24" t="n">
        <x:v>0.007544694111858291</x:v>
      </x:c>
    </x:row>
    <x:row r="2143">
      <x:c r="G2143" t="str">
        <x:v>LGA-CAE</x:v>
      </x:c>
      <x:c r="H2143" t="str">
        <x:v>LGA</x:v>
      </x:c>
      <x:c r="I2143" t="str">
        <x:v>CAE</x:v>
      </x:c>
      <x:c r="J2143" s="23" t="n">
        <x:v>2011</x:v>
      </x:c>
      <x:c r="K2143" s="24" t="n">
        <x:v>0.20139234211834908</x:v>
      </x:c>
      <x:c r="L2143" s="24" t="n">
        <x:v>0.0313276976628543</x:v>
      </x:c>
    </x:row>
    <x:row r="2144">
      <x:c r="G2144" t="str">
        <x:v>LAS-PHL</x:v>
      </x:c>
      <x:c r="H2144" t="str">
        <x:v>LAS</x:v>
      </x:c>
      <x:c r="I2144" t="str">
        <x:v>PHL</x:v>
      </x:c>
      <x:c r="J2144" s="23" t="n">
        <x:v>4951</x:v>
      </x:c>
      <x:c r="K2144" s="24" t="n">
        <x:v>0.20137345990708946</x:v>
      </x:c>
      <x:c r="L2144" s="24" t="n">
        <x:v>0.012926681478489193</x:v>
      </x:c>
    </x:row>
    <x:row r="2145">
      <x:c r="G2145" t="str">
        <x:v>SMF-LAS</x:v>
      </x:c>
      <x:c r="H2145" t="str">
        <x:v>SMF</x:v>
      </x:c>
      <x:c r="I2145" t="str">
        <x:v>LAS</x:v>
      </x:c>
      <x:c r="J2145" s="23" t="n">
        <x:v>16327</x:v>
      </x:c>
      <x:c r="K2145" s="24" t="n">
        <x:v>0.2013229619648435</x:v>
      </x:c>
      <x:c r="L2145" s="24" t="n">
        <x:v>0.010044711214552582</x:v>
      </x:c>
    </x:row>
    <x:row r="2146">
      <x:c r="G2146" t="str">
        <x:v>EWR-ORF</x:v>
      </x:c>
      <x:c r="H2146" t="str">
        <x:v>EWR</x:v>
      </x:c>
      <x:c r="I2146" t="str">
        <x:v>ORF</x:v>
      </x:c>
      <x:c r="J2146" s="23" t="n">
        <x:v>2782</x:v>
      </x:c>
      <x:c r="K2146" s="24" t="n">
        <x:v>0.201294033069734</x:v>
      </x:c>
      <x:c r="L2146" s="24" t="n">
        <x:v>0.04708842559309849</x:v>
      </x:c>
    </x:row>
    <x:row r="2147">
      <x:c r="G2147" t="str">
        <x:v>ROC-DCA</x:v>
      </x:c>
      <x:c r="H2147" t="str">
        <x:v>ROC</x:v>
      </x:c>
      <x:c r="I2147" t="str">
        <x:v>DCA</x:v>
      </x:c>
      <x:c r="J2147" s="23" t="n">
        <x:v>3254</x:v>
      </x:c>
      <x:c r="K2147" s="24" t="n">
        <x:v>0.20129071911493546</x:v>
      </x:c>
      <x:c r="L2147" s="24" t="n">
        <x:v>0.02919483712354026</x:v>
      </x:c>
    </x:row>
    <x:row r="2148">
      <x:c r="G2148" t="str">
        <x:v>SEA-TUS</x:v>
      </x:c>
      <x:c r="H2148" t="str">
        <x:v>SEA</x:v>
      </x:c>
      <x:c r="I2148" t="str">
        <x:v>TUS</x:v>
      </x:c>
      <x:c r="J2148" s="23" t="n">
        <x:v>3140</x:v>
      </x:c>
      <x:c r="K2148" s="24" t="n">
        <x:v>0.20127388535031848</x:v>
      </x:c>
      <x:c r="L2148" s="24" t="n">
        <x:v>0.0035031847133757963</x:v>
      </x:c>
    </x:row>
    <x:row r="2149">
      <x:c r="G2149" t="str">
        <x:v>DTW-ELM</x:v>
      </x:c>
      <x:c r="H2149" t="str">
        <x:v>DTW</x:v>
      </x:c>
      <x:c r="I2149" t="str">
        <x:v>ELM</x:v>
      </x:c>
      <x:c r="J2149" s="23" t="n">
        <x:v>2271</x:v>
      </x:c>
      <x:c r="K2149" s="24" t="n">
        <x:v>0.20123293703214443</x:v>
      </x:c>
      <x:c r="L2149" s="24" t="n">
        <x:v>0.005284015852047556</x:v>
      </x:c>
    </x:row>
    <x:row r="2150">
      <x:c r="G2150" t="str">
        <x:v>TPA-CMH</x:v>
      </x:c>
      <x:c r="H2150" t="str">
        <x:v>TPA</x:v>
      </x:c>
      <x:c r="I2150" t="str">
        <x:v>CMH</x:v>
      </x:c>
      <x:c r="J2150" s="23" t="n">
        <x:v>2674</x:v>
      </x:c>
      <x:c r="K2150" s="24" t="n">
        <x:v>0.2011967090501122</x:v>
      </x:c>
      <x:c r="L2150" s="24" t="n">
        <x:v>0.014210919970082274</x:v>
      </x:c>
    </x:row>
    <x:row r="2151">
      <x:c r="G2151" t="str">
        <x:v>DLH-ORD</x:v>
      </x:c>
      <x:c r="H2151" t="str">
        <x:v>DLH</x:v>
      </x:c>
      <x:c r="I2151" t="str">
        <x:v>ORD</x:v>
      </x:c>
      <x:c r="J2151" s="23" t="n">
        <x:v>2903</x:v>
      </x:c>
      <x:c r="K2151" s="24" t="n">
        <x:v>0.2011712022046159</x:v>
      </x:c>
      <x:c r="L2151" s="24" t="n">
        <x:v>0.018945918015845678</x:v>
      </x:c>
    </x:row>
    <x:row r="2152">
      <x:c r="G2152" t="str">
        <x:v>PDX-JFK</x:v>
      </x:c>
      <x:c r="H2152" t="str">
        <x:v>PDX</x:v>
      </x:c>
      <x:c r="I2152" t="str">
        <x:v>JFK</x:v>
      </x:c>
      <x:c r="J2152" s="23" t="n">
        <x:v>2918</x:v>
      </x:c>
      <x:c r="K2152" s="24" t="n">
        <x:v>0.2011651816312543</x:v>
      </x:c>
      <x:c r="L2152" s="24" t="n">
        <x:v>0.016792323509252912</x:v>
      </x:c>
    </x:row>
    <x:row r="2153">
      <x:c r="G2153" t="str">
        <x:v>DEN-XWA</x:v>
      </x:c>
      <x:c r="H2153" t="str">
        <x:v>DEN</x:v>
      </x:c>
      <x:c r="I2153" t="str">
        <x:v>XWA</x:v>
      </x:c>
      <x:c r="J2153" s="23" t="n">
        <x:v>3779</x:v>
      </x:c>
      <x:c r="K2153" s="24" t="n">
        <x:v>0.20111140513363324</x:v>
      </x:c>
      <x:c r="L2153" s="24" t="n">
        <x:v>0.015347975654935168</x:v>
      </x:c>
    </x:row>
    <x:row r="2154">
      <x:c r="G2154" t="str">
        <x:v>RSW-ORD</x:v>
      </x:c>
      <x:c r="H2154" t="str">
        <x:v>RSW</x:v>
      </x:c>
      <x:c r="I2154" t="str">
        <x:v>ORD</x:v>
      </x:c>
      <x:c r="J2154" s="23" t="n">
        <x:v>8268</x:v>
      </x:c>
      <x:c r="K2154" s="24" t="n">
        <x:v>0.20101596516690856</x:v>
      </x:c>
      <x:c r="L2154" s="24" t="n">
        <x:v>0.014392839864537977</x:v>
      </x:c>
    </x:row>
    <x:row r="2155">
      <x:c r="G2155" t="str">
        <x:v>RNO-LAS</x:v>
      </x:c>
      <x:c r="H2155" t="str">
        <x:v>RNO</x:v>
      </x:c>
      <x:c r="I2155" t="str">
        <x:v>LAS</x:v>
      </x:c>
      <x:c r="J2155" s="23" t="n">
        <x:v>12577</x:v>
      </x:c>
      <x:c r="K2155" s="24" t="n">
        <x:v>0.20100182873499245</x:v>
      </x:c>
      <x:c r="L2155" s="24" t="n">
        <x:v>0.013914287986006201</x:v>
      </x:c>
    </x:row>
    <x:row r="2156">
      <x:c r="G2156" t="str">
        <x:v>DCA-SYR</x:v>
      </x:c>
      <x:c r="H2156" t="str">
        <x:v>DCA</x:v>
      </x:c>
      <x:c r="I2156" t="str">
        <x:v>SYR</x:v>
      </x:c>
      <x:c r="J2156" s="23" t="n">
        <x:v>3229</x:v>
      </x:c>
      <x:c r="K2156" s="24" t="n">
        <x:v>0.2009910188912976</x:v>
      </x:c>
      <x:c r="L2156" s="24" t="n">
        <x:v>0.032827500774233506</x:v>
      </x:c>
    </x:row>
    <x:row r="2157">
      <x:c r="G2157" t="str">
        <x:v>PHX-CID</x:v>
      </x:c>
      <x:c r="H2157" t="str">
        <x:v>PHX</x:v>
      </x:c>
      <x:c r="I2157" t="str">
        <x:v>CID</x:v>
      </x:c>
      <x:c r="J2157" s="23" t="n">
        <x:v>1752</x:v>
      </x:c>
      <x:c r="K2157" s="24" t="n">
        <x:v>0.2009132420091324</x:v>
      </x:c>
      <x:c r="L2157" s="24" t="n">
        <x:v>0.01141552511415525</x:v>
      </x:c>
    </x:row>
    <x:row r="2158">
      <x:c r="G2158" t="str">
        <x:v>MOT-DEN</x:v>
      </x:c>
      <x:c r="H2158" t="str">
        <x:v>MOT</x:v>
      </x:c>
      <x:c r="I2158" t="str">
        <x:v>DEN</x:v>
      </x:c>
      <x:c r="J2158" s="23" t="n">
        <x:v>2429</x:v>
      </x:c>
      <x:c r="K2158" s="24" t="n">
        <x:v>0.20090572251955538</x:v>
      </x:c>
      <x:c r="L2158" s="24" t="n">
        <x:v>0.019349526554137506</x:v>
      </x:c>
    </x:row>
    <x:row r="2159">
      <x:c r="G2159" t="str">
        <x:v>RIC-CLT</x:v>
      </x:c>
      <x:c r="H2159" t="str">
        <x:v>RIC</x:v>
      </x:c>
      <x:c r="I2159" t="str">
        <x:v>CLT</x:v>
      </x:c>
      <x:c r="J2159" s="23" t="n">
        <x:v>7731</x:v>
      </x:c>
      <x:c r="K2159" s="24" t="n">
        <x:v>0.20087957573405768</x:v>
      </x:c>
      <x:c r="L2159" s="24" t="n">
        <x:v>0.013064286638209804</x:v>
      </x:c>
    </x:row>
    <x:row r="2160">
      <x:c r="G2160" t="str">
        <x:v>MEM-DEN</x:v>
      </x:c>
      <x:c r="H2160" t="str">
        <x:v>MEM</x:v>
      </x:c>
      <x:c r="I2160" t="str">
        <x:v>DEN</x:v>
      </x:c>
      <x:c r="J2160" s="23" t="n">
        <x:v>3764</x:v>
      </x:c>
      <x:c r="K2160" s="24" t="n">
        <x:v>0.20085015940488843</x:v>
      </x:c>
      <x:c r="L2160" s="24" t="n">
        <x:v>0.008501594048884165</x:v>
      </x:c>
    </x:row>
    <x:row r="2161">
      <x:c r="G2161" t="str">
        <x:v>PWM-ATL</x:v>
      </x:c>
      <x:c r="H2161" t="str">
        <x:v>PWM</x:v>
      </x:c>
      <x:c r="I2161" t="str">
        <x:v>ATL</x:v>
      </x:c>
      <x:c r="J2161" s="23" t="n">
        <x:v>1668</x:v>
      </x:c>
      <x:c r="K2161" s="24" t="n">
        <x:v>0.20083932853717026</x:v>
      </x:c>
      <x:c r="L2161" s="24" t="n">
        <x:v>0.011990407673860911</x:v>
      </x:c>
    </x:row>
    <x:row r="2162">
      <x:c r="G2162" t="str">
        <x:v>SFO-ORD</x:v>
      </x:c>
      <x:c r="H2162" t="str">
        <x:v>SFO</x:v>
      </x:c>
      <x:c r="I2162" t="str">
        <x:v>ORD</x:v>
      </x:c>
      <x:c r="J2162" s="23" t="n">
        <x:v>15118</x:v>
      </x:c>
      <x:c r="K2162" s="24" t="n">
        <x:v>0.20068792168276228</x:v>
      </x:c>
      <x:c r="L2162" s="24" t="n">
        <x:v>0.010715703135335361</x:v>
      </x:c>
    </x:row>
    <x:row r="2163">
      <x:c r="G2163" t="str">
        <x:v>MCI-AUS</x:v>
      </x:c>
      <x:c r="H2163" t="str">
        <x:v>MCI</x:v>
      </x:c>
      <x:c r="I2163" t="str">
        <x:v>AUS</x:v>
      </x:c>
      <x:c r="J2163" s="23" t="n">
        <x:v>2706</x:v>
      </x:c>
      <x:c r="K2163" s="24" t="n">
        <x:v>0.2006651884700665</x:v>
      </x:c>
      <x:c r="L2163" s="24" t="n">
        <x:v>0.008130081300813009</x:v>
      </x:c>
    </x:row>
    <x:row r="2164">
      <x:c r="G2164" t="str">
        <x:v>CHS-DCA</x:v>
      </x:c>
      <x:c r="H2164" t="str">
        <x:v>CHS</x:v>
      </x:c>
      <x:c r="I2164" t="str">
        <x:v>DCA</x:v>
      </x:c>
      <x:c r="J2164" s="23" t="n">
        <x:v>5368</x:v>
      </x:c>
      <x:c r="K2164" s="24" t="n">
        <x:v>0.20063338301043218</x:v>
      </x:c>
      <x:c r="L2164" s="24" t="n">
        <x:v>0.03464977645305514</x:v>
      </x:c>
    </x:row>
    <x:row r="2165">
      <x:c r="G2165" t="str">
        <x:v>DCA-OMA</x:v>
      </x:c>
      <x:c r="H2165" t="str">
        <x:v>DCA</x:v>
      </x:c>
      <x:c r="I2165" t="str">
        <x:v>OMA</x:v>
      </x:c>
      <x:c r="J2165" s="23" t="n">
        <x:v>1934</x:v>
      </x:c>
      <x:c r="K2165" s="24" t="n">
        <x:v>0.20062047569803515</x:v>
      </x:c>
      <x:c r="L2165" s="24" t="n">
        <x:v>0.010341261633919338</x:v>
      </x:c>
    </x:row>
    <x:row r="2166">
      <x:c r="G2166" t="str">
        <x:v>DEN-XNA</x:v>
      </x:c>
      <x:c r="H2166" t="str">
        <x:v>DEN</x:v>
      </x:c>
      <x:c r="I2166" t="str">
        <x:v>XNA</x:v>
      </x:c>
      <x:c r="J2166" s="23" t="n">
        <x:v>3634</x:v>
      </x:c>
      <x:c r="K2166" s="24" t="n">
        <x:v>0.20060539350577875</x:v>
      </x:c>
      <x:c r="L2166" s="24" t="n">
        <x:v>0.007980187121629059</x:v>
      </x:c>
    </x:row>
    <x:row r="2167">
      <x:c r="G2167" t="str">
        <x:v>RSW-DEN</x:v>
      </x:c>
      <x:c r="H2167" t="str">
        <x:v>RSW</x:v>
      </x:c>
      <x:c r="I2167" t="str">
        <x:v>DEN</x:v>
      </x:c>
      <x:c r="J2167" s="23" t="n">
        <x:v>2672</x:v>
      </x:c>
      <x:c r="K2167" s="24" t="n">
        <x:v>0.20059880239520958</x:v>
      </x:c>
      <x:c r="L2167" s="24" t="n">
        <x:v>0.014221556886227544</x:v>
      </x:c>
    </x:row>
    <x:row r="2168">
      <x:c r="G2168" t="str">
        <x:v>SBP-SEA</x:v>
      </x:c>
      <x:c r="H2168" t="str">
        <x:v>SBP</x:v>
      </x:c>
      <x:c r="I2168" t="str">
        <x:v>SEA</x:v>
      </x:c>
      <x:c r="J2168" s="23" t="n">
        <x:v>1022</x:v>
      </x:c>
      <x:c r="K2168" s="24" t="n">
        <x:v>0.20058708414872797</x:v>
      </x:c>
      <x:c r="L2168" s="24" t="n">
        <x:v>0.008806262230919765</x:v>
      </x:c>
    </x:row>
    <x:row r="2169">
      <x:c r="G2169" t="str">
        <x:v>TPA-IND</x:v>
      </x:c>
      <x:c r="H2169" t="str">
        <x:v>TPA</x:v>
      </x:c>
      <x:c r="I2169" t="str">
        <x:v>IND</x:v>
      </x:c>
      <x:c r="J2169" s="23" t="n">
        <x:v>3565</x:v>
      </x:c>
      <x:c r="K2169" s="24" t="n">
        <x:v>0.2005610098176718</x:v>
      </x:c>
      <x:c r="L2169" s="24" t="n">
        <x:v>0.017110799438990184</x:v>
      </x:c>
    </x:row>
    <x:row r="2170">
      <x:c r="G2170" t="str">
        <x:v>LNK-ORD</x:v>
      </x:c>
      <x:c r="H2170" t="str">
        <x:v>LNK</x:v>
      </x:c>
      <x:c r="I2170" t="str">
        <x:v>ORD</x:v>
      </x:c>
      <x:c r="J2170" s="23" t="n">
        <x:v>3097</x:v>
      </x:c>
      <x:c r="K2170" s="24" t="n">
        <x:v>0.2005166289958024</x:v>
      </x:c>
      <x:c r="L2170" s="24" t="n">
        <x:v>0.012269938650306749</x:v>
      </x:c>
    </x:row>
    <x:row r="2171">
      <x:c r="G2171" t="str">
        <x:v>MDW-COS</x:v>
      </x:c>
      <x:c r="H2171" t="str">
        <x:v>MDW</x:v>
      </x:c>
      <x:c r="I2171" t="str">
        <x:v>COS</x:v>
      </x:c>
      <x:c r="J2171" s="23" t="n">
        <x:v>1192</x:v>
      </x:c>
      <x:c r="K2171" s="24" t="n">
        <x:v>0.200503355704698</x:v>
      </x:c>
      <x:c r="L2171" s="24" t="n">
        <x:v>0.0050335570469798654</x:v>
      </x:c>
    </x:row>
    <x:row r="2172">
      <x:c r="G2172" t="str">
        <x:v>ORD-RSW</x:v>
      </x:c>
      <x:c r="H2172" t="str">
        <x:v>ORD</x:v>
      </x:c>
      <x:c r="I2172" t="str">
        <x:v>RSW</x:v>
      </x:c>
      <x:c r="J2172" s="23" t="n">
        <x:v>8276</x:v>
      </x:c>
      <x:c r="K2172" s="24" t="n">
        <x:v>0.20045915901401642</x:v>
      </x:c>
      <x:c r="L2172" s="24" t="n">
        <x:v>0.013412276462058966</x:v>
      </x:c>
    </x:row>
    <x:row r="2173">
      <x:c r="G2173" t="str">
        <x:v>PHX-DFW</x:v>
      </x:c>
      <x:c r="H2173" t="str">
        <x:v>PHX</x:v>
      </x:c>
      <x:c r="I2173" t="str">
        <x:v>DFW</x:v>
      </x:c>
      <x:c r="J2173" s="23" t="n">
        <x:v>15118</x:v>
      </x:c>
      <x:c r="K2173" s="24" t="n">
        <x:v>0.20035719010451117</x:v>
      </x:c>
      <x:c r="L2173" s="24" t="n">
        <x:v>0.015345945230850642</x:v>
      </x:c>
    </x:row>
    <x:row r="2174">
      <x:c r="G2174" t="str">
        <x:v>AUS-DEN</x:v>
      </x:c>
      <x:c r="H2174" t="str">
        <x:v>AUS</x:v>
      </x:c>
      <x:c r="I2174" t="str">
        <x:v>DEN</x:v>
      </x:c>
      <x:c r="J2174" s="23" t="n">
        <x:v>14005</x:v>
      </x:c>
      <x:c r="K2174" s="24" t="n">
        <x:v>0.20035701535166012</x:v>
      </x:c>
      <x:c r="L2174" s="24" t="n">
        <x:v>0.01035344519814352</x:v>
      </x:c>
    </x:row>
    <x:row r="2175">
      <x:c r="G2175" t="str">
        <x:v>FWA-DFW</x:v>
      </x:c>
      <x:c r="H2175" t="str">
        <x:v>FWA</x:v>
      </x:c>
      <x:c r="I2175" t="str">
        <x:v>DFW</x:v>
      </x:c>
      <x:c r="J2175" s="23" t="n">
        <x:v>2970</x:v>
      </x:c>
      <x:c r="K2175" s="24" t="n">
        <x:v>0.20033670033670034</x:v>
      </x:c>
      <x:c r="L2175" s="24" t="n">
        <x:v>0.012121212121212121</x:v>
      </x:c>
    </x:row>
    <x:row r="2176">
      <x:c r="G2176" t="str">
        <x:v>STT-ATL</x:v>
      </x:c>
      <x:c r="H2176" t="str">
        <x:v>STT</x:v>
      </x:c>
      <x:c r="I2176" t="str">
        <x:v>ATL</x:v>
      </x:c>
      <x:c r="J2176" s="23" t="n">
        <x:v>1847</x:v>
      </x:c>
      <x:c r="K2176" s="24" t="n">
        <x:v>0.20032485110990797</x:v>
      </x:c>
      <x:c r="L2176" s="24" t="n">
        <x:v>0.009745533297238766</x:v>
      </x:c>
    </x:row>
    <x:row r="2177">
      <x:c r="G2177" t="str">
        <x:v>SAT-TPA</x:v>
      </x:c>
      <x:c r="H2177" t="str">
        <x:v>SAT</x:v>
      </x:c>
      <x:c r="I2177" t="str">
        <x:v>TPA</x:v>
      </x:c>
      <x:c r="J2177" s="23" t="n">
        <x:v>1313</x:v>
      </x:c>
      <x:c r="K2177" s="24" t="n">
        <x:v>0.2003046458492003</x:v>
      </x:c>
      <x:c r="L2177" s="24" t="n">
        <x:v>0.012947448591012947</x:v>
      </x:c>
    </x:row>
    <x:row r="2178">
      <x:c r="G2178" t="str">
        <x:v>LAS-SLC</x:v>
      </x:c>
      <x:c r="H2178" t="str">
        <x:v>LAS</x:v>
      </x:c>
      <x:c r="I2178" t="str">
        <x:v>SLC</x:v>
      </x:c>
      <x:c r="J2178" s="23" t="n">
        <x:v>12843</x:v>
      </x:c>
      <x:c r="K2178" s="24" t="n">
        <x:v>0.2001868722261154</x:v>
      </x:c>
      <x:c r="L2178" s="24" t="n">
        <x:v>0.006774118196683018</x:v>
      </x:c>
    </x:row>
    <x:row r="2179">
      <x:c r="G2179" t="str">
        <x:v>BNA-LGA</x:v>
      </x:c>
      <x:c r="H2179" t="str">
        <x:v>BNA</x:v>
      </x:c>
      <x:c r="I2179" t="str">
        <x:v>LGA</x:v>
      </x:c>
      <x:c r="J2179" s="23" t="n">
        <x:v>12995</x:v>
      </x:c>
      <x:c r="K2179" s="24" t="n">
        <x:v>0.20015390534821084</x:v>
      </x:c>
      <x:c r="L2179" s="24" t="n">
        <x:v>0.02516352443247403</x:v>
      </x:c>
    </x:row>
    <x:row r="2180">
      <x:c r="G2180" t="str">
        <x:v>MDW-SDF</x:v>
      </x:c>
      <x:c r="H2180" t="str">
        <x:v>MDW</x:v>
      </x:c>
      <x:c r="I2180" t="str">
        <x:v>SDF</x:v>
      </x:c>
      <x:c r="J2180" s="23" t="n">
        <x:v>3103</x:v>
      </x:c>
      <x:c r="K2180" s="24" t="n">
        <x:v>0.2001289075088624</x:v>
      </x:c>
      <x:c r="L2180" s="24" t="n">
        <x:v>0.009668063164679342</x:v>
      </x:c>
    </x:row>
    <x:row r="2181">
      <x:c r="G2181" t="str">
        <x:v>HOU-HRL</x:v>
      </x:c>
      <x:c r="H2181" t="str">
        <x:v>HOU</x:v>
      </x:c>
      <x:c r="I2181" t="str">
        <x:v>HRL</x:v>
      </x:c>
      <x:c r="J2181" s="23" t="n">
        <x:v>4038</x:v>
      </x:c>
      <x:c r="K2181" s="24" t="n">
        <x:v>0.20009905894006935</x:v>
      </x:c>
      <x:c r="L2181" s="24" t="n">
        <x:v>0.010401188707280832</x:v>
      </x:c>
    </x:row>
    <x:row r="2182">
      <x:c r="G2182" t="str">
        <x:v>RDM-DEN</x:v>
      </x:c>
      <x:c r="H2182" t="str">
        <x:v>RDM</x:v>
      </x:c>
      <x:c r="I2182" t="str">
        <x:v>DEN</x:v>
      </x:c>
      <x:c r="J2182" s="23" t="n">
        <x:v>2189</x:v>
      </x:c>
      <x:c r="K2182" s="24" t="n">
        <x:v>0.20009136592051166</x:v>
      </x:c>
      <x:c r="L2182" s="24" t="n">
        <x:v>0.0109639104613979</x:v>
      </x:c>
    </x:row>
    <x:row r="2183">
      <x:c r="G2183" t="str">
        <x:v>ATL-FWA</x:v>
      </x:c>
      <x:c r="H2183" t="str">
        <x:v>ATL</x:v>
      </x:c>
      <x:c r="I2183" t="str">
        <x:v>FWA</x:v>
      </x:c>
      <x:c r="J2183" s="23" t="n">
        <x:v>2954</x:v>
      </x:c>
      <x:c r="K2183" s="24" t="n">
        <x:v>0.2000677048070413</x:v>
      </x:c>
      <x:c r="L2183" s="24" t="n">
        <x:v>0.009478672985781991</x:v>
      </x:c>
    </x:row>
    <x:row r="2184">
      <x:c r="G2184" t="str">
        <x:v>STL-CLT</x:v>
      </x:c>
      <x:c r="H2184" t="str">
        <x:v>STL</x:v>
      </x:c>
      <x:c r="I2184" t="str">
        <x:v>CLT</x:v>
      </x:c>
      <x:c r="J2184" s="23" t="n">
        <x:v>5874</x:v>
      </x:c>
      <x:c r="K2184" s="24" t="n">
        <x:v>0.2000340483486551</x:v>
      </x:c>
      <x:c r="L2184" s="24" t="n">
        <x:v>0.008682328907048007</x:v>
      </x:c>
    </x:row>
    <x:row r="2185">
      <x:c r="G2185" t="str">
        <x:v>ATL-CID</x:v>
      </x:c>
      <x:c r="H2185" t="str">
        <x:v>ATL</x:v>
      </x:c>
      <x:c r="I2185" t="str">
        <x:v>CID</x:v>
      </x:c>
      <x:c r="J2185" s="23" t="n">
        <x:v>1100</x:v>
      </x:c>
      <x:c r="K2185" s="24" t="n">
        <x:v>0.2</x:v>
      </x:c>
      <x:c r="L2185" s="24" t="n">
        <x:v>0.00909090909090909</x:v>
      </x:c>
    </x:row>
    <x:row r="2186">
      <x:c r="G2186" t="str">
        <x:v>HOU-MCI</x:v>
      </x:c>
      <x:c r="H2186" t="str">
        <x:v>HOU</x:v>
      </x:c>
      <x:c r="I2186" t="str">
        <x:v>MCI</x:v>
      </x:c>
      <x:c r="J2186" s="23" t="n">
        <x:v>2905</x:v>
      </x:c>
      <x:c r="K2186" s="24" t="n">
        <x:v>0.2</x:v>
      </x:c>
      <x:c r="L2186" s="24" t="n">
        <x:v>0.00585197934595525</x:v>
      </x:c>
    </x:row>
    <x:row r="2187">
      <x:c r="G2187" t="str">
        <x:v>EUG-SFO</x:v>
      </x:c>
      <x:c r="H2187" t="str">
        <x:v>EUG</x:v>
      </x:c>
      <x:c r="I2187" t="str">
        <x:v>SFO</x:v>
      </x:c>
      <x:c r="J2187" s="23" t="n">
        <x:v>2870</x:v>
      </x:c>
      <x:c r="K2187" s="24" t="n">
        <x:v>0.2</x:v>
      </x:c>
      <x:c r="L2187" s="24" t="n">
        <x:v>0.011498257839721254</x:v>
      </x:c>
    </x:row>
    <x:row r="2188">
      <x:c r="G2188" t="str">
        <x:v>HOU-ABQ</x:v>
      </x:c>
      <x:c r="H2188" t="str">
        <x:v>HOU</x:v>
      </x:c>
      <x:c r="I2188" t="str">
        <x:v>ABQ</x:v>
      </x:c>
      <x:c r="J2188" s="23" t="n">
        <x:v>2865</x:v>
      </x:c>
      <x:c r="K2188" s="24" t="n">
        <x:v>0.2</x:v>
      </x:c>
      <x:c r="L2188" s="24" t="n">
        <x:v>0.006980802792321117</x:v>
      </x:c>
    </x:row>
    <x:row r="2189">
      <x:c r="G2189" t="str">
        <x:v>MSP-JFK</x:v>
      </x:c>
      <x:c r="H2189" t="str">
        <x:v>MSP</x:v>
      </x:c>
      <x:c r="I2189" t="str">
        <x:v>JFK</x:v>
      </x:c>
      <x:c r="J2189" s="23" t="n">
        <x:v>3205</x:v>
      </x:c>
      <x:c r="K2189" s="24" t="n">
        <x:v>0.2</x:v>
      </x:c>
      <x:c r="L2189" s="24" t="n">
        <x:v>0.014664586583463339</x:v>
      </x:c>
    </x:row>
    <x:row r="2190">
      <x:c r="G2190" t="str">
        <x:v>LGA-IAH</x:v>
      </x:c>
      <x:c r="H2190" t="str">
        <x:v>LGA</x:v>
      </x:c>
      <x:c r="I2190" t="str">
        <x:v>IAH</x:v>
      </x:c>
      <x:c r="J2190" s="23" t="n">
        <x:v>12027</x:v>
      </x:c>
      <x:c r="K2190" s="24" t="n">
        <x:v>0.1999667414982955</x:v>
      </x:c>
      <x:c r="L2190" s="24" t="n">
        <x:v>0.020370832294005155</x:v>
      </x:c>
    </x:row>
    <x:row r="2191">
      <x:c r="G2191" t="str">
        <x:v>JFK-SLC</x:v>
      </x:c>
      <x:c r="H2191" t="str">
        <x:v>JFK</x:v>
      </x:c>
      <x:c r="I2191" t="str">
        <x:v>SLC</x:v>
      </x:c>
      <x:c r="J2191" s="23" t="n">
        <x:v>5997</x:v>
      </x:c>
      <x:c r="K2191" s="24" t="n">
        <x:v>0.19993329998332499</x:v>
      </x:c>
      <x:c r="L2191" s="24" t="n">
        <x:v>0.009004502251125562</x:v>
      </x:c>
    </x:row>
    <x:row r="2192">
      <x:c r="G2192" t="str">
        <x:v>DCA-PVD</x:v>
      </x:c>
      <x:c r="H2192" t="str">
        <x:v>DCA</x:v>
      </x:c>
      <x:c r="I2192" t="str">
        <x:v>PVD</x:v>
      </x:c>
      <x:c r="J2192" s="23" t="n">
        <x:v>7555</x:v>
      </x:c>
      <x:c r="K2192" s="24" t="n">
        <x:v>0.199867637326274</x:v>
      </x:c>
      <x:c r="L2192" s="24" t="n">
        <x:v>0.02488418266048974</x:v>
      </x:c>
    </x:row>
    <x:row r="2193">
      <x:c r="G2193" t="str">
        <x:v>IAD-IAH</x:v>
      </x:c>
      <x:c r="H2193" t="str">
        <x:v>IAD</x:v>
      </x:c>
      <x:c r="I2193" t="str">
        <x:v>IAH</x:v>
      </x:c>
      <x:c r="J2193" s="23" t="n">
        <x:v>5314</x:v>
      </x:c>
      <x:c r="K2193" s="24" t="n">
        <x:v>0.19984945427173503</x:v>
      </x:c>
      <x:c r="L2193" s="24" t="n">
        <x:v>0.009032743695897629</x:v>
      </x:c>
    </x:row>
    <x:row r="2194">
      <x:c r="G2194" t="str">
        <x:v>TPA-BDL</x:v>
      </x:c>
      <x:c r="H2194" t="str">
        <x:v>TPA</x:v>
      </x:c>
      <x:c r="I2194" t="str">
        <x:v>BDL</x:v>
      </x:c>
      <x:c r="J2194" s="23" t="n">
        <x:v>2647</x:v>
      </x:c>
      <x:c r="K2194" s="24" t="n">
        <x:v>0.19984888553078958</x:v>
      </x:c>
      <x:c r="L2194" s="24" t="n">
        <x:v>0.013978088401964487</x:v>
      </x:c>
    </x:row>
    <x:row r="2195">
      <x:c r="G2195" t="str">
        <x:v>TPA-MIA</x:v>
      </x:c>
      <x:c r="H2195" t="str">
        <x:v>TPA</x:v>
      </x:c>
      <x:c r="I2195" t="str">
        <x:v>MIA</x:v>
      </x:c>
      <x:c r="J2195" s="23" t="n">
        <x:v>7821</x:v>
      </x:c>
      <x:c r="K2195" s="24" t="n">
        <x:v>0.19984656693517452</x:v>
      </x:c>
      <x:c r="L2195" s="24" t="n">
        <x:v>0.019179133103183737</x:v>
      </x:c>
    </x:row>
    <x:row r="2196">
      <x:c r="G2196" t="str">
        <x:v>BWI-DTW</x:v>
      </x:c>
      <x:c r="H2196" t="str">
        <x:v>BWI</x:v>
      </x:c>
      <x:c r="I2196" t="str">
        <x:v>DTW</x:v>
      </x:c>
      <x:c r="J2196" s="23" t="n">
        <x:v>6165</x:v>
      </x:c>
      <x:c r="K2196" s="24" t="n">
        <x:v>0.19983779399837795</x:v>
      </x:c>
      <x:c r="L2196" s="24" t="n">
        <x:v>0.01070559610705596</x:v>
      </x:c>
    </x:row>
    <x:row r="2197">
      <x:c r="G2197" t="str">
        <x:v>BOS-STL</x:v>
      </x:c>
      <x:c r="H2197" t="str">
        <x:v>BOS</x:v>
      </x:c>
      <x:c r="I2197" t="str">
        <x:v>STL</x:v>
      </x:c>
      <x:c r="J2197" s="23" t="n">
        <x:v>4664</x:v>
      </x:c>
      <x:c r="K2197" s="24" t="n">
        <x:v>0.1998284734133791</x:v>
      </x:c>
      <x:c r="L2197" s="24" t="n">
        <x:v>0.01179245283018868</x:v>
      </x:c>
    </x:row>
    <x:row r="2198">
      <x:c r="G2198" t="str">
        <x:v>DFW-BIS</x:v>
      </x:c>
      <x:c r="H2198" t="str">
        <x:v>DFW</x:v>
      </x:c>
      <x:c r="I2198" t="str">
        <x:v>BIS</x:v>
      </x:c>
      <x:c r="J2198" s="23" t="n">
        <x:v>1887</x:v>
      </x:c>
      <x:c r="K2198" s="24" t="n">
        <x:v>0.1997880233174351</x:v>
      </x:c>
      <x:c r="L2198" s="24" t="n">
        <x:v>0.005829358770535241</x:v>
      </x:c>
    </x:row>
    <x:row r="2199">
      <x:c r="G2199" t="str">
        <x:v>HOU-DEN</x:v>
      </x:c>
      <x:c r="H2199" t="str">
        <x:v>HOU</x:v>
      </x:c>
      <x:c r="I2199" t="str">
        <x:v>DEN</x:v>
      </x:c>
      <x:c r="J2199" s="23" t="n">
        <x:v>7821</x:v>
      </x:c>
      <x:c r="K2199" s="24" t="n">
        <x:v>0.19971870604781997</x:v>
      </x:c>
      <x:c r="L2199" s="24" t="n">
        <x:v>0.012018923411328474</x:v>
      </x:c>
    </x:row>
    <x:row r="2200">
      <x:c r="G2200" t="str">
        <x:v>MCI-MSY</x:v>
      </x:c>
      <x:c r="H2200" t="str">
        <x:v>MCI</x:v>
      </x:c>
      <x:c r="I2200" t="str">
        <x:v>MSY</x:v>
      </x:c>
      <x:c r="J2200" s="23" t="n">
        <x:v>1177</x:v>
      </x:c>
      <x:c r="K2200" s="24" t="n">
        <x:v>0.19966015293118097</x:v>
      </x:c>
      <x:c r="L2200" s="24" t="n">
        <x:v>0.004248088360237893</x:v>
      </x:c>
    </x:row>
    <x:row r="2201">
      <x:c r="G2201" t="str">
        <x:v>SBA-SEA</x:v>
      </x:c>
      <x:c r="H2201" t="str">
        <x:v>SBA</x:v>
      </x:c>
      <x:c r="I2201" t="str">
        <x:v>SEA</x:v>
      </x:c>
      <x:c r="J2201" s="23" t="n">
        <x:v>1172</x:v>
      </x:c>
      <x:c r="K2201" s="24" t="n">
        <x:v>0.19965870307167236</x:v>
      </x:c>
      <x:c r="L2201" s="24" t="n">
        <x:v>0.010238907849829351</x:v>
      </x:c>
    </x:row>
    <x:row r="2202">
      <x:c r="G2202" t="str">
        <x:v>MSN-DCA</x:v>
      </x:c>
      <x:c r="H2202" t="str">
        <x:v>MSN</x:v>
      </x:c>
      <x:c r="I2202" t="str">
        <x:v>DCA</x:v>
      </x:c>
      <x:c r="J2202" s="23" t="n">
        <x:v>2620</x:v>
      </x:c>
      <x:c r="K2202" s="24" t="n">
        <x:v>0.19961832061068702</x:v>
      </x:c>
      <x:c r="L2202" s="24" t="n">
        <x:v>0.021755725190839695</x:v>
      </x:c>
    </x:row>
    <x:row r="2203">
      <x:c r="G2203" t="str">
        <x:v>JFK-LAX</x:v>
      </x:c>
      <x:c r="H2203" t="str">
        <x:v>JFK</x:v>
      </x:c>
      <x:c r="I2203" t="str">
        <x:v>LAX</x:v>
      </x:c>
      <x:c r="J2203" s="23" t="n">
        <x:v>30228</x:v>
      </x:c>
      <x:c r="K2203" s="24" t="n">
        <x:v>0.19948392219134578</x:v>
      </x:c>
      <x:c r="L2203" s="24" t="n">
        <x:v>0.006814873627100701</x:v>
      </x:c>
    </x:row>
    <x:row r="2204">
      <x:c r="G2204" t="str">
        <x:v>GRR-CLT</x:v>
      </x:c>
      <x:c r="H2204" t="str">
        <x:v>GRR</x:v>
      </x:c>
      <x:c r="I2204" t="str">
        <x:v>CLT</x:v>
      </x:c>
      <x:c r="J2204" s="23" t="n">
        <x:v>2974</x:v>
      </x:c>
      <x:c r="K2204" s="24" t="n">
        <x:v>0.19939475453934097</x:v>
      </x:c>
      <x:c r="L2204" s="24" t="n">
        <x:v>0.010423671822461332</x:v>
      </x:c>
    </x:row>
    <x:row r="2205">
      <x:c r="G2205" t="str">
        <x:v>SFO-SBP</x:v>
      </x:c>
      <x:c r="H2205" t="str">
        <x:v>SFO</x:v>
      </x:c>
      <x:c r="I2205" t="str">
        <x:v>SBP</x:v>
      </x:c>
      <x:c r="J2205" s="23" t="n">
        <x:v>3326</x:v>
      </x:c>
      <x:c r="K2205" s="24" t="n">
        <x:v>0.19933854479855684</x:v>
      </x:c>
      <x:c r="L2205" s="24" t="n">
        <x:v>0.011725796752856284</x:v>
      </x:c>
    </x:row>
    <x:row r="2206">
      <x:c r="G2206" t="str">
        <x:v>IAD-TPA</x:v>
      </x:c>
      <x:c r="H2206" t="str">
        <x:v>IAD</x:v>
      </x:c>
      <x:c r="I2206" t="str">
        <x:v>TPA</x:v>
      </x:c>
      <x:c r="J2206" s="23" t="n">
        <x:v>3753</x:v>
      </x:c>
      <x:c r="K2206" s="24" t="n">
        <x:v>0.1993072208899547</x:v>
      </x:c>
      <x:c r="L2206" s="24" t="n">
        <x:v>0.013056221689315214</x:v>
      </x:c>
    </x:row>
    <x:row r="2207">
      <x:c r="G2207" t="str">
        <x:v>TPA-ISP</x:v>
      </x:c>
      <x:c r="H2207" t="str">
        <x:v>TPA</x:v>
      </x:c>
      <x:c r="I2207" t="str">
        <x:v>ISP</x:v>
      </x:c>
      <x:c r="J2207" s="23" t="n">
        <x:v>1541</x:v>
      </x:c>
      <x:c r="K2207" s="24" t="n">
        <x:v>0.19922128487994809</x:v>
      </x:c>
      <x:c r="L2207" s="24" t="n">
        <x:v>0.016872160934458143</x:v>
      </x:c>
    </x:row>
    <x:row r="2208">
      <x:c r="G2208" t="str">
        <x:v>BNA-DCA</x:v>
      </x:c>
      <x:c r="H2208" t="str">
        <x:v>BNA</x:v>
      </x:c>
      <x:c r="I2208" t="str">
        <x:v>DCA</x:v>
      </x:c>
      <x:c r="J2208" s="23" t="n">
        <x:v>11983</x:v>
      </x:c>
      <x:c r="K2208" s="24" t="n">
        <x:v>0.19919886505883336</x:v>
      </x:c>
      <x:c r="L2208" s="24" t="n">
        <x:v>0.023032629558541268</x:v>
      </x:c>
    </x:row>
    <x:row r="2209">
      <x:c r="G2209" t="str">
        <x:v>SEA-RDU</x:v>
      </x:c>
      <x:c r="H2209" t="str">
        <x:v>SEA</x:v>
      </x:c>
      <x:c r="I2209" t="str">
        <x:v>RDU</x:v>
      </x:c>
      <x:c r="J2209" s="23" t="n">
        <x:v>2616</x:v>
      </x:c>
      <x:c r="K2209" s="24" t="n">
        <x:v>0.19915902140672784</x:v>
      </x:c>
      <x:c r="L2209" s="24" t="n">
        <x:v>0.007262996941896025</x:v>
      </x:c>
    </x:row>
    <x:row r="2210">
      <x:c r="G2210" t="str">
        <x:v>BUF-JFK</x:v>
      </x:c>
      <x:c r="H2210" t="str">
        <x:v>BUF</x:v>
      </x:c>
      <x:c r="I2210" t="str">
        <x:v>JFK</x:v>
      </x:c>
      <x:c r="J2210" s="23" t="n">
        <x:v>7278</x:v>
      </x:c>
      <x:c r="K2210" s="24" t="n">
        <x:v>0.19909315746084089</x:v>
      </x:c>
      <x:c r="L2210" s="24" t="n">
        <x:v>0.0325638911788953</x:v>
      </x:c>
    </x:row>
    <x:row r="2211">
      <x:c r="G2211" t="str">
        <x:v>SAT-SAN</x:v>
      </x:c>
      <x:c r="H2211" t="str">
        <x:v>SAT</x:v>
      </x:c>
      <x:c r="I2211" t="str">
        <x:v>SAN</x:v>
      </x:c>
      <x:c r="J2211" s="23" t="n">
        <x:v>1763</x:v>
      </x:c>
      <x:c r="K2211" s="24" t="n">
        <x:v>0.19909245604083947</x:v>
      </x:c>
      <x:c r="L2211" s="24" t="n">
        <x:v>0.003970504821327283</x:v>
      </x:c>
    </x:row>
    <x:row r="2212">
      <x:c r="G2212" t="str">
        <x:v>PBI-BDL</x:v>
      </x:c>
      <x:c r="H2212" t="str">
        <x:v>PBI</x:v>
      </x:c>
      <x:c r="I2212" t="str">
        <x:v>BDL</x:v>
      </x:c>
      <x:c r="J2212" s="23" t="n">
        <x:v>1532</x:v>
      </x:c>
      <x:c r="K2212" s="24" t="n">
        <x:v>0.19908616187989556</x:v>
      </x:c>
      <x:c r="L2212" s="24" t="n">
        <x:v>0.013054830287206266</x:v>
      </x:c>
    </x:row>
    <x:row r="2213">
      <x:c r="G2213" t="str">
        <x:v>MLI-CLT</x:v>
      </x:c>
      <x:c r="H2213" t="str">
        <x:v>MLI</x:v>
      </x:c>
      <x:c r="I2213" t="str">
        <x:v>CLT</x:v>
      </x:c>
      <x:c r="J2213" s="23" t="n">
        <x:v>1281</x:v>
      </x:c>
      <x:c r="K2213" s="24" t="n">
        <x:v>0.1990632318501171</x:v>
      </x:c>
      <x:c r="L2213" s="24" t="n">
        <x:v>0.0234192037470726</x:v>
      </x:c>
    </x:row>
    <x:row r="2214">
      <x:c r="G2214" t="str">
        <x:v>SAN-OGG</x:v>
      </x:c>
      <x:c r="H2214" t="str">
        <x:v>SAN</x:v>
      </x:c>
      <x:c r="I2214" t="str">
        <x:v>OGG</x:v>
      </x:c>
      <x:c r="J2214" s="23" t="n">
        <x:v>2130</x:v>
      </x:c>
      <x:c r="K2214" s="24" t="n">
        <x:v>0.19906103286384977</x:v>
      </x:c>
      <x:c r="L2214" s="24" t="n">
        <x:v>0.013615023474178404</x:v>
      </x:c>
    </x:row>
    <x:row r="2215">
      <x:c r="G2215" t="str">
        <x:v>JFK-DCA</x:v>
      </x:c>
      <x:c r="H2215" t="str">
        <x:v>JFK</x:v>
      </x:c>
      <x:c r="I2215" t="str">
        <x:v>DCA</x:v>
      </x:c>
      <x:c r="J2215" s="23" t="n">
        <x:v>7802</x:v>
      </x:c>
      <x:c r="K2215" s="24" t="n">
        <x:v>0.19892335298641373</x:v>
      </x:c>
      <x:c r="L2215" s="24" t="n">
        <x:v>0.036657267367341706</x:v>
      </x:c>
    </x:row>
    <x:row r="2216">
      <x:c r="G2216" t="str">
        <x:v>AUS-ORD</x:v>
      </x:c>
      <x:c r="H2216" t="str">
        <x:v>AUS</x:v>
      </x:c>
      <x:c r="I2216" t="str">
        <x:v>ORD</x:v>
      </x:c>
      <x:c r="J2216" s="23" t="n">
        <x:v>9386</x:v>
      </x:c>
      <x:c r="K2216" s="24" t="n">
        <x:v>0.19891327509056042</x:v>
      </x:c>
      <x:c r="L2216" s="24" t="n">
        <x:v>0.010973790752184104</x:v>
      </x:c>
    </x:row>
    <x:row r="2217">
      <x:c r="G2217" t="str">
        <x:v>FLL-SLC</x:v>
      </x:c>
      <x:c r="H2217" t="str">
        <x:v>FLL</x:v>
      </x:c>
      <x:c r="I2217" t="str">
        <x:v>SLC</x:v>
      </x:c>
      <x:c r="J2217" s="23" t="n">
        <x:v>1639</x:v>
      </x:c>
      <x:c r="K2217" s="24" t="n">
        <x:v>0.19890176937156803</x:v>
      </x:c>
      <x:c r="L2217" s="24" t="n">
        <x:v>0.007931665649786455</x:v>
      </x:c>
    </x:row>
    <x:row r="2218">
      <x:c r="G2218" t="str">
        <x:v>BNA-PHX</x:v>
      </x:c>
      <x:c r="H2218" t="str">
        <x:v>BNA</x:v>
      </x:c>
      <x:c r="I2218" t="str">
        <x:v>PHX</x:v>
      </x:c>
      <x:c r="J2218" s="23" t="n">
        <x:v>6770</x:v>
      </x:c>
      <x:c r="K2218" s="24" t="n">
        <x:v>0.19881831610044312</x:v>
      </x:c>
      <x:c r="L2218" s="24" t="n">
        <x:v>0.005317577548005908</x:v>
      </x:c>
    </x:row>
    <x:row r="2219">
      <x:c r="G2219" t="str">
        <x:v>PHX-DSM</x:v>
      </x:c>
      <x:c r="H2219" t="str">
        <x:v>PHX</x:v>
      </x:c>
      <x:c r="I2219" t="str">
        <x:v>DSM</x:v>
      </x:c>
      <x:c r="J2219" s="23" t="n">
        <x:v>2706</x:v>
      </x:c>
      <x:c r="K2219" s="24" t="n">
        <x:v>0.19881744271988175</x:v>
      </x:c>
      <x:c r="L2219" s="24" t="n">
        <x:v>0.007760532150776054</x:v>
      </x:c>
    </x:row>
    <x:row r="2220">
      <x:c r="G2220" t="str">
        <x:v>ATW-MSP</x:v>
      </x:c>
      <x:c r="H2220" t="str">
        <x:v>ATW</x:v>
      </x:c>
      <x:c r="I2220" t="str">
        <x:v>MSP</x:v>
      </x:c>
      <x:c r="J2220" s="23" t="n">
        <x:v>2696</x:v>
      </x:c>
      <x:c r="K2220" s="24" t="n">
        <x:v>0.19881305637982197</x:v>
      </x:c>
      <x:c r="L2220" s="24" t="n">
        <x:v>0.010756676557863502</x:v>
      </x:c>
    </x:row>
    <x:row r="2221">
      <x:c r="G2221" t="str">
        <x:v>EWR-DTW</x:v>
      </x:c>
      <x:c r="H2221" t="str">
        <x:v>EWR</x:v>
      </x:c>
      <x:c r="I2221" t="str">
        <x:v>DTW</x:v>
      </x:c>
      <x:c r="J2221" s="23" t="n">
        <x:v>10070</x:v>
      </x:c>
      <x:c r="K2221" s="24" t="n">
        <x:v>0.19880834160873884</x:v>
      </x:c>
      <x:c r="L2221" s="24" t="n">
        <x:v>0.029592850049652432</x:v>
      </x:c>
    </x:row>
    <x:row r="2222">
      <x:c r="G2222" t="str">
        <x:v>ROW-DFW</x:v>
      </x:c>
      <x:c r="H2222" t="str">
        <x:v>ROW</x:v>
      </x:c>
      <x:c r="I2222" t="str">
        <x:v>DFW</x:v>
      </x:c>
      <x:c r="J2222" s="23" t="n">
        <x:v>2636</x:v>
      </x:c>
      <x:c r="K2222" s="24" t="n">
        <x:v>0.19878603945371776</x:v>
      </x:c>
      <x:c r="L2222" s="24" t="n">
        <x:v>0.025796661608497723</x:v>
      </x:c>
    </x:row>
    <x:row r="2223">
      <x:c r="G2223" t="str">
        <x:v>RDU-DEN</x:v>
      </x:c>
      <x:c r="H2223" t="str">
        <x:v>RDU</x:v>
      </x:c>
      <x:c r="I2223" t="str">
        <x:v>DEN</x:v>
      </x:c>
      <x:c r="J2223" s="23" t="n">
        <x:v>5765</x:v>
      </x:c>
      <x:c r="K2223" s="24" t="n">
        <x:v>0.19878577623590632</x:v>
      </x:c>
      <x:c r="L2223" s="24" t="n">
        <x:v>0.008673026886383347</x:v>
      </x:c>
    </x:row>
    <x:row r="2224">
      <x:c r="G2224" t="str">
        <x:v>LGA-BNA</x:v>
      </x:c>
      <x:c r="H2224" t="str">
        <x:v>LGA</x:v>
      </x:c>
      <x:c r="I2224" t="str">
        <x:v>BNA</x:v>
      </x:c>
      <x:c r="J2224" s="23" t="n">
        <x:v>12990</x:v>
      </x:c>
      <x:c r="K2224" s="24" t="n">
        <x:v>0.1987682832948422</x:v>
      </x:c>
      <x:c r="L2224" s="24" t="n">
        <x:v>0.02771362586605081</x:v>
      </x:c>
    </x:row>
    <x:row r="2225">
      <x:c r="G2225" t="str">
        <x:v>ANC-OME</x:v>
      </x:c>
      <x:c r="H2225" t="str">
        <x:v>ANC</x:v>
      </x:c>
      <x:c r="I2225" t="str">
        <x:v>OME</x:v>
      </x:c>
      <x:c r="J2225" s="23" t="n">
        <x:v>1258</x:v>
      </x:c>
      <x:c r="K2225" s="24" t="n">
        <x:v>0.1987281399046105</x:v>
      </x:c>
      <x:c r="L2225" s="24" t="n">
        <x:v>0.03418124006359301</x:v>
      </x:c>
    </x:row>
    <x:row r="2226">
      <x:c r="G2226" t="str">
        <x:v>PHL-MKE</x:v>
      </x:c>
      <x:c r="H2226" t="str">
        <x:v>PHL</x:v>
      </x:c>
      <x:c r="I2226" t="str">
        <x:v>MKE</x:v>
      </x:c>
      <x:c r="J2226" s="23" t="n">
        <x:v>1223</x:v>
      </x:c>
      <x:c r="K2226" s="24" t="n">
        <x:v>0.19869174161896974</x:v>
      </x:c>
      <x:c r="L2226" s="24" t="n">
        <x:v>0.017988552739165987</x:v>
      </x:c>
    </x:row>
    <x:row r="2227">
      <x:c r="G2227" t="str">
        <x:v>LAS-EUG</x:v>
      </x:c>
      <x:c r="H2227" t="str">
        <x:v>LAS</x:v>
      </x:c>
      <x:c r="I2227" t="str">
        <x:v>EUG</x:v>
      </x:c>
      <x:c r="J2227" s="23" t="n">
        <x:v>1480</x:v>
      </x:c>
      <x:c r="K2227" s="24" t="n">
        <x:v>0.19864864864864865</x:v>
      </x:c>
      <x:c r="L2227" s="24" t="n">
        <x:v>0.006081081081081081</x:v>
      </x:c>
    </x:row>
    <x:row r="2228">
      <x:c r="G2228" t="str">
        <x:v>ORF-DEN</x:v>
      </x:c>
      <x:c r="H2228" t="str">
        <x:v>ORF</x:v>
      </x:c>
      <x:c r="I2228" t="str">
        <x:v>DEN</x:v>
      </x:c>
      <x:c r="J2228" s="23" t="n">
        <x:v>1732</x:v>
      </x:c>
      <x:c r="K2228" s="24" t="n">
        <x:v>0.19861431870669746</x:v>
      </x:c>
      <x:c r="L2228" s="24" t="n">
        <x:v>0.017321016166281754</x:v>
      </x:c>
    </x:row>
    <x:row r="2229">
      <x:c r="G2229" t="str">
        <x:v>IAH-PIB</x:v>
      </x:c>
      <x:c r="H2229" t="str">
        <x:v>IAH</x:v>
      </x:c>
      <x:c r="I2229" t="str">
        <x:v>PIB</x:v>
      </x:c>
      <x:c r="J2229" s="23" t="n">
        <x:v>1707</x:v>
      </x:c>
      <x:c r="K2229" s="24" t="n">
        <x:v>0.19859402460456943</x:v>
      </x:c>
      <x:c r="L2229" s="24" t="n">
        <x:v>0.015231400117164616</x:v>
      </x:c>
    </x:row>
    <x:row r="2230">
      <x:c r="G2230" t="str">
        <x:v>MFE-LAS</x:v>
      </x:c>
      <x:c r="H2230" t="str">
        <x:v>MFE</x:v>
      </x:c>
      <x:c r="I2230" t="str">
        <x:v>LAS</x:v>
      </x:c>
      <x:c r="J2230" s="23" t="n">
        <x:v>1123</x:v>
      </x:c>
      <x:c r="K2230" s="24" t="n">
        <x:v>0.19857524487978628</x:v>
      </x:c>
      <x:c r="L2230" s="24" t="n">
        <x:v>0.0017809439002671415</x:v>
      </x:c>
    </x:row>
    <x:row r="2231">
      <x:c r="G2231" t="str">
        <x:v>SDF-LAS</x:v>
      </x:c>
      <x:c r="H2231" t="str">
        <x:v>SDF</x:v>
      </x:c>
      <x:c r="I2231" t="str">
        <x:v>LAS</x:v>
      </x:c>
      <x:c r="J2231" s="23" t="n">
        <x:v>1451</x:v>
      </x:c>
      <x:c r="K2231" s="24" t="n">
        <x:v>0.19848380427291523</x:v>
      </x:c>
      <x:c r="L2231" s="24" t="n">
        <x:v>0.006202618883528601</x:v>
      </x:c>
    </x:row>
    <x:row r="2232">
      <x:c r="G2232" t="str">
        <x:v>ATL-PWM</x:v>
      </x:c>
      <x:c r="H2232" t="str">
        <x:v>ATL</x:v>
      </x:c>
      <x:c r="I2232" t="str">
        <x:v>PWM</x:v>
      </x:c>
      <x:c r="J2232" s="23" t="n">
        <x:v>1668</x:v>
      </x:c>
      <x:c r="K2232" s="24" t="n">
        <x:v>0.19844124700239807</x:v>
      </x:c>
      <x:c r="L2232" s="24" t="n">
        <x:v>0.011390887290167866</x:v>
      </x:c>
    </x:row>
    <x:row r="2233">
      <x:c r="G2233" t="str">
        <x:v>PDX-EWR</x:v>
      </x:c>
      <x:c r="H2233" t="str">
        <x:v>PDX</x:v>
      </x:c>
      <x:c r="I2233" t="str">
        <x:v>EWR</x:v>
      </x:c>
      <x:c r="J2233" s="23" t="n">
        <x:v>2530</x:v>
      </x:c>
      <x:c r="K2233" s="24" t="n">
        <x:v>0.1984189723320158</x:v>
      </x:c>
      <x:c r="L2233" s="24" t="n">
        <x:v>0.01383399209486166</x:v>
      </x:c>
    </x:row>
    <x:row r="2234">
      <x:c r="G2234" t="str">
        <x:v>CLT-BHM</x:v>
      </x:c>
      <x:c r="H2234" t="str">
        <x:v>CLT</x:v>
      </x:c>
      <x:c r="I2234" t="str">
        <x:v>BHM</x:v>
      </x:c>
      <x:c r="J2234" s="23" t="n">
        <x:v>6280</x:v>
      </x:c>
      <x:c r="K2234" s="24" t="n">
        <x:v>0.19840764331210192</x:v>
      </x:c>
      <x:c r="L2234" s="24" t="n">
        <x:v>0.014012738853503185</x:v>
      </x:c>
    </x:row>
    <x:row r="2235">
      <x:c r="G2235" t="str">
        <x:v>ATL-CRW</x:v>
      </x:c>
      <x:c r="H2235" t="str">
        <x:v>ATL</x:v>
      </x:c>
      <x:c r="I2235" t="str">
        <x:v>CRW</x:v>
      </x:c>
      <x:c r="J2235" s="23" t="n">
        <x:v>2502</x:v>
      </x:c>
      <x:c r="K2235" s="24" t="n">
        <x:v>0.1982414068745004</x:v>
      </x:c>
      <x:c r="L2235" s="24" t="n">
        <x:v>0.009992006394884092</x:v>
      </x:c>
    </x:row>
    <x:row r="2236">
      <x:c r="G2236" t="str">
        <x:v>BNA-CHS</x:v>
      </x:c>
      <x:c r="H2236" t="str">
        <x:v>BNA</x:v>
      </x:c>
      <x:c r="I2236" t="str">
        <x:v>CHS</x:v>
      </x:c>
      <x:c r="J2236" s="23" t="n">
        <x:v>2433</x:v>
      </x:c>
      <x:c r="K2236" s="24" t="n">
        <x:v>0.19810933004521167</x:v>
      </x:c>
      <x:c r="L2236" s="24" t="n">
        <x:v>0.007398273736128237</x:v>
      </x:c>
    </x:row>
    <x:row r="2237">
      <x:c r="G2237" t="str">
        <x:v>CLT-ECP</x:v>
      </x:c>
      <x:c r="H2237" t="str">
        <x:v>CLT</x:v>
      </x:c>
      <x:c r="I2237" t="str">
        <x:v>ECP</x:v>
      </x:c>
      <x:c r="J2237" s="23" t="n">
        <x:v>3166</x:v>
      </x:c>
      <x:c r="K2237" s="24" t="n">
        <x:v>0.19804169298799748</x:v>
      </x:c>
      <x:c r="L2237" s="24" t="n">
        <x:v>0.013265950726468731</x:v>
      </x:c>
    </x:row>
    <x:row r="2238">
      <x:c r="G2238" t="str">
        <x:v>STL-EWR</x:v>
      </x:c>
      <x:c r="H2238" t="str">
        <x:v>STL</x:v>
      </x:c>
      <x:c r="I2238" t="str">
        <x:v>EWR</x:v>
      </x:c>
      <x:c r="J2238" s="23" t="n">
        <x:v>2727</x:v>
      </x:c>
      <x:c r="K2238" s="24" t="n">
        <x:v>0.19801980198019803</x:v>
      </x:c>
      <x:c r="L2238" s="24" t="n">
        <x:v>0.03447011367803447</x:v>
      </x:c>
    </x:row>
    <x:row r="2239">
      <x:c r="G2239" t="str">
        <x:v>SFO-SLC</x:v>
      </x:c>
      <x:c r="H2239" t="str">
        <x:v>SFO</x:v>
      </x:c>
      <x:c r="I2239" t="str">
        <x:v>SLC</x:v>
      </x:c>
      <x:c r="J2239" s="23" t="n">
        <x:v>10572</x:v>
      </x:c>
      <x:c r="K2239" s="24" t="n">
        <x:v>0.1979757850926977</x:v>
      </x:c>
      <x:c r="L2239" s="24" t="n">
        <x:v>0.00671585319712448</x:v>
      </x:c>
    </x:row>
    <x:row r="2240">
      <x:c r="G2240" t="str">
        <x:v>MKE-DCA</x:v>
      </x:c>
      <x:c r="H2240" t="str">
        <x:v>MKE</x:v>
      </x:c>
      <x:c r="I2240" t="str">
        <x:v>DCA</x:v>
      </x:c>
      <x:c r="J2240" s="23" t="n">
        <x:v>3526</x:v>
      </x:c>
      <x:c r="K2240" s="24" t="n">
        <x:v>0.19795802609188884</x:v>
      </x:c>
      <x:c r="L2240" s="24" t="n">
        <x:v>0.020703346568349403</x:v>
      </x:c>
    </x:row>
    <x:row r="2241">
      <x:c r="G2241" t="str">
        <x:v>DEN-DIK</x:v>
      </x:c>
      <x:c r="H2241" t="str">
        <x:v>DEN</x:v>
      </x:c>
      <x:c r="I2241" t="str">
        <x:v>DIK</x:v>
      </x:c>
      <x:c r="J2241" s="23" t="n">
        <x:v>1996</x:v>
      </x:c>
      <x:c r="K2241" s="24" t="n">
        <x:v>0.19789579158316634</x:v>
      </x:c>
      <x:c r="L2241" s="24" t="n">
        <x:v>0.03006012024048096</x:v>
      </x:c>
    </x:row>
    <x:row r="2242">
      <x:c r="G2242" t="str">
        <x:v>BOS-PIT</x:v>
      </x:c>
      <x:c r="H2242" t="str">
        <x:v>BOS</x:v>
      </x:c>
      <x:c r="I2242" t="str">
        <x:v>PIT</x:v>
      </x:c>
      <x:c r="J2242" s="23" t="n">
        <x:v>6484</x:v>
      </x:c>
      <x:c r="K2242" s="24" t="n">
        <x:v>0.19787168414558914</x:v>
      </x:c>
      <x:c r="L2242" s="24" t="n">
        <x:v>0.016810610734114745</x:v>
      </x:c>
    </x:row>
    <x:row r="2243">
      <x:c r="G2243" t="str">
        <x:v>DCA-JFK</x:v>
      </x:c>
      <x:c r="H2243" t="str">
        <x:v>DCA</x:v>
      </x:c>
      <x:c r="I2243" t="str">
        <x:v>JFK</x:v>
      </x:c>
      <x:c r="J2243" s="23" t="n">
        <x:v>7768</x:v>
      </x:c>
      <x:c r="K2243" s="24" t="n">
        <x:v>0.19786302780638518</x:v>
      </x:c>
      <x:c r="L2243" s="24" t="n">
        <x:v>0.03913491246138002</x:v>
      </x:c>
    </x:row>
    <x:row r="2244">
      <x:c r="G2244" t="str">
        <x:v>SJC-DFW</x:v>
      </x:c>
      <x:c r="H2244" t="str">
        <x:v>SJC</x:v>
      </x:c>
      <x:c r="I2244" t="str">
        <x:v>DFW</x:v>
      </x:c>
      <x:c r="J2244" s="23" t="n">
        <x:v>3897</x:v>
      </x:c>
      <x:c r="K2244" s="24" t="n">
        <x:v>0.19784449576597382</x:v>
      </x:c>
      <x:c r="L2244" s="24" t="n">
        <x:v>0.014626635873749037</x:v>
      </x:c>
    </x:row>
    <x:row r="2245">
      <x:c r="G2245" t="str">
        <x:v>BNA-RDU</x:v>
      </x:c>
      <x:c r="H2245" t="str">
        <x:v>BNA</x:v>
      </x:c>
      <x:c r="I2245" t="str">
        <x:v>RDU</x:v>
      </x:c>
      <x:c r="J2245" s="23" t="n">
        <x:v>6471</x:v>
      </x:c>
      <x:c r="K2245" s="24" t="n">
        <x:v>0.19780559418946067</x:v>
      </x:c>
      <x:c r="L2245" s="24" t="n">
        <x:v>0.009890279709473034</x:v>
      </x:c>
    </x:row>
    <x:row r="2246">
      <x:c r="G2246" t="str">
        <x:v>DEN-LBF</x:v>
      </x:c>
      <x:c r="H2246" t="str">
        <x:v>DEN</x:v>
      </x:c>
      <x:c r="I2246" t="str">
        <x:v>LBF</x:v>
      </x:c>
      <x:c r="J2246" s="23" t="n">
        <x:v>1876</x:v>
      </x:c>
      <x:c r="K2246" s="24" t="n">
        <x:v>0.19776119402985073</x:v>
      </x:c>
      <x:c r="L2246" s="24" t="n">
        <x:v>0.030383795309168442</x:v>
      </x:c>
    </x:row>
    <x:row r="2247">
      <x:c r="G2247" t="str">
        <x:v>DTW-SJU</x:v>
      </x:c>
      <x:c r="H2247" t="str">
        <x:v>DTW</x:v>
      </x:c>
      <x:c r="I2247" t="str">
        <x:v>SJU</x:v>
      </x:c>
      <x:c r="J2247" s="23" t="n">
        <x:v>1143</x:v>
      </x:c>
      <x:c r="K2247" s="24" t="n">
        <x:v>0.19772528433945757</x:v>
      </x:c>
      <x:c r="L2247" s="24" t="n">
        <x:v>0.0008748906386701663</x:v>
      </x:c>
    </x:row>
    <x:row r="2248">
      <x:c r="G2248" t="str">
        <x:v>DFW-AMA</x:v>
      </x:c>
      <x:c r="H2248" t="str">
        <x:v>DFW</x:v>
      </x:c>
      <x:c r="I2248" t="str">
        <x:v>AMA</x:v>
      </x:c>
      <x:c r="J2248" s="23" t="n">
        <x:v>6910</x:v>
      </x:c>
      <x:c r="K2248" s="24" t="n">
        <x:v>0.19768451519536903</x:v>
      </x:c>
      <x:c r="L2248" s="24" t="n">
        <x:v>0.02069464544138929</x:v>
      </x:c>
    </x:row>
    <x:row r="2249">
      <x:c r="G2249" t="str">
        <x:v>BNA-SAV</x:v>
      </x:c>
      <x:c r="H2249" t="str">
        <x:v>BNA</x:v>
      </x:c>
      <x:c r="I2249" t="str">
        <x:v>SAV</x:v>
      </x:c>
      <x:c r="J2249" s="23" t="n">
        <x:v>1973</x:v>
      </x:c>
      <x:c r="K2249" s="24" t="n">
        <x:v>0.19766852508869742</x:v>
      </x:c>
      <x:c r="L2249" s="24" t="n">
        <x:v>0.006588950836289914</x:v>
      </x:c>
    </x:row>
    <x:row r="2250">
      <x:c r="G2250" t="str">
        <x:v>LAX-PRC</x:v>
      </x:c>
      <x:c r="H2250" t="str">
        <x:v>LAX</x:v>
      </x:c>
      <x:c r="I2250" t="str">
        <x:v>PRC</x:v>
      </x:c>
      <x:c r="J2250" s="23" t="n">
        <x:v>1088</x:v>
      </x:c>
      <x:c r="K2250" s="24" t="n">
        <x:v>0.19761029411764705</x:v>
      </x:c>
      <x:c r="L2250" s="24" t="n">
        <x:v>0.012867647058823529</x:v>
      </x:c>
    </x:row>
    <x:row r="2251">
      <x:c r="G2251" t="str">
        <x:v>GRR-BWI</x:v>
      </x:c>
      <x:c r="H2251" t="str">
        <x:v>GRR</x:v>
      </x:c>
      <x:c r="I2251" t="str">
        <x:v>BWI</x:v>
      </x:c>
      <x:c r="J2251" s="23" t="n">
        <x:v>1154</x:v>
      </x:c>
      <x:c r="K2251" s="24" t="n">
        <x:v>0.1975736568457539</x:v>
      </x:c>
      <x:c r="L2251" s="24" t="n">
        <x:v>0.006065857885615251</x:v>
      </x:c>
    </x:row>
    <x:row r="2252">
      <x:c r="G2252" t="str">
        <x:v>OMA-ORD</x:v>
      </x:c>
      <x:c r="H2252" t="str">
        <x:v>OMA</x:v>
      </x:c>
      <x:c r="I2252" t="str">
        <x:v>ORD</x:v>
      </x:c>
      <x:c r="J2252" s="23" t="n">
        <x:v>7021</x:v>
      </x:c>
      <x:c r="K2252" s="24" t="n">
        <x:v>0.19755020652328728</x:v>
      </x:c>
      <x:c r="L2252" s="24" t="n">
        <x:v>0.017376442102264633</x:v>
      </x:c>
    </x:row>
    <x:row r="2253">
      <x:c r="G2253" t="str">
        <x:v>SAV-DCA</x:v>
      </x:c>
      <x:c r="H2253" t="str">
        <x:v>SAV</x:v>
      </x:c>
      <x:c r="I2253" t="str">
        <x:v>DCA</x:v>
      </x:c>
      <x:c r="J2253" s="23" t="n">
        <x:v>2693</x:v>
      </x:c>
      <x:c r="K2253" s="24" t="n">
        <x:v>0.19754920163386558</x:v>
      </x:c>
      <x:c r="L2253" s="24" t="n">
        <x:v>0.0363906424062384</x:v>
      </x:c>
    </x:row>
    <x:row r="2254">
      <x:c r="G2254" t="str">
        <x:v>DCA-RDU</x:v>
      </x:c>
      <x:c r="H2254" t="str">
        <x:v>DCA</x:v>
      </x:c>
      <x:c r="I2254" t="str">
        <x:v>RDU</x:v>
      </x:c>
      <x:c r="J2254" s="23" t="n">
        <x:v>7543</x:v>
      </x:c>
      <x:c r="K2254" s="24" t="n">
        <x:v>0.1975341376110301</x:v>
      </x:c>
      <x:c r="L2254" s="24" t="n">
        <x:v>0.022007158955322816</x:v>
      </x:c>
    </x:row>
    <x:row r="2255">
      <x:c r="G2255" t="str">
        <x:v>DAY-DCA</x:v>
      </x:c>
      <x:c r="H2255" t="str">
        <x:v>DAY</x:v>
      </x:c>
      <x:c r="I2255" t="str">
        <x:v>DCA</x:v>
      </x:c>
      <x:c r="J2255" s="23" t="n">
        <x:v>3473</x:v>
      </x:c>
      <x:c r="K2255" s="24" t="n">
        <x:v>0.19752375467895192</x:v>
      </x:c>
      <x:c r="L2255" s="24" t="n">
        <x:v>0.026490066225165563</x:v>
      </x:c>
    </x:row>
    <x:row r="2256">
      <x:c r="G2256" t="str">
        <x:v>MSY-HOU</x:v>
      </x:c>
      <x:c r="H2256" t="str">
        <x:v>MSY</x:v>
      </x:c>
      <x:c r="I2256" t="str">
        <x:v>HOU</x:v>
      </x:c>
      <x:c r="J2256" s="23" t="n">
        <x:v>6729</x:v>
      </x:c>
      <x:c r="K2256" s="24" t="n">
        <x:v>0.19750334373606776</x:v>
      </x:c>
      <x:c r="L2256" s="24" t="n">
        <x:v>0.011740228860157527</x:v>
      </x:c>
    </x:row>
    <x:row r="2257">
      <x:c r="G2257" t="str">
        <x:v>LGA-RDU</x:v>
      </x:c>
      <x:c r="H2257" t="str">
        <x:v>LGA</x:v>
      </x:c>
      <x:c r="I2257" t="str">
        <x:v>RDU</x:v>
      </x:c>
      <x:c r="J2257" s="23" t="n">
        <x:v>10942</x:v>
      </x:c>
      <x:c r="K2257" s="24" t="n">
        <x:v>0.19749588740632426</x:v>
      </x:c>
      <x:c r="L2257" s="24" t="n">
        <x:v>0.030707366112228112</x:v>
      </x:c>
    </x:row>
    <x:row r="2258">
      <x:c r="G2258" t="str">
        <x:v>DEN-SUX</x:v>
      </x:c>
      <x:c r="H2258" t="str">
        <x:v>DEN</x:v>
      </x:c>
      <x:c r="I2258" t="str">
        <x:v>SUX</x:v>
      </x:c>
      <x:c r="J2258" s="23" t="n">
        <x:v>1033</x:v>
      </x:c>
      <x:c r="K2258" s="24" t="n">
        <x:v>0.19748305905130686</x:v>
      </x:c>
      <x:c r="L2258" s="24" t="n">
        <x:v>0.023233301064859633</x:v>
      </x:c>
    </x:row>
    <x:row r="2259">
      <x:c r="G2259" t="str">
        <x:v>PHX-TUL</x:v>
      </x:c>
      <x:c r="H2259" t="str">
        <x:v>PHX</x:v>
      </x:c>
      <x:c r="I2259" t="str">
        <x:v>TUL</x:v>
      </x:c>
      <x:c r="J2259" s="23" t="n">
        <x:v>3170</x:v>
      </x:c>
      <x:c r="K2259" s="24" t="n">
        <x:v>0.1974763406940063</x:v>
      </x:c>
      <x:c r="L2259" s="24" t="n">
        <x:v>0.0015772870662460567</x:v>
      </x:c>
    </x:row>
    <x:row r="2260">
      <x:c r="G2260" t="str">
        <x:v>LCH-DFW</x:v>
      </x:c>
      <x:c r="H2260" t="str">
        <x:v>LCH</x:v>
      </x:c>
      <x:c r="I2260" t="str">
        <x:v>DFW</x:v>
      </x:c>
      <x:c r="J2260" s="23" t="n">
        <x:v>3241</x:v>
      </x:c>
      <x:c r="K2260" s="24" t="n">
        <x:v>0.1974699166923789</x:v>
      </x:c>
      <x:c r="L2260" s="24" t="n">
        <x:v>0.03332304844183894</x:v>
      </x:c>
    </x:row>
    <x:row r="2261">
      <x:c r="G2261" t="str">
        <x:v>MSP-IAH</x:v>
      </x:c>
      <x:c r="H2261" t="str">
        <x:v>MSP</x:v>
      </x:c>
      <x:c r="I2261" t="str">
        <x:v>IAH</x:v>
      </x:c>
      <x:c r="J2261" s="23" t="n">
        <x:v>5591</x:v>
      </x:c>
      <x:c r="K2261" s="24" t="n">
        <x:v>0.19746020389912358</x:v>
      </x:c>
      <x:c r="L2261" s="24" t="n">
        <x:v>0.010731532820604543</x:v>
      </x:c>
    </x:row>
    <x:row r="2262">
      <x:c r="G2262" t="str">
        <x:v>SLC-ORD</x:v>
      </x:c>
      <x:c r="H2262" t="str">
        <x:v>SLC</x:v>
      </x:c>
      <x:c r="I2262" t="str">
        <x:v>ORD</x:v>
      </x:c>
      <x:c r="J2262" s="23" t="n">
        <x:v>8807</x:v>
      </x:c>
      <x:c r="K2262" s="24" t="n">
        <x:v>0.19745656863858294</x:v>
      </x:c>
      <x:c r="L2262" s="24" t="n">
        <x:v>0.009992051776995572</x:v>
      </x:c>
    </x:row>
    <x:row r="2263">
      <x:c r="G2263" t="str">
        <x:v>PHX-BNA</x:v>
      </x:c>
      <x:c r="H2263" t="str">
        <x:v>PHX</x:v>
      </x:c>
      <x:c r="I2263" t="str">
        <x:v>BNA</x:v>
      </x:c>
      <x:c r="J2263" s="23" t="n">
        <x:v>6756</x:v>
      </x:c>
      <x:c r="K2263" s="24" t="n">
        <x:v>0.19745411486086442</x:v>
      </x:c>
      <x:c r="L2263" s="24" t="n">
        <x:v>0.0053285968028419185</x:v>
      </x:c>
    </x:row>
    <x:row r="2264">
      <x:c r="G2264" t="str">
        <x:v>JFK-MSP</x:v>
      </x:c>
      <x:c r="H2264" t="str">
        <x:v>JFK</x:v>
      </x:c>
      <x:c r="I2264" t="str">
        <x:v>MSP</x:v>
      </x:c>
      <x:c r="J2264" s="23" t="n">
        <x:v>3202</x:v>
      </x:c>
      <x:c r="K2264" s="24" t="n">
        <x:v>0.19737663960024984</x:v>
      </x:c>
      <x:c r="L2264" s="24" t="n">
        <x:v>0.015302935665209244</x:v>
      </x:c>
    </x:row>
    <x:row r="2265">
      <x:c r="G2265" t="str">
        <x:v>SFO-IAD</x:v>
      </x:c>
      <x:c r="H2265" t="str">
        <x:v>SFO</x:v>
      </x:c>
      <x:c r="I2265" t="str">
        <x:v>IAD</x:v>
      </x:c>
      <x:c r="J2265" s="23" t="n">
        <x:v>8264</x:v>
      </x:c>
      <x:c r="K2265" s="24" t="n">
        <x:v>0.1973620522749274</x:v>
      </x:c>
      <x:c r="L2265" s="24" t="n">
        <x:v>0.009196515004840271</x:v>
      </x:c>
    </x:row>
    <x:row r="2266">
      <x:c r="G2266" t="str">
        <x:v>MEM-CLT</x:v>
      </x:c>
      <x:c r="H2266" t="str">
        <x:v>MEM</x:v>
      </x:c>
      <x:c r="I2266" t="str">
        <x:v>CLT</x:v>
      </x:c>
      <x:c r="J2266" s="23" t="n">
        <x:v>5706</x:v>
      </x:c>
      <x:c r="K2266" s="24" t="n">
        <x:v>0.1973361373992289</x:v>
      </x:c>
      <x:c r="L2266" s="24" t="n">
        <x:v>0.011216263582194182</x:v>
      </x:c>
    </x:row>
    <x:row r="2267">
      <x:c r="G2267" t="str">
        <x:v>SEA-GEG</x:v>
      </x:c>
      <x:c r="H2267" t="str">
        <x:v>SEA</x:v>
      </x:c>
      <x:c r="I2267" t="str">
        <x:v>GEG</x:v>
      </x:c>
      <x:c r="J2267" s="23" t="n">
        <x:v>15488</x:v>
      </x:c>
      <x:c r="K2267" s="24" t="n">
        <x:v>0.19731404958677687</x:v>
      </x:c>
      <x:c r="L2267" s="24" t="n">
        <x:v>0.005746384297520661</x:v>
      </x:c>
    </x:row>
    <x:row r="2268">
      <x:c r="G2268" t="str">
        <x:v>EWR-EYW</x:v>
      </x:c>
      <x:c r="H2268" t="str">
        <x:v>EWR</x:v>
      </x:c>
      <x:c r="I2268" t="str">
        <x:v>EYW</x:v>
      </x:c>
      <x:c r="J2268" s="23" t="n">
        <x:v>1551</x:v>
      </x:c>
      <x:c r="K2268" s="24" t="n">
        <x:v>0.19729206963249515</x:v>
      </x:c>
      <x:c r="L2268" s="24" t="n">
        <x:v>0.015473887814313346</x:v>
      </x:c>
    </x:row>
    <x:row r="2269">
      <x:c r="G2269" t="str">
        <x:v>DTW-DEN</x:v>
      </x:c>
      <x:c r="H2269" t="str">
        <x:v>DTW</x:v>
      </x:c>
      <x:c r="I2269" t="str">
        <x:v>DEN</x:v>
      </x:c>
      <x:c r="J2269" s="23" t="n">
        <x:v>8932</x:v>
      </x:c>
      <x:c r="K2269" s="24" t="n">
        <x:v>0.19726824899238693</x:v>
      </x:c>
      <x:c r="L2269" s="24" t="n">
        <x:v>0.007725033587102552</x:v>
      </x:c>
    </x:row>
    <x:row r="2270">
      <x:c r="G2270" t="str">
        <x:v>CMH-AUS</x:v>
      </x:c>
      <x:c r="H2270" t="str">
        <x:v>CMH</x:v>
      </x:c>
      <x:c r="I2270" t="str">
        <x:v>AUS</x:v>
      </x:c>
      <x:c r="J2270" s="23" t="n">
        <x:v>1080</x:v>
      </x:c>
      <x:c r="K2270" s="24" t="n">
        <x:v>0.19722222222222222</x:v>
      </x:c>
      <x:c r="L2270" s="24" t="n">
        <x:v>0.002777777777777778</x:v>
      </x:c>
    </x:row>
    <x:row r="2271">
      <x:c r="G2271" t="str">
        <x:v>EWR-CHS</x:v>
      </x:c>
      <x:c r="H2271" t="str">
        <x:v>EWR</x:v>
      </x:c>
      <x:c r="I2271" t="str">
        <x:v>CHS</x:v>
      </x:c>
      <x:c r="J2271" s="23" t="n">
        <x:v>4503</x:v>
      </x:c>
      <x:c r="K2271" s="24" t="n">
        <x:v>0.1972018654230513</x:v>
      </x:c>
      <x:c r="L2271" s="24" t="n">
        <x:v>0.028869642460581834</x:v>
      </x:c>
    </x:row>
    <x:row r="2272">
      <x:c r="G2272" t="str">
        <x:v>SFO-ONT</x:v>
      </x:c>
      <x:c r="H2272" t="str">
        <x:v>SFO</x:v>
      </x:c>
      <x:c r="I2272" t="str">
        <x:v>ONT</x:v>
      </x:c>
      <x:c r="J2272" s="23" t="n">
        <x:v>4256</x:v>
      </x:c>
      <x:c r="K2272" s="24" t="n">
        <x:v>0.19713345864661655</x:v>
      </x:c>
      <x:c r="L2272" s="24" t="n">
        <x:v>0.012453007518796992</x:v>
      </x:c>
    </x:row>
    <x:row r="2273">
      <x:c r="G2273" t="str">
        <x:v>OAK-GEG</x:v>
      </x:c>
      <x:c r="H2273" t="str">
        <x:v>OAK</x:v>
      </x:c>
      <x:c r="I2273" t="str">
        <x:v>GEG</x:v>
      </x:c>
      <x:c r="J2273" s="23" t="n">
        <x:v>1806</x:v>
      </x:c>
      <x:c r="K2273" s="24" t="n">
        <x:v>0.19712070874861573</x:v>
      </x:c>
      <x:c r="L2273" s="24" t="n">
        <x:v>0.0005537098560354374</x:v>
      </x:c>
    </x:row>
    <x:row r="2274">
      <x:c r="G2274" t="str">
        <x:v>LAX-MCO</x:v>
      </x:c>
      <x:c r="H2274" t="str">
        <x:v>LAX</x:v>
      </x:c>
      <x:c r="I2274" t="str">
        <x:v>MCO</x:v>
      </x:c>
      <x:c r="J2274" s="23" t="n">
        <x:v>9299</x:v>
      </x:c>
      <x:c r="K2274" s="24" t="n">
        <x:v>0.1971179696741585</x:v>
      </x:c>
      <x:c r="L2274" s="24" t="n">
        <x:v>0.008925690934509086</x:v>
      </x:c>
    </x:row>
    <x:row r="2275">
      <x:c r="G2275" t="str">
        <x:v>BNA-ECP</x:v>
      </x:c>
      <x:c r="H2275" t="str">
        <x:v>BNA</x:v>
      </x:c>
      <x:c r="I2275" t="str">
        <x:v>ECP</x:v>
      </x:c>
      <x:c r="J2275" s="23" t="n">
        <x:v>3126</x:v>
      </x:c>
      <x:c r="K2275" s="24" t="n">
        <x:v>0.19705694177863084</x:v>
      </x:c>
      <x:c r="L2275" s="24" t="n">
        <x:v>0.004478566858605247</x:v>
      </x:c>
    </x:row>
    <x:row r="2276">
      <x:c r="G2276" t="str">
        <x:v>SMF-DAL</x:v>
      </x:c>
      <x:c r="H2276" t="str">
        <x:v>SMF</x:v>
      </x:c>
      <x:c r="I2276" t="str">
        <x:v>DAL</x:v>
      </x:c>
      <x:c r="J2276" s="23" t="n">
        <x:v>1675</x:v>
      </x:c>
      <x:c r="K2276" s="24" t="n">
        <x:v>0.19701492537313434</x:v>
      </x:c>
      <x:c r="L2276" s="24" t="n">
        <x:v>0.008955223880597015</x:v>
      </x:c>
    </x:row>
    <x:row r="2277">
      <x:c r="G2277" t="str">
        <x:v>ATL-MCI</x:v>
      </x:c>
      <x:c r="H2277" t="str">
        <x:v>ATL</x:v>
      </x:c>
      <x:c r="I2277" t="str">
        <x:v>MCI</x:v>
      </x:c>
      <x:c r="J2277" s="23" t="n">
        <x:v>9847</x:v>
      </x:c>
      <x:c r="K2277" s="24" t="n">
        <x:v>0.19701431908195388</x:v>
      </x:c>
      <x:c r="L2277" s="24" t="n">
        <x:v>0.008835178226871129</x:v>
      </x:c>
    </x:row>
    <x:row r="2278">
      <x:c r="G2278" t="str">
        <x:v>BWI-ORD</x:v>
      </x:c>
      <x:c r="H2278" t="str">
        <x:v>BWI</x:v>
      </x:c>
      <x:c r="I2278" t="str">
        <x:v>ORD</x:v>
      </x:c>
      <x:c r="J2278" s="23" t="n">
        <x:v>8225</x:v>
      </x:c>
      <x:c r="K2278" s="24" t="n">
        <x:v>0.19696048632218846</x:v>
      </x:c>
      <x:c r="L2278" s="24" t="n">
        <x:v>0.014103343465045593</x:v>
      </x:c>
    </x:row>
    <x:row r="2279">
      <x:c r="G2279" t="str">
        <x:v>BNA-SEA</x:v>
      </x:c>
      <x:c r="H2279" t="str">
        <x:v>BNA</x:v>
      </x:c>
      <x:c r="I2279" t="str">
        <x:v>SEA</x:v>
      </x:c>
      <x:c r="J2279" s="23" t="n">
        <x:v>3946</x:v>
      </x:c>
      <x:c r="K2279" s="24" t="n">
        <x:v>0.19690826153066396</x:v>
      </x:c>
      <x:c r="L2279" s="24" t="n">
        <x:v>0.008109477952356817</x:v>
      </x:c>
    </x:row>
    <x:row r="2280">
      <x:c r="G2280" t="str">
        <x:v>ATL-RDU</x:v>
      </x:c>
      <x:c r="H2280" t="str">
        <x:v>ATL</x:v>
      </x:c>
      <x:c r="I2280" t="str">
        <x:v>RDU</x:v>
      </x:c>
      <x:c r="J2280" s="23" t="n">
        <x:v>13836</x:v>
      </x:c>
      <x:c r="K2280" s="24" t="n">
        <x:v>0.19687771032090198</x:v>
      </x:c>
      <x:c r="L2280" s="24" t="n">
        <x:v>0.0071552471812662615</x:v>
      </x:c>
    </x:row>
    <x:row r="2281">
      <x:c r="G2281" t="str">
        <x:v>IAH-PHL</x:v>
      </x:c>
      <x:c r="H2281" t="str">
        <x:v>IAH</x:v>
      </x:c>
      <x:c r="I2281" t="str">
        <x:v>PHL</x:v>
      </x:c>
      <x:c r="J2281" s="23" t="n">
        <x:v>5506</x:v>
      </x:c>
      <x:c r="K2281" s="24" t="n">
        <x:v>0.19687613512531785</x:v>
      </x:c>
      <x:c r="L2281" s="24" t="n">
        <x:v>0.016890664729386124</x:v>
      </x:c>
    </x:row>
    <x:row r="2282">
      <x:c r="G2282" t="str">
        <x:v>DFW-COU</x:v>
      </x:c>
      <x:c r="H2282" t="str">
        <x:v>DFW</x:v>
      </x:c>
      <x:c r="I2282" t="str">
        <x:v>COU</x:v>
      </x:c>
      <x:c r="J2282" s="23" t="n">
        <x:v>3334</x:v>
      </x:c>
      <x:c r="K2282" s="24" t="n">
        <x:v>0.1967606478704259</x:v>
      </x:c>
      <x:c r="L2282" s="24" t="n">
        <x:v>0.02519496100779844</x:v>
      </x:c>
    </x:row>
    <x:row r="2283">
      <x:c r="G2283" t="str">
        <x:v>TPA-PIT</x:v>
      </x:c>
      <x:c r="H2283" t="str">
        <x:v>TPA</x:v>
      </x:c>
      <x:c r="I2283" t="str">
        <x:v>PIT</x:v>
      </x:c>
      <x:c r="J2283" s="23" t="n">
        <x:v>3014</x:v>
      </x:c>
      <x:c r="K2283" s="24" t="n">
        <x:v>0.19674850696748508</x:v>
      </x:c>
      <x:c r="L2283" s="24" t="n">
        <x:v>0.010617120106171201</x:v>
      </x:c>
    </x:row>
    <x:row r="2284">
      <x:c r="G2284" t="str">
        <x:v>ORD-PSP</x:v>
      </x:c>
      <x:c r="H2284" t="str">
        <x:v>ORD</x:v>
      </x:c>
      <x:c r="I2284" t="str">
        <x:v>PSP</x:v>
      </x:c>
      <x:c r="J2284" s="23" t="n">
        <x:v>1779</x:v>
      </x:c>
      <x:c r="K2284" s="24" t="n">
        <x:v>0.1967397414277684</x:v>
      </x:c>
      <x:c r="L2284" s="24" t="n">
        <x:v>0.00505902192242833</x:v>
      </x:c>
    </x:row>
    <x:row r="2285">
      <x:c r="G2285" t="str">
        <x:v>IND-DAL</x:v>
      </x:c>
      <x:c r="H2285" t="str">
        <x:v>IND</x:v>
      </x:c>
      <x:c r="I2285" t="str">
        <x:v>DAL</x:v>
      </x:c>
      <x:c r="J2285" s="23" t="n">
        <x:v>2084</x:v>
      </x:c>
      <x:c r="K2285" s="24" t="n">
        <x:v>0.1967370441458733</x:v>
      </x:c>
      <x:c r="L2285" s="24" t="n">
        <x:v>0.010076775431861805</x:v>
      </x:c>
    </x:row>
    <x:row r="2286">
      <x:c r="G2286" t="str">
        <x:v>LAW-DFW</x:v>
      </x:c>
      <x:c r="H2286" t="str">
        <x:v>LAW</x:v>
      </x:c>
      <x:c r="I2286" t="str">
        <x:v>DFW</x:v>
      </x:c>
      <x:c r="J2286" s="23" t="n">
        <x:v>3177</x:v>
      </x:c>
      <x:c r="K2286" s="24" t="n">
        <x:v>0.19672647151400693</x:v>
      </x:c>
      <x:c r="L2286" s="24" t="n">
        <x:v>0.036827195467422094</x:v>
      </x:c>
    </x:row>
    <x:row r="2287">
      <x:c r="G2287" t="str">
        <x:v>JFK-SAN</x:v>
      </x:c>
      <x:c r="H2287" t="str">
        <x:v>JFK</x:v>
      </x:c>
      <x:c r="I2287" t="str">
        <x:v>SAN</x:v>
      </x:c>
      <x:c r="J2287" s="23" t="n">
        <x:v>7307</x:v>
      </x:c>
      <x:c r="K2287" s="24" t="n">
        <x:v>0.1966607362802792</x:v>
      </x:c>
      <x:c r="L2287" s="24" t="n">
        <x:v>0.013001231695634323</x:v>
      </x:c>
    </x:row>
    <x:row r="2288">
      <x:c r="G2288" t="str">
        <x:v>BNA-LAX</x:v>
      </x:c>
      <x:c r="H2288" t="str">
        <x:v>BNA</x:v>
      </x:c>
      <x:c r="I2288" t="str">
        <x:v>LAX</x:v>
      </x:c>
      <x:c r="J2288" s="23" t="n">
        <x:v>6382</x:v>
      </x:c>
      <x:c r="K2288" s="24" t="n">
        <x:v>0.19664681917894078</x:v>
      </x:c>
      <x:c r="L2288" s="24" t="n">
        <x:v>0.007677843936070197</x:v>
      </x:c>
    </x:row>
    <x:row r="2289">
      <x:c r="G2289" t="str">
        <x:v>MOB-DFW</x:v>
      </x:c>
      <x:c r="H2289" t="str">
        <x:v>MOB</x:v>
      </x:c>
      <x:c r="I2289" t="str">
        <x:v>DFW</x:v>
      </x:c>
      <x:c r="J2289" s="23" t="n">
        <x:v>3220</x:v>
      </x:c>
      <x:c r="K2289" s="24" t="n">
        <x:v>0.19658385093167702</x:v>
      </x:c>
      <x:c r="L2289" s="24" t="n">
        <x:v>0.029192546583850933</x:v>
      </x:c>
    </x:row>
    <x:row r="2290">
      <x:c r="G2290" t="str">
        <x:v>BOS-MYR</x:v>
      </x:c>
      <x:c r="H2290" t="str">
        <x:v>BOS</x:v>
      </x:c>
      <x:c r="I2290" t="str">
        <x:v>MYR</x:v>
      </x:c>
      <x:c r="J2290" s="23" t="n">
        <x:v>1806</x:v>
      </x:c>
      <x:c r="K2290" s="24" t="n">
        <x:v>0.19656699889258028</x:v>
      </x:c>
      <x:c r="L2290" s="24" t="n">
        <x:v>0.01937984496124031</x:v>
      </x:c>
    </x:row>
    <x:row r="2291">
      <x:c r="G2291" t="str">
        <x:v>MRY-SAN</x:v>
      </x:c>
      <x:c r="H2291" t="str">
        <x:v>MRY</x:v>
      </x:c>
      <x:c r="I2291" t="str">
        <x:v>SAN</x:v>
      </x:c>
      <x:c r="J2291" s="23" t="n">
        <x:v>1572</x:v>
      </x:c>
      <x:c r="K2291" s="24" t="n">
        <x:v>0.1965648854961832</x:v>
      </x:c>
      <x:c r="L2291" s="24" t="n">
        <x:v>0.015903307888040712</x:v>
      </x:c>
    </x:row>
    <x:row r="2292">
      <x:c r="G2292" t="str">
        <x:v>MSY-BWI</x:v>
      </x:c>
      <x:c r="H2292" t="str">
        <x:v>MSY</x:v>
      </x:c>
      <x:c r="I2292" t="str">
        <x:v>BWI</x:v>
      </x:c>
      <x:c r="J2292" s="23" t="n">
        <x:v>3308</x:v>
      </x:c>
      <x:c r="K2292" s="24" t="n">
        <x:v>0.19649334945586458</x:v>
      </x:c>
      <x:c r="L2292" s="24" t="n">
        <x:v>0.011789600967351875</x:v>
      </x:c>
    </x:row>
    <x:row r="2293">
      <x:c r="G2293" t="str">
        <x:v>RIC-ORD</x:v>
      </x:c>
      <x:c r="H2293" t="str">
        <x:v>RIC</x:v>
      </x:c>
      <x:c r="I2293" t="str">
        <x:v>ORD</x:v>
      </x:c>
      <x:c r="J2293" s="23" t="n">
        <x:v>3018</x:v>
      </x:c>
      <x:c r="K2293" s="24" t="n">
        <x:v>0.1964877402253148</x:v>
      </x:c>
      <x:c r="L2293" s="24" t="n">
        <x:v>0.018886679920477135</x:v>
      </x:c>
    </x:row>
    <x:row r="2294">
      <x:c r="G2294" t="str">
        <x:v>CLT-ATL</x:v>
      </x:c>
      <x:c r="H2294" t="str">
        <x:v>CLT</x:v>
      </x:c>
      <x:c r="I2294" t="str">
        <x:v>ATL</x:v>
      </x:c>
      <x:c r="J2294" s="23" t="n">
        <x:v>15089</x:v>
      </x:c>
      <x:c r="K2294" s="24" t="n">
        <x:v>0.19643448870037775</x:v>
      </x:c>
      <x:c r="L2294" s="24" t="n">
        <x:v>0.010404930744250779</x:v>
      </x:c>
    </x:row>
    <x:row r="2295">
      <x:c r="G2295" t="str">
        <x:v>SGU-DEN</x:v>
      </x:c>
      <x:c r="H2295" t="str">
        <x:v>SGU</x:v>
      </x:c>
      <x:c r="I2295" t="str">
        <x:v>DEN</x:v>
      </x:c>
      <x:c r="J2295" s="23" t="n">
        <x:v>2404</x:v>
      </x:c>
      <x:c r="K2295" s="24" t="n">
        <x:v>0.19633943427620631</x:v>
      </x:c>
      <x:c r="L2295" s="24" t="n">
        <x:v>0.004991680532445923</x:v>
      </x:c>
    </x:row>
    <x:row r="2296">
      <x:c r="G2296" t="str">
        <x:v>MSN-DEN</x:v>
      </x:c>
      <x:c r="H2296" t="str">
        <x:v>MSN</x:v>
      </x:c>
      <x:c r="I2296" t="str">
        <x:v>DEN</x:v>
      </x:c>
      <x:c r="J2296" s="23" t="n">
        <x:v>3221</x:v>
      </x:c>
      <x:c r="K2296" s="24" t="n">
        <x:v>0.19621235641105247</x:v>
      </x:c>
      <x:c r="L2296" s="24" t="n">
        <x:v>0.011797578391803787</x:v>
      </x:c>
    </x:row>
    <x:row r="2297">
      <x:c r="G2297" t="str">
        <x:v>RNO-DFW</x:v>
      </x:c>
      <x:c r="H2297" t="str">
        <x:v>RNO</x:v>
      </x:c>
      <x:c r="I2297" t="str">
        <x:v>DFW</x:v>
      </x:c>
      <x:c r="J2297" s="23" t="n">
        <x:v>3701</x:v>
      </x:c>
      <x:c r="K2297" s="24" t="n">
        <x:v>0.1961631991353688</x:v>
      </x:c>
      <x:c r="L2297" s="24" t="n">
        <x:v>0.019454201567144017</x:v>
      </x:c>
    </x:row>
    <x:row r="2298">
      <x:c r="G2298" t="str">
        <x:v>SFO-PDX</x:v>
      </x:c>
      <x:c r="H2298" t="str">
        <x:v>SFO</x:v>
      </x:c>
      <x:c r="I2298" t="str">
        <x:v>PDX</x:v>
      </x:c>
      <x:c r="J2298" s="23" t="n">
        <x:v>10471</x:v>
      </x:c>
      <x:c r="K2298" s="24" t="n">
        <x:v>0.19616082513609015</x:v>
      </x:c>
      <x:c r="L2298" s="24" t="n">
        <x:v>0.00897717505491357</x:v>
      </x:c>
    </x:row>
    <x:row r="2299">
      <x:c r="G2299" t="str">
        <x:v>DAY-DFW</x:v>
      </x:c>
      <x:c r="H2299" t="str">
        <x:v>DAY</x:v>
      </x:c>
      <x:c r="I2299" t="str">
        <x:v>DFW</x:v>
      </x:c>
      <x:c r="J2299" s="23" t="n">
        <x:v>3875</x:v>
      </x:c>
      <x:c r="K2299" s="24" t="n">
        <x:v>0.19612903225806452</x:v>
      </x:c>
      <x:c r="L2299" s="24" t="n">
        <x:v>0.013935483870967743</x:v>
      </x:c>
    </x:row>
    <x:row r="2300">
      <x:c r="G2300" t="str">
        <x:v>ROA-LGA</x:v>
      </x:c>
      <x:c r="H2300" t="str">
        <x:v>ROA</x:v>
      </x:c>
      <x:c r="I2300" t="str">
        <x:v>LGA</x:v>
      </x:c>
      <x:c r="J2300" s="23" t="n">
        <x:v>1601</x:v>
      </x:c>
      <x:c r="K2300" s="24" t="n">
        <x:v>0.19612742036227357</x:v>
      </x:c>
      <x:c r="L2300" s="24" t="n">
        <x:v>0.043098063710181135</x:v>
      </x:c>
    </x:row>
    <x:row r="2301">
      <x:c r="G2301" t="str">
        <x:v>BOS-BWI</x:v>
      </x:c>
      <x:c r="H2301" t="str">
        <x:v>BOS</x:v>
      </x:c>
      <x:c r="I2301" t="str">
        <x:v>BWI</x:v>
      </x:c>
      <x:c r="J2301" s="23" t="n">
        <x:v>12218</x:v>
      </x:c>
      <x:c r="K2301" s="24" t="n">
        <x:v>0.19602226223604519</x:v>
      </x:c>
      <x:c r="L2301" s="24" t="n">
        <x:v>0.01686036994598134</x:v>
      </x:c>
    </x:row>
    <x:row r="2302">
      <x:c r="G2302" t="str">
        <x:v>ORF-MDW</x:v>
      </x:c>
      <x:c r="H2302" t="str">
        <x:v>ORF</x:v>
      </x:c>
      <x:c r="I2302" t="str">
        <x:v>MDW</x:v>
      </x:c>
      <x:c r="J2302" s="23" t="n">
        <x:v>1750</x:v>
      </x:c>
      <x:c r="K2302" s="24" t="n">
        <x:v>0.196</x:v>
      </x:c>
      <x:c r="L2302" s="24" t="n">
        <x:v>0.009142857142857144</x:v>
      </x:c>
    </x:row>
    <x:row r="2303">
      <x:c r="G2303" t="str">
        <x:v>GRK-DFW</x:v>
      </x:c>
      <x:c r="H2303" t="str">
        <x:v>GRK</x:v>
      </x:c>
      <x:c r="I2303" t="str">
        <x:v>DFW</x:v>
      </x:c>
      <x:c r="J2303" s="23" t="n">
        <x:v>5189</x:v>
      </x:c>
      <x:c r="K2303" s="24" t="n">
        <x:v>0.19599152052418578</x:v>
      </x:c>
      <x:c r="L2303" s="24" t="n">
        <x:v>0.02505299672383889</x:v>
      </x:c>
    </x:row>
    <x:row r="2304">
      <x:c r="G2304" t="str">
        <x:v>LIH-KOA</x:v>
      </x:c>
      <x:c r="H2304" t="str">
        <x:v>LIH</x:v>
      </x:c>
      <x:c r="I2304" t="str">
        <x:v>KOA</x:v>
      </x:c>
      <x:c r="J2304" s="23" t="n">
        <x:v>1097</x:v>
      </x:c>
      <x:c r="K2304" s="24" t="n">
        <x:v>0.1959890610756609</x:v>
      </x:c>
      <x:c r="L2304" s="24" t="n">
        <x:v>0.0036463081130355514</x:v>
      </x:c>
    </x:row>
    <x:row r="2305">
      <x:c r="G2305" t="str">
        <x:v>BLI-SEA</x:v>
      </x:c>
      <x:c r="H2305" t="str">
        <x:v>BLI</x:v>
      </x:c>
      <x:c r="I2305" t="str">
        <x:v>SEA</x:v>
      </x:c>
      <x:c r="J2305" s="23" t="n">
        <x:v>2925</x:v>
      </x:c>
      <x:c r="K2305" s="24" t="n">
        <x:v>0.19589743589743588</x:v>
      </x:c>
      <x:c r="L2305" s="24" t="n">
        <x:v>0.012991452991452991</x:v>
      </x:c>
    </x:row>
    <x:row r="2306">
      <x:c r="G2306" t="str">
        <x:v>BHM-TPA</x:v>
      </x:c>
      <x:c r="H2306" t="str">
        <x:v>BHM</x:v>
      </x:c>
      <x:c r="I2306" t="str">
        <x:v>TPA</x:v>
      </x:c>
      <x:c r="J2306" s="23" t="n">
        <x:v>1256</x:v>
      </x:c>
      <x:c r="K2306" s="24" t="n">
        <x:v>0.19585987261146498</x:v>
      </x:c>
      <x:c r="L2306" s="24" t="n">
        <x:v>0.010350318471337579</x:v>
      </x:c>
    </x:row>
    <x:row r="2307">
      <x:c r="G2307" t="str">
        <x:v>DFW-SGF</x:v>
      </x:c>
      <x:c r="H2307" t="str">
        <x:v>DFW</x:v>
      </x:c>
      <x:c r="I2307" t="str">
        <x:v>SGF</x:v>
      </x:c>
      <x:c r="J2307" s="23" t="n">
        <x:v>8640</x:v>
      </x:c>
      <x:c r="K2307" s="24" t="n">
        <x:v>0.19583333333333333</x:v>
      </x:c>
      <x:c r="L2307" s="24" t="n">
        <x:v>0.016319444444444445</x:v>
      </x:c>
    </x:row>
    <x:row r="2308">
      <x:c r="G2308" t="str">
        <x:v>SEA-SBP</x:v>
      </x:c>
      <x:c r="H2308" t="str">
        <x:v>SEA</x:v>
      </x:c>
      <x:c r="I2308" t="str">
        <x:v>SBP</x:v>
      </x:c>
      <x:c r="J2308" s="23" t="n">
        <x:v>1001</x:v>
      </x:c>
      <x:c r="K2308" s="24" t="n">
        <x:v>0.1958041958041958</x:v>
      </x:c>
      <x:c r="L2308" s="24" t="n">
        <x:v>0.002997002997002997</x:v>
      </x:c>
    </x:row>
    <x:row r="2309">
      <x:c r="G2309" t="str">
        <x:v>BNA-MYR</x:v>
      </x:c>
      <x:c r="H2309" t="str">
        <x:v>BNA</x:v>
      </x:c>
      <x:c r="I2309" t="str">
        <x:v>MYR</x:v>
      </x:c>
      <x:c r="J2309" s="23" t="n">
        <x:v>1911</x:v>
      </x:c>
      <x:c r="K2309" s="24" t="n">
        <x:v>0.19570905285190998</x:v>
      </x:c>
      <x:c r="L2309" s="24" t="n">
        <x:v>0.0052328623757195184</x:v>
      </x:c>
    </x:row>
    <x:row r="2310">
      <x:c r="G2310" t="str">
        <x:v>SLC-HNL</x:v>
      </x:c>
      <x:c r="H2310" t="str">
        <x:v>SLC</x:v>
      </x:c>
      <x:c r="I2310" t="str">
        <x:v>HNL</x:v>
      </x:c>
      <x:c r="J2310" s="23" t="n">
        <x:v>1855</x:v>
      </x:c>
      <x:c r="K2310" s="24" t="n">
        <x:v>0.19568733153638815</x:v>
      </x:c>
      <x:c r="L2310" s="24" t="n">
        <x:v>0.009164420485175202</x:v>
      </x:c>
    </x:row>
    <x:row r="2311">
      <x:c r="G2311" t="str">
        <x:v>CMH-DFW</x:v>
      </x:c>
      <x:c r="H2311" t="str">
        <x:v>CMH</x:v>
      </x:c>
      <x:c r="I2311" t="str">
        <x:v>DFW</x:v>
      </x:c>
      <x:c r="J2311" s="23" t="n">
        <x:v>5233</x:v>
      </x:c>
      <x:c r="K2311" s="24" t="n">
        <x:v>0.19568125358303076</x:v>
      </x:c>
      <x:c r="L2311" s="24" t="n">
        <x:v>0.019300592394420026</x:v>
      </x:c>
    </x:row>
    <x:row r="2312">
      <x:c r="G2312" t="str">
        <x:v>MDW-MSP</x:v>
      </x:c>
      <x:c r="H2312" t="str">
        <x:v>MDW</x:v>
      </x:c>
      <x:c r="I2312" t="str">
        <x:v>MSP</x:v>
      </x:c>
      <x:c r="J2312" s="23" t="n">
        <x:v>8953</x:v>
      </x:c>
      <x:c r="K2312" s="24" t="n">
        <x:v>0.19557690159722999</x:v>
      </x:c>
      <x:c r="L2312" s="24" t="n">
        <x:v>0.01072266279459399</x:v>
      </x:c>
    </x:row>
    <x:row r="2313">
      <x:c r="G2313" t="str">
        <x:v>SJC-AUS</x:v>
      </x:c>
      <x:c r="H2313" t="str">
        <x:v>SJC</x:v>
      </x:c>
      <x:c r="I2313" t="str">
        <x:v>AUS</x:v>
      </x:c>
      <x:c r="J2313" s="23" t="n">
        <x:v>3973</x:v>
      </x:c>
      <x:c r="K2313" s="24" t="n">
        <x:v>0.19557009816259754</x:v>
      </x:c>
      <x:c r="L2313" s="24" t="n">
        <x:v>0.003775484520513466</x:v>
      </x:c>
    </x:row>
    <x:row r="2314">
      <x:c r="G2314" t="str">
        <x:v>DTW-BUF</x:v>
      </x:c>
      <x:c r="H2314" t="str">
        <x:v>DTW</x:v>
      </x:c>
      <x:c r="I2314" t="str">
        <x:v>BUF</x:v>
      </x:c>
      <x:c r="J2314" s="23" t="n">
        <x:v>3595</x:v>
      </x:c>
      <x:c r="K2314" s="24" t="n">
        <x:v>0.19554937413073714</x:v>
      </x:c>
      <x:c r="L2314" s="24" t="n">
        <x:v>0.010292072322670376</x:v>
      </x:c>
    </x:row>
    <x:row r="2315">
      <x:c r="G2315" t="str">
        <x:v>CID-CLT</x:v>
      </x:c>
      <x:c r="H2315" t="str">
        <x:v>CID</x:v>
      </x:c>
      <x:c r="I2315" t="str">
        <x:v>CLT</x:v>
      </x:c>
      <x:c r="J2315" s="23" t="n">
        <x:v>1478</x:v>
      </x:c>
      <x:c r="K2315" s="24" t="n">
        <x:v>0.1955345060893099</x:v>
      </x:c>
      <x:c r="L2315" s="24" t="n">
        <x:v>0.015561569688768605</x:v>
      </x:c>
    </x:row>
    <x:row r="2316">
      <x:c r="G2316" t="str">
        <x:v>LGA-BOS</x:v>
      </x:c>
      <x:c r="H2316" t="str">
        <x:v>LGA</x:v>
      </x:c>
      <x:c r="I2316" t="str">
        <x:v>BOS</x:v>
      </x:c>
      <x:c r="J2316" s="23" t="n">
        <x:v>23019</x:v>
      </x:c>
      <x:c r="K2316" s="24" t="n">
        <x:v>0.1954906816108432</x:v>
      </x:c>
      <x:c r="L2316" s="24" t="n">
        <x:v>0.030453103957600244</x:v>
      </x:c>
    </x:row>
    <x:row r="2317">
      <x:c r="G2317" t="str">
        <x:v>HOU-SAT</x:v>
      </x:c>
      <x:c r="H2317" t="str">
        <x:v>HOU</x:v>
      </x:c>
      <x:c r="I2317" t="str">
        <x:v>SAT</x:v>
      </x:c>
      <x:c r="J2317" s="23" t="n">
        <x:v>4902</x:v>
      </x:c>
      <x:c r="K2317" s="24" t="n">
        <x:v>0.19543043655650755</x:v>
      </x:c>
      <x:c r="L2317" s="24" t="n">
        <x:v>0.006119951040391677</x:v>
      </x:c>
    </x:row>
    <x:row r="2318">
      <x:c r="G2318" t="str">
        <x:v>DFW-DRO</x:v>
      </x:c>
      <x:c r="H2318" t="str">
        <x:v>DFW</x:v>
      </x:c>
      <x:c r="I2318" t="str">
        <x:v>DRO</x:v>
      </x:c>
      <x:c r="J2318" s="23" t="n">
        <x:v>3362</x:v>
      </x:c>
      <x:c r="K2318" s="24" t="n">
        <x:v>0.19541939321832244</x:v>
      </x:c>
      <x:c r="L2318" s="24" t="n">
        <x:v>0.016954193932183226</x:v>
      </x:c>
    </x:row>
    <x:row r="2319">
      <x:c r="G2319" t="str">
        <x:v>PHX-OMA</x:v>
      </x:c>
      <x:c r="H2319" t="str">
        <x:v>PHX</x:v>
      </x:c>
      <x:c r="I2319" t="str">
        <x:v>OMA</x:v>
      </x:c>
      <x:c r="J2319" s="23" t="n">
        <x:v>5272</x:v>
      </x:c>
      <x:c r="K2319" s="24" t="n">
        <x:v>0.19537177541729894</x:v>
      </x:c>
      <x:c r="L2319" s="24" t="n">
        <x:v>0.004552352048558422</x:v>
      </x:c>
    </x:row>
    <x:row r="2320">
      <x:c r="G2320" t="str">
        <x:v>PBI-CLT</x:v>
      </x:c>
      <x:c r="H2320" t="str">
        <x:v>PBI</x:v>
      </x:c>
      <x:c r="I2320" t="str">
        <x:v>CLT</x:v>
      </x:c>
      <x:c r="J2320" s="23" t="n">
        <x:v>5702</x:v>
      </x:c>
      <x:c r="K2320" s="24" t="n">
        <x:v>0.19537004559803578</x:v>
      </x:c>
      <x:c r="L2320" s="24" t="n">
        <x:v>0.011399508944230094</x:v>
      </x:c>
    </x:row>
    <x:row r="2321">
      <x:c r="G2321" t="str">
        <x:v>OKC-IAH</x:v>
      </x:c>
      <x:c r="H2321" t="str">
        <x:v>OKC</x:v>
      </x:c>
      <x:c r="I2321" t="str">
        <x:v>IAH</x:v>
      </x:c>
      <x:c r="J2321" s="23" t="n">
        <x:v>2662</x:v>
      </x:c>
      <x:c r="K2321" s="24" t="n">
        <x:v>0.19534184823441023</x:v>
      </x:c>
      <x:c r="L2321" s="24" t="n">
        <x:v>0.010518407212622089</x:v>
      </x:c>
    </x:row>
    <x:row r="2322">
      <x:c r="G2322" t="str">
        <x:v>ELP-LAS</x:v>
      </x:c>
      <x:c r="H2322" t="str">
        <x:v>ELP</x:v>
      </x:c>
      <x:c r="I2322" t="str">
        <x:v>LAS</x:v>
      </x:c>
      <x:c r="J2322" s="23" t="n">
        <x:v>4034</x:v>
      </x:c>
      <x:c r="K2322" s="24" t="n">
        <x:v>0.19533961328705998</x:v>
      </x:c>
      <x:c r="L2322" s="24" t="n">
        <x:v>0.006941001487357461</x:v>
      </x:c>
    </x:row>
    <x:row r="2323">
      <x:c r="G2323" t="str">
        <x:v>CLE-CLT</x:v>
      </x:c>
      <x:c r="H2323" t="str">
        <x:v>CLE</x:v>
      </x:c>
      <x:c r="I2323" t="str">
        <x:v>CLT</x:v>
      </x:c>
      <x:c r="J2323" s="23" t="n">
        <x:v>5644</x:v>
      </x:c>
      <x:c r="K2323" s="24" t="n">
        <x:v>0.1952515946137491</x:v>
      </x:c>
      <x:c r="L2323" s="24" t="n">
        <x:v>0.012756909992912827</x:v>
      </x:c>
    </x:row>
    <x:row r="2324">
      <x:c r="G2324" t="str">
        <x:v>RDU-ORD</x:v>
      </x:c>
      <x:c r="H2324" t="str">
        <x:v>RDU</x:v>
      </x:c>
      <x:c r="I2324" t="str">
        <x:v>ORD</x:v>
      </x:c>
      <x:c r="J2324" s="23" t="n">
        <x:v>8954</x:v>
      </x:c>
      <x:c r="K2324" s="24" t="n">
        <x:v>0.1952200134018316</x:v>
      </x:c>
      <x:c r="L2324" s="24" t="n">
        <x:v>0.01262005807460353</x:v>
      </x:c>
    </x:row>
    <x:row r="2325">
      <x:c r="G2325" t="str">
        <x:v>AUS-ABQ</x:v>
      </x:c>
      <x:c r="H2325" t="str">
        <x:v>AUS</x:v>
      </x:c>
      <x:c r="I2325" t="str">
        <x:v>ABQ</x:v>
      </x:c>
      <x:c r="J2325" s="23" t="n">
        <x:v>2818</x:v>
      </x:c>
      <x:c r="K2325" s="24" t="n">
        <x:v>0.19517388218594747</x:v>
      </x:c>
      <x:c r="L2325" s="24" t="n">
        <x:v>0.0056777856635912</x:v>
      </x:c>
    </x:row>
    <x:row r="2326">
      <x:c r="G2326" t="str">
        <x:v>LAX-JFK</x:v>
      </x:c>
      <x:c r="H2326" t="str">
        <x:v>LAX</x:v>
      </x:c>
      <x:c r="I2326" t="str">
        <x:v>JFK</x:v>
      </x:c>
      <x:c r="J2326" s="23" t="n">
        <x:v>30221</x:v>
      </x:c>
      <x:c r="K2326" s="24" t="n">
        <x:v>0.19512921478442144</x:v>
      </x:c>
      <x:c r="L2326" s="24" t="n">
        <x:v>0.007445154031964528</x:v>
      </x:c>
    </x:row>
    <x:row r="2327">
      <x:c r="G2327" t="str">
        <x:v>DFW-FWA</x:v>
      </x:c>
      <x:c r="H2327" t="str">
        <x:v>DFW</x:v>
      </x:c>
      <x:c r="I2327" t="str">
        <x:v>FWA</x:v>
      </x:c>
      <x:c r="J2327" s="23" t="n">
        <x:v>2973</x:v>
      </x:c>
      <x:c r="K2327" s="24" t="n">
        <x:v>0.19508913555331314</x:v>
      </x:c>
      <x:c r="L2327" s="24" t="n">
        <x:v>0.012445341405987218</x:v>
      </x:c>
    </x:row>
    <x:row r="2328">
      <x:c r="G2328" t="str">
        <x:v>CLT-HHH</x:v>
      </x:c>
      <x:c r="H2328" t="str">
        <x:v>CLT</x:v>
      </x:c>
      <x:c r="I2328" t="str">
        <x:v>HHH</x:v>
      </x:c>
      <x:c r="J2328" s="23" t="n">
        <x:v>2927</x:v>
      </x:c>
      <x:c r="K2328" s="24" t="n">
        <x:v>0.1950802869832593</x:v>
      </x:c>
      <x:c r="L2328" s="24" t="n">
        <x:v>0.01093269559275709</x:v>
      </x:c>
    </x:row>
    <x:row r="2329">
      <x:c r="G2329" t="str">
        <x:v>TPA-STL</x:v>
      </x:c>
      <x:c r="H2329" t="str">
        <x:v>TPA</x:v>
      </x:c>
      <x:c r="I2329" t="str">
        <x:v>STL</x:v>
      </x:c>
      <x:c r="J2329" s="23" t="n">
        <x:v>3379</x:v>
      </x:c>
      <x:c r="K2329" s="24" t="n">
        <x:v>0.19502811482687185</x:v>
      </x:c>
      <x:c r="L2329" s="24" t="n">
        <x:v>0.011245930748742231</x:v>
      </x:c>
    </x:row>
    <x:row r="2330">
      <x:c r="G2330" t="str">
        <x:v>CMH-MCO</x:v>
      </x:c>
      <x:c r="H2330" t="str">
        <x:v>CMH</x:v>
      </x:c>
      <x:c r="I2330" t="str">
        <x:v>MCO</x:v>
      </x:c>
      <x:c r="J2330" s="23" t="n">
        <x:v>6671</x:v>
      </x:c>
      <x:c r="K2330" s="24" t="n">
        <x:v>0.1948733323339829</x:v>
      </x:c>
      <x:c r="L2330" s="24" t="n">
        <x:v>0.013491230700044972</x:v>
      </x:c>
    </x:row>
    <x:row r="2331">
      <x:c r="G2331" t="str">
        <x:v>HOU-TUL</x:v>
      </x:c>
      <x:c r="H2331" t="str">
        <x:v>HOU</x:v>
      </x:c>
      <x:c r="I2331" t="str">
        <x:v>TUL</x:v>
      </x:c>
      <x:c r="J2331" s="23" t="n">
        <x:v>2104</x:v>
      </x:c>
      <x:c r="K2331" s="24" t="n">
        <x:v>0.19486692015209126</x:v>
      </x:c>
      <x:c r="L2331" s="24" t="n">
        <x:v>0.007129277566539924</x:v>
      </x:c>
    </x:row>
    <x:row r="2332">
      <x:c r="G2332" t="str">
        <x:v>LBB-DFW</x:v>
      </x:c>
      <x:c r="H2332" t="str">
        <x:v>LBB</x:v>
      </x:c>
      <x:c r="I2332" t="str">
        <x:v>DFW</x:v>
      </x:c>
      <x:c r="J2332" s="23" t="n">
        <x:v>7617</x:v>
      </x:c>
      <x:c r="K2332" s="24" t="n">
        <x:v>0.19482735985296049</x:v>
      </x:c>
      <x:c r="L2332" s="24" t="n">
        <x:v>0.021924642247604043</x:v>
      </x:c>
    </x:row>
    <x:row r="2333">
      <x:c r="G2333" t="str">
        <x:v>BOI-DFW</x:v>
      </x:c>
      <x:c r="H2333" t="str">
        <x:v>BOI</x:v>
      </x:c>
      <x:c r="I2333" t="str">
        <x:v>DFW</x:v>
      </x:c>
      <x:c r="J2333" s="23" t="n">
        <x:v>2423</x:v>
      </x:c>
      <x:c r="K2333" s="24" t="n">
        <x:v>0.19479983491539413</x:v>
      </x:c>
      <x:c r="L2333" s="24" t="n">
        <x:v>0.01692117210070161</x:v>
      </x:c>
    </x:row>
    <x:row r="2334">
      <x:c r="G2334" t="str">
        <x:v>BOS-MCI</x:v>
      </x:c>
      <x:c r="H2334" t="str">
        <x:v>BOS</x:v>
      </x:c>
      <x:c r="I2334" t="str">
        <x:v>MCI</x:v>
      </x:c>
      <x:c r="J2334" s="23" t="n">
        <x:v>2115</x:v>
      </x:c>
      <x:c r="K2334" s="24" t="n">
        <x:v>0.19479905437352246</x:v>
      </x:c>
      <x:c r="L2334" s="24" t="n">
        <x:v>0.017966903073286054</x:v>
      </x:c>
    </x:row>
    <x:row r="2335">
      <x:c r="G2335" t="str">
        <x:v>DTW-TVC</x:v>
      </x:c>
      <x:c r="H2335" t="str">
        <x:v>DTW</x:v>
      </x:c>
      <x:c r="I2335" t="str">
        <x:v>TVC</x:v>
      </x:c>
      <x:c r="J2335" s="23" t="n">
        <x:v>3409</x:v>
      </x:c>
      <x:c r="K2335" s="24" t="n">
        <x:v>0.19477852742739807</x:v>
      </x:c>
      <x:c r="L2335" s="24" t="n">
        <x:v>0.00792021120563215</x:v>
      </x:c>
    </x:row>
    <x:row r="2336">
      <x:c r="G2336" t="str">
        <x:v>SBN-CLT</x:v>
      </x:c>
      <x:c r="H2336" t="str">
        <x:v>SBN</x:v>
      </x:c>
      <x:c r="I2336" t="str">
        <x:v>CLT</x:v>
      </x:c>
      <x:c r="J2336" s="23" t="n">
        <x:v>3291</x:v>
      </x:c>
      <x:c r="K2336" s="24" t="n">
        <x:v>0.19477362503798237</x:v>
      </x:c>
      <x:c r="L2336" s="24" t="n">
        <x:v>0.014585232452142206</x:v>
      </x:c>
    </x:row>
    <x:row r="2337">
      <x:c r="G2337" t="str">
        <x:v>PHX-STL</x:v>
      </x:c>
      <x:c r="H2337" t="str">
        <x:v>PHX</x:v>
      </x:c>
      <x:c r="I2337" t="str">
        <x:v>STL</x:v>
      </x:c>
      <x:c r="J2337" s="23" t="n">
        <x:v>6547</x:v>
      </x:c>
      <x:c r="K2337" s="24" t="n">
        <x:v>0.1947456850465862</x:v>
      </x:c>
      <x:c r="L2337" s="24" t="n">
        <x:v>0.0042767679853367956</x:v>
      </x:c>
    </x:row>
    <x:row r="2338">
      <x:c r="G2338" t="str">
        <x:v>HOU-OKC</x:v>
      </x:c>
      <x:c r="H2338" t="str">
        <x:v>HOU</x:v>
      </x:c>
      <x:c r="I2338" t="str">
        <x:v>OKC</x:v>
      </x:c>
      <x:c r="J2338" s="23" t="n">
        <x:v>3985</x:v>
      </x:c>
      <x:c r="K2338" s="24" t="n">
        <x:v>0.1947302383939774</x:v>
      </x:c>
      <x:c r="L2338" s="24" t="n">
        <x:v>0.0075282308657465494</x:v>
      </x:c>
    </x:row>
    <x:row r="2339">
      <x:c r="G2339" t="str">
        <x:v>SLC-HOU</x:v>
      </x:c>
      <x:c r="H2339" t="str">
        <x:v>SLC</x:v>
      </x:c>
      <x:c r="I2339" t="str">
        <x:v>HOU</x:v>
      </x:c>
      <x:c r="J2339" s="23" t="n">
        <x:v>1176</x:v>
      </x:c>
      <x:c r="K2339" s="24" t="n">
        <x:v>0.19472789115646258</x:v>
      </x:c>
      <x:c r="L2339" s="24" t="n">
        <x:v>0.004251700680272109</x:v>
      </x:c>
    </x:row>
    <x:row r="2340">
      <x:c r="G2340" t="str">
        <x:v>RIC-MDW</x:v>
      </x:c>
      <x:c r="H2340" t="str">
        <x:v>RIC</x:v>
      </x:c>
      <x:c r="I2340" t="str">
        <x:v>MDW</x:v>
      </x:c>
      <x:c r="J2340" s="23" t="n">
        <x:v>1392</x:v>
      </x:c>
      <x:c r="K2340" s="24" t="n">
        <x:v>0.19468390804597702</x:v>
      </x:c>
      <x:c r="L2340" s="24" t="n">
        <x:v>0.0028735632183908046</x:v>
      </x:c>
    </x:row>
    <x:row r="2341">
      <x:c r="G2341" t="str">
        <x:v>HOU-ELP</x:v>
      </x:c>
      <x:c r="H2341" t="str">
        <x:v>HOU</x:v>
      </x:c>
      <x:c r="I2341" t="str">
        <x:v>ELP</x:v>
      </x:c>
      <x:c r="J2341" s="23" t="n">
        <x:v>3144</x:v>
      </x:c>
      <x:c r="K2341" s="24" t="n">
        <x:v>0.1946564885496183</x:v>
      </x:c>
      <x:c r="L2341" s="24" t="n">
        <x:v>0.006043256997455471</x:v>
      </x:c>
    </x:row>
    <x:row r="2342">
      <x:c r="G2342" t="str">
        <x:v>GCK-DFW</x:v>
      </x:c>
      <x:c r="H2342" t="str">
        <x:v>GCK</x:v>
      </x:c>
      <x:c r="I2342" t="str">
        <x:v>DFW</x:v>
      </x:c>
      <x:c r="J2342" s="23" t="n">
        <x:v>2184</x:v>
      </x:c>
      <x:c r="K2342" s="24" t="n">
        <x:v>0.1945970695970696</x:v>
      </x:c>
      <x:c r="L2342" s="24" t="n">
        <x:v>0.02976190476190476</x:v>
      </x:c>
    </x:row>
    <x:row r="2343">
      <x:c r="G2343" t="str">
        <x:v>SFO-JFK</x:v>
      </x:c>
      <x:c r="H2343" t="str">
        <x:v>SFO</x:v>
      </x:c>
      <x:c r="I2343" t="str">
        <x:v>JFK</x:v>
      </x:c>
      <x:c r="J2343" s="23" t="n">
        <x:v>20602</x:v>
      </x:c>
      <x:c r="K2343" s="24" t="n">
        <x:v>0.1945927579846617</x:v>
      </x:c>
      <x:c r="L2343" s="24" t="n">
        <x:v>0.010532957965246092</x:v>
      </x:c>
    </x:row>
    <x:row r="2344">
      <x:c r="G2344" t="str">
        <x:v>DEN-IDA</x:v>
      </x:c>
      <x:c r="H2344" t="str">
        <x:v>DEN</x:v>
      </x:c>
      <x:c r="I2344" t="str">
        <x:v>IDA</x:v>
      </x:c>
      <x:c r="J2344" s="23" t="n">
        <x:v>3825</x:v>
      </x:c>
      <x:c r="K2344" s="24" t="n">
        <x:v>0.19450980392156864</x:v>
      </x:c>
      <x:c r="L2344" s="24" t="n">
        <x:v>0.01045751633986928</x:v>
      </x:c>
    </x:row>
    <x:row r="2345">
      <x:c r="G2345" t="str">
        <x:v>MEM-EWR</x:v>
      </x:c>
      <x:c r="H2345" t="str">
        <x:v>MEM</x:v>
      </x:c>
      <x:c r="I2345" t="str">
        <x:v>EWR</x:v>
      </x:c>
      <x:c r="J2345" s="23" t="n">
        <x:v>1548</x:v>
      </x:c>
      <x:c r="K2345" s="24" t="n">
        <x:v>0.19444444444444445</x:v>
      </x:c>
      <x:c r="L2345" s="24" t="n">
        <x:v>0.041343669250646</x:v>
      </x:c>
    </x:row>
    <x:row r="2346">
      <x:c r="G2346" t="str">
        <x:v>MKE-MCO</x:v>
      </x:c>
      <x:c r="H2346" t="str">
        <x:v>MKE</x:v>
      </x:c>
      <x:c r="I2346" t="str">
        <x:v>MCO</x:v>
      </x:c>
      <x:c r="J2346" s="23" t="n">
        <x:v>4794</x:v>
      </x:c>
      <x:c r="K2346" s="24" t="n">
        <x:v>0.19440967876512308</x:v>
      </x:c>
      <x:c r="L2346" s="24" t="n">
        <x:v>0.015227367542761786</x:v>
      </x:c>
    </x:row>
    <x:row r="2347">
      <x:c r="G2347" t="str">
        <x:v>DFW-CHA</x:v>
      </x:c>
      <x:c r="H2347" t="str">
        <x:v>DFW</x:v>
      </x:c>
      <x:c r="I2347" t="str">
        <x:v>CHA</x:v>
      </x:c>
      <x:c r="J2347" s="23" t="n">
        <x:v>4167</x:v>
      </x:c>
      <x:c r="K2347" s="24" t="n">
        <x:v>0.19438444924406048</x:v>
      </x:c>
      <x:c r="L2347" s="24" t="n">
        <x:v>0.01655867530597552</x:v>
      </x:c>
    </x:row>
    <x:row r="2348">
      <x:c r="G2348" t="str">
        <x:v>TPA-ACY</x:v>
      </x:c>
      <x:c r="H2348" t="str">
        <x:v>TPA</x:v>
      </x:c>
      <x:c r="I2348" t="str">
        <x:v>ACY</x:v>
      </x:c>
      <x:c r="J2348" s="23" t="n">
        <x:v>1204</x:v>
      </x:c>
      <x:c r="K2348" s="24" t="n">
        <x:v>0.19435215946843853</x:v>
      </x:c>
      <x:c r="L2348" s="24" t="n">
        <x:v>0.02574750830564784</x:v>
      </x:c>
    </x:row>
    <x:row r="2349">
      <x:c r="G2349" t="str">
        <x:v>HOU-MDW</x:v>
      </x:c>
      <x:c r="H2349" t="str">
        <x:v>HOU</x:v>
      </x:c>
      <x:c r="I2349" t="str">
        <x:v>MDW</x:v>
      </x:c>
      <x:c r="J2349" s="23" t="n">
        <x:v>5372</x:v>
      </x:c>
      <x:c r="K2349" s="24" t="n">
        <x:v>0.19434102755026061</x:v>
      </x:c>
      <x:c r="L2349" s="24" t="n">
        <x:v>0.013961280714817573</x:v>
      </x:c>
    </x:row>
    <x:row r="2350">
      <x:c r="G2350" t="str">
        <x:v>ATL-HOU</x:v>
      </x:c>
      <x:c r="H2350" t="str">
        <x:v>ATL</x:v>
      </x:c>
      <x:c r="I2350" t="str">
        <x:v>HOU</x:v>
      </x:c>
      <x:c r="J2350" s="23" t="n">
        <x:v>9360</x:v>
      </x:c>
      <x:c r="K2350" s="24" t="n">
        <x:v>0.19433760683760684</x:v>
      </x:c>
      <x:c r="L2350" s="24" t="n">
        <x:v>0.008226495726495727</x:v>
      </x:c>
    </x:row>
    <x:row r="2351">
      <x:c r="G2351" t="str">
        <x:v>CLT-CAE</x:v>
      </x:c>
      <x:c r="H2351" t="str">
        <x:v>CLT</x:v>
      </x:c>
      <x:c r="I2351" t="str">
        <x:v>CAE</x:v>
      </x:c>
      <x:c r="J2351" s="23" t="n">
        <x:v>2975</x:v>
      </x:c>
      <x:c r="K2351" s="24" t="n">
        <x:v>0.19428571428571428</x:v>
      </x:c>
      <x:c r="L2351" s="24" t="n">
        <x:v>0.015798319327731094</x:v>
      </x:c>
    </x:row>
    <x:row r="2352">
      <x:c r="G2352" t="str">
        <x:v>JFK-CHS</x:v>
      </x:c>
      <x:c r="H2352" t="str">
        <x:v>JFK</x:v>
      </x:c>
      <x:c r="I2352" t="str">
        <x:v>CHS</x:v>
      </x:c>
      <x:c r="J2352" s="23" t="n">
        <x:v>4279</x:v>
      </x:c>
      <x:c r="K2352" s="24" t="n">
        <x:v>0.19420425333021735</x:v>
      </x:c>
      <x:c r="L2352" s="24" t="n">
        <x:v>0.03014723066136948</x:v>
      </x:c>
    </x:row>
    <x:row r="2353">
      <x:c r="G2353" t="str">
        <x:v>IND-DEN</x:v>
      </x:c>
      <x:c r="H2353" t="str">
        <x:v>IND</x:v>
      </x:c>
      <x:c r="I2353" t="str">
        <x:v>DEN</x:v>
      </x:c>
      <x:c r="J2353" s="23" t="n">
        <x:v>7729</x:v>
      </x:c>
      <x:c r="K2353" s="24" t="n">
        <x:v>0.19420364859619615</x:v>
      </x:c>
      <x:c r="L2353" s="24" t="n">
        <x:v>0.009056799068443524</x:v>
      </x:c>
    </x:row>
    <x:row r="2354">
      <x:c r="G2354" t="str">
        <x:v>LAX-MEM</x:v>
      </x:c>
      <x:c r="H2354" t="str">
        <x:v>LAX</x:v>
      </x:c>
      <x:c r="I2354" t="str">
        <x:v>MEM</x:v>
      </x:c>
      <x:c r="J2354" s="23" t="n">
        <x:v>1236</x:v>
      </x:c>
      <x:c r="K2354" s="24" t="n">
        <x:v>0.1941747572815534</x:v>
      </x:c>
      <x:c r="L2354" s="24" t="n">
        <x:v>0.0056634304207119745</x:v>
      </x:c>
    </x:row>
    <x:row r="2355">
      <x:c r="G2355" t="str">
        <x:v>PVU-AZA</x:v>
      </x:c>
      <x:c r="H2355" t="str">
        <x:v>PVU</x:v>
      </x:c>
      <x:c r="I2355" t="str">
        <x:v>AZA</x:v>
      </x:c>
      <x:c r="J2355" s="23" t="n">
        <x:v>1983</x:v>
      </x:c>
      <x:c r="K2355" s="24" t="n">
        <x:v>0.1941502773575391</x:v>
      </x:c>
      <x:c r="L2355" s="24" t="n">
        <x:v>0.007564296520423601</x:v>
      </x:c>
    </x:row>
    <x:row r="2356">
      <x:c r="G2356" t="str">
        <x:v>DSM-DEN</x:v>
      </x:c>
      <x:c r="H2356" t="str">
        <x:v>DSM</x:v>
      </x:c>
      <x:c r="I2356" t="str">
        <x:v>DEN</x:v>
      </x:c>
      <x:c r="J2356" s="23" t="n">
        <x:v>6873</x:v>
      </x:c>
      <x:c r="K2356" s="24" t="n">
        <x:v>0.1940928270042194</x:v>
      </x:c>
      <x:c r="L2356" s="24" t="n">
        <x:v>0.010621271642659682</x:v>
      </x:c>
    </x:row>
    <x:row r="2357">
      <x:c r="G2357" t="str">
        <x:v>STL-ICT</x:v>
      </x:c>
      <x:c r="H2357" t="str">
        <x:v>STL</x:v>
      </x:c>
      <x:c r="I2357" t="str">
        <x:v>ICT</x:v>
      </x:c>
      <x:c r="J2357" s="23" t="n">
        <x:v>2030</x:v>
      </x:c>
      <x:c r="K2357" s="24" t="n">
        <x:v>0.19408866995073892</x:v>
      </x:c>
      <x:c r="L2357" s="24" t="n">
        <x:v>0.007881773399014778</x:v>
      </x:c>
    </x:row>
    <x:row r="2358">
      <x:c r="G2358" t="str">
        <x:v>IAD-SEA</x:v>
      </x:c>
      <x:c r="H2358" t="str">
        <x:v>IAD</x:v>
      </x:c>
      <x:c r="I2358" t="str">
        <x:v>SEA</x:v>
      </x:c>
      <x:c r="J2358" s="23" t="n">
        <x:v>6451</x:v>
      </x:c>
      <x:c r="K2358" s="24" t="n">
        <x:v>0.1940784374515579</x:v>
      </x:c>
      <x:c r="L2358" s="24" t="n">
        <x:v>0.010696016121531546</x:v>
      </x:c>
    </x:row>
    <x:row r="2359">
      <x:c r="G2359" t="str">
        <x:v>CLE-EWR</x:v>
      </x:c>
      <x:c r="H2359" t="str">
        <x:v>CLE</x:v>
      </x:c>
      <x:c r="I2359" t="str">
        <x:v>EWR</x:v>
      </x:c>
      <x:c r="J2359" s="23" t="n">
        <x:v>6168</x:v>
      </x:c>
      <x:c r="K2359" s="24" t="n">
        <x:v>0.19406614785992218</x:v>
      </x:c>
      <x:c r="L2359" s="24" t="n">
        <x:v>0.030966277561608302</x:v>
      </x:c>
    </x:row>
    <x:row r="2360">
      <x:c r="G2360" t="str">
        <x:v>STL-MIA</x:v>
      </x:c>
      <x:c r="H2360" t="str">
        <x:v>STL</x:v>
      </x:c>
      <x:c r="I2360" t="str">
        <x:v>MIA</x:v>
      </x:c>
      <x:c r="J2360" s="23" t="n">
        <x:v>2814</x:v>
      </x:c>
      <x:c r="K2360" s="24" t="n">
        <x:v>0.19402985074626866</x:v>
      </x:c>
      <x:c r="L2360" s="24" t="n">
        <x:v>0.008173418621179816</x:v>
      </x:c>
    </x:row>
    <x:row r="2361">
      <x:c r="G2361" t="str">
        <x:v>TPA-FLL</x:v>
      </x:c>
      <x:c r="H2361" t="str">
        <x:v>TPA</x:v>
      </x:c>
      <x:c r="I2361" t="str">
        <x:v>FLL</x:v>
      </x:c>
      <x:c r="J2361" s="23" t="n">
        <x:v>3837</x:v>
      </x:c>
      <x:c r="K2361" s="24" t="n">
        <x:v>0.19390148553557468</x:v>
      </x:c>
      <x:c r="L2361" s="24" t="n">
        <x:v>0.01746155850925202</x:v>
      </x:c>
    </x:row>
    <x:row r="2362">
      <x:c r="G2362" t="str">
        <x:v>BWI-SLC</x:v>
      </x:c>
      <x:c r="H2362" t="str">
        <x:v>BWI</x:v>
      </x:c>
      <x:c r="I2362" t="str">
        <x:v>SLC</x:v>
      </x:c>
      <x:c r="J2362" s="23" t="n">
        <x:v>2027</x:v>
      </x:c>
      <x:c r="K2362" s="24" t="n">
        <x:v>0.19388258510113468</x:v>
      </x:c>
      <x:c r="L2362" s="24" t="n">
        <x:v>0.00740009866798224</x:v>
      </x:c>
    </x:row>
    <x:row r="2363">
      <x:c r="G2363" t="str">
        <x:v>LAX-AUS</x:v>
      </x:c>
      <x:c r="H2363" t="str">
        <x:v>LAX</x:v>
      </x:c>
      <x:c r="I2363" t="str">
        <x:v>AUS</x:v>
      </x:c>
      <x:c r="J2363" s="23" t="n">
        <x:v>12407</x:v>
      </x:c>
      <x:c r="K2363" s="24" t="n">
        <x:v>0.19384218586281937</x:v>
      </x:c>
      <x:c r="L2363" s="24" t="n">
        <x:v>0.007415168856290804</x:v>
      </x:c>
    </x:row>
    <x:row r="2364">
      <x:c r="G2364" t="str">
        <x:v>MSY-TPA</x:v>
      </x:c>
      <x:c r="H2364" t="str">
        <x:v>MSY</x:v>
      </x:c>
      <x:c r="I2364" t="str">
        <x:v>TPA</x:v>
      </x:c>
      <x:c r="J2364" s="23" t="n">
        <x:v>3654</x:v>
      </x:c>
      <x:c r="K2364" s="24" t="n">
        <x:v>0.19376026272577998</x:v>
      </x:c>
      <x:c r="L2364" s="24" t="n">
        <x:v>0.01778872468527641</x:v>
      </x:c>
    </x:row>
    <x:row r="2365">
      <x:c r="G2365" t="str">
        <x:v>LAS-IAH</x:v>
      </x:c>
      <x:c r="H2365" t="str">
        <x:v>LAS</x:v>
      </x:c>
      <x:c r="I2365" t="str">
        <x:v>IAH</x:v>
      </x:c>
      <x:c r="J2365" s="23" t="n">
        <x:v>12108</x:v>
      </x:c>
      <x:c r="K2365" s="24" t="n">
        <x:v>0.1937561942517344</x:v>
      </x:c>
      <x:c r="L2365" s="24" t="n">
        <x:v>0.010241162867525603</x:v>
      </x:c>
    </x:row>
    <x:row r="2366">
      <x:c r="G2366" t="str">
        <x:v>PHX-FAT</x:v>
      </x:c>
      <x:c r="H2366" t="str">
        <x:v>PHX</x:v>
      </x:c>
      <x:c r="I2366" t="str">
        <x:v>FAT</x:v>
      </x:c>
      <x:c r="J2366" s="23" t="n">
        <x:v>4341</x:v>
      </x:c>
      <x:c r="K2366" s="24" t="n">
        <x:v>0.1937341626353375</x:v>
      </x:c>
      <x:c r="L2366" s="24" t="n">
        <x:v>0.001612531674729325</x:v>
      </x:c>
    </x:row>
    <x:row r="2367">
      <x:c r="G2367" t="str">
        <x:v>BFL-DFW</x:v>
      </x:c>
      <x:c r="H2367" t="str">
        <x:v>BFL</x:v>
      </x:c>
      <x:c r="I2367" t="str">
        <x:v>DFW</x:v>
      </x:c>
      <x:c r="J2367" s="23" t="n">
        <x:v>1456</x:v>
      </x:c>
      <x:c r="K2367" s="24" t="n">
        <x:v>0.1936813186813187</x:v>
      </x:c>
      <x:c r="L2367" s="24" t="n">
        <x:v>0.019917582417582416</x:v>
      </x:c>
    </x:row>
    <x:row r="2368">
      <x:c r="G2368" t="str">
        <x:v>IND-IAH</x:v>
      </x:c>
      <x:c r="H2368" t="str">
        <x:v>IND</x:v>
      </x:c>
      <x:c r="I2368" t="str">
        <x:v>IAH</x:v>
      </x:c>
      <x:c r="J2368" s="23" t="n">
        <x:v>2437</x:v>
      </x:c>
      <x:c r="K2368" s="24" t="n">
        <x:v>0.19368075502667215</x:v>
      </x:c>
      <x:c r="L2368" s="24" t="n">
        <x:v>0.020106688551497744</x:v>
      </x:c>
    </x:row>
    <x:row r="2369">
      <x:c r="G2369" t="str">
        <x:v>PVD-DCA</x:v>
      </x:c>
      <x:c r="H2369" t="str">
        <x:v>PVD</x:v>
      </x:c>
      <x:c r="I2369" t="str">
        <x:v>DCA</x:v>
      </x:c>
      <x:c r="J2369" s="23" t="n">
        <x:v>7556</x:v>
      </x:c>
      <x:c r="K2369" s="24" t="n">
        <x:v>0.19362096347273688</x:v>
      </x:c>
      <x:c r="L2369" s="24" t="n">
        <x:v>0.029512969825304394</x:v>
      </x:c>
    </x:row>
    <x:row r="2370">
      <x:c r="G2370" t="str">
        <x:v>SAN-ELP</x:v>
      </x:c>
      <x:c r="H2370" t="str">
        <x:v>SAN</x:v>
      </x:c>
      <x:c r="I2370" t="str">
        <x:v>ELP</x:v>
      </x:c>
      <x:c r="J2370" s="23" t="n">
        <x:v>1002</x:v>
      </x:c>
      <x:c r="K2370" s="24" t="n">
        <x:v>0.1936127744510978</x:v>
      </x:c>
      <x:c r="L2370" s="24" t="n">
        <x:v>0.006986027944111776</x:v>
      </x:c>
    </x:row>
    <x:row r="2371">
      <x:c r="G2371" t="str">
        <x:v>AUS-MSP</x:v>
      </x:c>
      <x:c r="H2371" t="str">
        <x:v>AUS</x:v>
      </x:c>
      <x:c r="I2371" t="str">
        <x:v>MSP</x:v>
      </x:c>
      <x:c r="J2371" s="23" t="n">
        <x:v>4505</x:v>
      </x:c>
      <x:c r="K2371" s="24" t="n">
        <x:v>0.19356270810210877</x:v>
      </x:c>
      <x:c r="L2371" s="24" t="n">
        <x:v>0.005327413984461709</x:v>
      </x:c>
    </x:row>
    <x:row r="2372">
      <x:c r="G2372" t="str">
        <x:v>BNA-AUS</x:v>
      </x:c>
      <x:c r="H2372" t="str">
        <x:v>BNA</x:v>
      </x:c>
      <x:c r="I2372" t="str">
        <x:v>AUS</x:v>
      </x:c>
      <x:c r="J2372" s="23" t="n">
        <x:v>8779</x:v>
      </x:c>
      <x:c r="K2372" s="24" t="n">
        <x:v>0.1935300148080647</x:v>
      </x:c>
      <x:c r="L2372" s="24" t="n">
        <x:v>0.007290124159927099</x:v>
      </x:c>
    </x:row>
    <x:row r="2373">
      <x:c r="G2373" t="str">
        <x:v>MGM-ATL</x:v>
      </x:c>
      <x:c r="H2373" t="str">
        <x:v>MGM</x:v>
      </x:c>
      <x:c r="I2373" t="str">
        <x:v>ATL</x:v>
      </x:c>
      <x:c r="J2373" s="23" t="n">
        <x:v>3494</x:v>
      </x:c>
      <x:c r="K2373" s="24" t="n">
        <x:v>0.1934745277618775</x:v>
      </x:c>
      <x:c r="L2373" s="24" t="n">
        <x:v>0.008013737836290785</x:v>
      </x:c>
    </x:row>
    <x:row r="2374">
      <x:c r="G2374" t="str">
        <x:v>MDT-ORD</x:v>
      </x:c>
      <x:c r="H2374" t="str">
        <x:v>MDT</x:v>
      </x:c>
      <x:c r="I2374" t="str">
        <x:v>ORD</x:v>
      </x:c>
      <x:c r="J2374" s="23" t="n">
        <x:v>3396</x:v>
      </x:c>
      <x:c r="K2374" s="24" t="n">
        <x:v>0.19346289752650175</x:v>
      </x:c>
      <x:c r="L2374" s="24" t="n">
        <x:v>0.015017667844522967</x:v>
      </x:c>
    </x:row>
    <x:row r="2375">
      <x:c r="G2375" t="str">
        <x:v>ORF-ORD</x:v>
      </x:c>
      <x:c r="H2375" t="str">
        <x:v>ORF</x:v>
      </x:c>
      <x:c r="I2375" t="str">
        <x:v>ORD</x:v>
      </x:c>
      <x:c r="J2375" s="23" t="n">
        <x:v>3784</x:v>
      </x:c>
      <x:c r="K2375" s="24" t="n">
        <x:v>0.193446088794926</x:v>
      </x:c>
      <x:c r="L2375" s="24" t="n">
        <x:v>0.014534883720930232</x:v>
      </x:c>
    </x:row>
    <x:row r="2376">
      <x:c r="G2376" t="str">
        <x:v>XNA-ORD</x:v>
      </x:c>
      <x:c r="H2376" t="str">
        <x:v>XNA</x:v>
      </x:c>
      <x:c r="I2376" t="str">
        <x:v>ORD</x:v>
      </x:c>
      <x:c r="J2376" s="23" t="n">
        <x:v>5485</x:v>
      </x:c>
      <x:c r="K2376" s="24" t="n">
        <x:v>0.19343664539653602</x:v>
      </x:c>
      <x:c r="L2376" s="24" t="n">
        <x:v>0.009845031905195988</x:v>
      </x:c>
    </x:row>
    <x:row r="2377">
      <x:c r="G2377" t="str">
        <x:v>LGA-MSN</x:v>
      </x:c>
      <x:c r="H2377" t="str">
        <x:v>LGA</x:v>
      </x:c>
      <x:c r="I2377" t="str">
        <x:v>MSN</x:v>
      </x:c>
      <x:c r="J2377" s="23" t="n">
        <x:v>1701</x:v>
      </x:c>
      <x:c r="K2377" s="24" t="n">
        <x:v>0.1934156378600823</x:v>
      </x:c>
      <x:c r="L2377" s="24" t="n">
        <x:v>0.03997648442092887</x:v>
      </x:c>
    </x:row>
    <x:row r="2378">
      <x:c r="G2378" t="str">
        <x:v>DAL-IAH</x:v>
      </x:c>
      <x:c r="H2378" t="str">
        <x:v>DAL</x:v>
      </x:c>
      <x:c r="I2378" t="str">
        <x:v>IAH</x:v>
      </x:c>
      <x:c r="J2378" s="23" t="n">
        <x:v>2213</x:v>
      </x:c>
      <x:c r="K2378" s="24" t="n">
        <x:v>0.19340262087663804</x:v>
      </x:c>
      <x:c r="L2378" s="24" t="n">
        <x:v>0.01762313601446001</x:v>
      </x:c>
    </x:row>
    <x:row r="2379">
      <x:c r="G2379" t="str">
        <x:v>PHX-MCI</x:v>
      </x:c>
      <x:c r="H2379" t="str">
        <x:v>PHX</x:v>
      </x:c>
      <x:c r="I2379" t="str">
        <x:v>MCI</x:v>
      </x:c>
      <x:c r="J2379" s="23" t="n">
        <x:v>7561</x:v>
      </x:c>
      <x:c r="K2379" s="24" t="n">
        <x:v>0.1933606665784949</x:v>
      </x:c>
      <x:c r="L2379" s="24" t="n">
        <x:v>0.007009654807565137</x:v>
      </x:c>
    </x:row>
    <x:row r="2380">
      <x:c r="G2380" t="str">
        <x:v>BTV-CLT</x:v>
      </x:c>
      <x:c r="H2380" t="str">
        <x:v>BTV</x:v>
      </x:c>
      <x:c r="I2380" t="str">
        <x:v>CLT</x:v>
      </x:c>
      <x:c r="J2380" s="23" t="n">
        <x:v>1857</x:v>
      </x:c>
      <x:c r="K2380" s="24" t="n">
        <x:v>0.193322563274098</x:v>
      </x:c>
      <x:c r="L2380" s="24" t="n">
        <x:v>0.01992460958535272</x:v>
      </x:c>
    </x:row>
    <x:row r="2381">
      <x:c r="G2381" t="str">
        <x:v>DEN-LAR</x:v>
      </x:c>
      <x:c r="H2381" t="str">
        <x:v>DEN</x:v>
      </x:c>
      <x:c r="I2381" t="str">
        <x:v>LAR</x:v>
      </x:c>
      <x:c r="J2381" s="23" t="n">
        <x:v>1878</x:v>
      </x:c>
      <x:c r="K2381" s="24" t="n">
        <x:v>0.19329073482428116</x:v>
      </x:c>
      <x:c r="L2381" s="24" t="n">
        <x:v>0.036741214057507986</x:v>
      </x:c>
    </x:row>
    <x:row r="2382">
      <x:c r="G2382" t="str">
        <x:v>MDW-TUL</x:v>
      </x:c>
      <x:c r="H2382" t="str">
        <x:v>MDW</x:v>
      </x:c>
      <x:c r="I2382" t="str">
        <x:v>TUL</x:v>
      </x:c>
      <x:c r="J2382" s="23" t="n">
        <x:v>1366</x:v>
      </x:c>
      <x:c r="K2382" s="24" t="n">
        <x:v>0.19326500732064422</x:v>
      </x:c>
      <x:c r="L2382" s="24" t="n">
        <x:v>0.01171303074670571</x:v>
      </x:c>
    </x:row>
    <x:row r="2383">
      <x:c r="G2383" t="str">
        <x:v>PDX-LAS</x:v>
      </x:c>
      <x:c r="H2383" t="str">
        <x:v>PDX</x:v>
      </x:c>
      <x:c r="I2383" t="str">
        <x:v>LAS</x:v>
      </x:c>
      <x:c r="J2383" s="23" t="n">
        <x:v>11225</x:v>
      </x:c>
      <x:c r="K2383" s="24" t="n">
        <x:v>0.1932293986636971</x:v>
      </x:c>
      <x:c r="L2383" s="24" t="n">
        <x:v>0.012115812917594655</x:v>
      </x:c>
    </x:row>
    <x:row r="2384">
      <x:c r="G2384" t="str">
        <x:v>DCA-BNA</x:v>
      </x:c>
      <x:c r="H2384" t="str">
        <x:v>DCA</x:v>
      </x:c>
      <x:c r="I2384" t="str">
        <x:v>BNA</x:v>
      </x:c>
      <x:c r="J2384" s="23" t="n">
        <x:v>11986</x:v>
      </x:c>
      <x:c r="K2384" s="24" t="n">
        <x:v>0.19322542966794592</x:v>
      </x:c>
      <x:c r="L2384" s="24" t="n">
        <x:v>0.019939929918237943</x:v>
      </x:c>
    </x:row>
    <x:row r="2385">
      <x:c r="G2385" t="str">
        <x:v>SJC-LAS</x:v>
      </x:c>
      <x:c r="H2385" t="str">
        <x:v>SJC</x:v>
      </x:c>
      <x:c r="I2385" t="str">
        <x:v>LAS</x:v>
      </x:c>
      <x:c r="J2385" s="23" t="n">
        <x:v>13187</x:v>
      </x:c>
      <x:c r="K2385" s="24" t="n">
        <x:v>0.1932205960415561</x:v>
      </x:c>
      <x:c r="L2385" s="24" t="n">
        <x:v>0.010389019488890573</x:v>
      </x:c>
    </x:row>
    <x:row r="2386">
      <x:c r="G2386" t="str">
        <x:v>CVG-AUS</x:v>
      </x:c>
      <x:c r="H2386" t="str">
        <x:v>CVG</x:v>
      </x:c>
      <x:c r="I2386" t="str">
        <x:v>AUS</x:v>
      </x:c>
      <x:c r="J2386" s="23" t="n">
        <x:v>1589</x:v>
      </x:c>
      <x:c r="K2386" s="24" t="n">
        <x:v>0.19320327249842667</x:v>
      </x:c>
      <x:c r="L2386" s="24" t="n">
        <x:v>0.005663939584644431</x:v>
      </x:c>
    </x:row>
    <x:row r="2387">
      <x:c r="G2387" t="str">
        <x:v>MCI-ORD</x:v>
      </x:c>
      <x:c r="H2387" t="str">
        <x:v>MCI</x:v>
      </x:c>
      <x:c r="I2387" t="str">
        <x:v>ORD</x:v>
      </x:c>
      <x:c r="J2387" s="23" t="n">
        <x:v>9721</x:v>
      </x:c>
      <x:c r="K2387" s="24" t="n">
        <x:v>0.19319000102870076</x:v>
      </x:c>
      <x:c r="L2387" s="24" t="n">
        <x:v>0.016150601789939305</x:v>
      </x:c>
    </x:row>
    <x:row r="2388">
      <x:c r="G2388" t="str">
        <x:v>RSW-HPN</x:v>
      </x:c>
      <x:c r="H2388" t="str">
        <x:v>RSW</x:v>
      </x:c>
      <x:c r="I2388" t="str">
        <x:v>HPN</x:v>
      </x:c>
      <x:c r="J2388" s="23" t="n">
        <x:v>1527</x:v>
      </x:c>
      <x:c r="K2388" s="24" t="n">
        <x:v>0.19318925998690242</x:v>
      </x:c>
      <x:c r="L2388" s="24" t="n">
        <x:v>0.011787819253438114</x:v>
      </x:c>
    </x:row>
    <x:row r="2389">
      <x:c r="G2389" t="str">
        <x:v>STL-SEA</x:v>
      </x:c>
      <x:c r="H2389" t="str">
        <x:v>STL</x:v>
      </x:c>
      <x:c r="I2389" t="str">
        <x:v>SEA</x:v>
      </x:c>
      <x:c r="J2389" s="23" t="n">
        <x:v>2552</x:v>
      </x:c>
      <x:c r="K2389" s="24" t="n">
        <x:v>0.19318181818181818</x:v>
      </x:c>
      <x:c r="L2389" s="24" t="n">
        <x:v>0.007445141065830721</x:v>
      </x:c>
    </x:row>
    <x:row r="2390">
      <x:c r="G2390" t="str">
        <x:v>BNA-PIT</x:v>
      </x:c>
      <x:c r="H2390" t="str">
        <x:v>BNA</x:v>
      </x:c>
      <x:c r="I2390" t="str">
        <x:v>PIT</x:v>
      </x:c>
      <x:c r="J2390" s="23" t="n">
        <x:v>2904</x:v>
      </x:c>
      <x:c r="K2390" s="24" t="n">
        <x:v>0.19318181818181818</x:v>
      </x:c>
      <x:c r="L2390" s="24" t="n">
        <x:v>0.0048209366391184574</x:v>
      </x:c>
    </x:row>
    <x:row r="2391">
      <x:c r="G2391" t="str">
        <x:v>OAJ-CLT</x:v>
      </x:c>
      <x:c r="H2391" t="str">
        <x:v>OAJ</x:v>
      </x:c>
      <x:c r="I2391" t="str">
        <x:v>CLT</x:v>
      </x:c>
      <x:c r="J2391" s="23" t="n">
        <x:v>1724</x:v>
      </x:c>
      <x:c r="K2391" s="24" t="n">
        <x:v>0.1931554524361949</x:v>
      </x:c>
      <x:c r="L2391" s="24" t="n">
        <x:v>0.02842227378190255</x:v>
      </x:c>
    </x:row>
    <x:row r="2392">
      <x:c r="G2392" t="str">
        <x:v>BNA-MKE</x:v>
      </x:c>
      <x:c r="H2392" t="str">
        <x:v>BNA</x:v>
      </x:c>
      <x:c r="I2392" t="str">
        <x:v>MKE</x:v>
      </x:c>
      <x:c r="J2392" s="23" t="n">
        <x:v>2506</x:v>
      </x:c>
      <x:c r="K2392" s="24" t="n">
        <x:v>0.1931364724660814</x:v>
      </x:c>
      <x:c r="L2392" s="24" t="n">
        <x:v>0.007182761372705506</x:v>
      </x:c>
    </x:row>
    <x:row r="2393">
      <x:c r="G2393" t="str">
        <x:v>TLH-MIA</x:v>
      </x:c>
      <x:c r="H2393" t="str">
        <x:v>TLH</x:v>
      </x:c>
      <x:c r="I2393" t="str">
        <x:v>MIA</x:v>
      </x:c>
      <x:c r="J2393" s="23" t="n">
        <x:v>3583</x:v>
      </x:c>
      <x:c r="K2393" s="24" t="n">
        <x:v>0.19313424504605078</x:v>
      </x:c>
      <x:c r="L2393" s="24" t="n">
        <x:v>0.017583030979626012</x:v>
      </x:c>
    </x:row>
    <x:row r="2394">
      <x:c r="G2394" t="str">
        <x:v>SFO-JAC</x:v>
      </x:c>
      <x:c r="H2394" t="str">
        <x:v>SFO</x:v>
      </x:c>
      <x:c r="I2394" t="str">
        <x:v>JAC</x:v>
      </x:c>
      <x:c r="J2394" s="23" t="n">
        <x:v>1015</x:v>
      </x:c>
      <x:c r="K2394" s="24" t="n">
        <x:v>0.19310344827586207</x:v>
      </x:c>
      <x:c r="L2394" s="24" t="n">
        <x:v>0.017733990147783252</x:v>
      </x:c>
    </x:row>
    <x:row r="2395">
      <x:c r="G2395" t="str">
        <x:v>DCA-ORD</x:v>
      </x:c>
      <x:c r="H2395" t="str">
        <x:v>DCA</x:v>
      </x:c>
      <x:c r="I2395" t="str">
        <x:v>ORD</x:v>
      </x:c>
      <x:c r="J2395" s="23" t="n">
        <x:v>19258</x:v>
      </x:c>
      <x:c r="K2395" s="24" t="n">
        <x:v>0.19306262332537127</x:v>
      </x:c>
      <x:c r="L2395" s="24" t="n">
        <x:v>0.019680132931768617</x:v>
      </x:c>
    </x:row>
    <x:row r="2396">
      <x:c r="G2396" t="str">
        <x:v>MSP-SAN</x:v>
      </x:c>
      <x:c r="H2396" t="str">
        <x:v>MSP</x:v>
      </x:c>
      <x:c r="I2396" t="str">
        <x:v>SAN</x:v>
      </x:c>
      <x:c r="J2396" s="23" t="n">
        <x:v>3969</x:v>
      </x:c>
      <x:c r="K2396" s="24" t="n">
        <x:v>0.1929957168052406</x:v>
      </x:c>
      <x:c r="L2396" s="24" t="n">
        <x:v>0.005039052658100277</x:v>
      </x:c>
    </x:row>
    <x:row r="2397">
      <x:c r="G2397" t="str">
        <x:v>DEN-CYS</x:v>
      </x:c>
      <x:c r="H2397" t="str">
        <x:v>DEN</x:v>
      </x:c>
      <x:c r="I2397" t="str">
        <x:v>CYS</x:v>
      </x:c>
      <x:c r="J2397" s="23" t="n">
        <x:v>1783</x:v>
      </x:c>
      <x:c r="K2397" s="24" t="n">
        <x:v>0.19293325855300056</x:v>
      </x:c>
      <x:c r="L2397" s="24" t="n">
        <x:v>0.0179472798653954</x:v>
      </x:c>
    </x:row>
    <x:row r="2398">
      <x:c r="G2398" t="str">
        <x:v>IND-MCO</x:v>
      </x:c>
      <x:c r="H2398" t="str">
        <x:v>IND</x:v>
      </x:c>
      <x:c r="I2398" t="str">
        <x:v>MCO</x:v>
      </x:c>
      <x:c r="J2398" s="23" t="n">
        <x:v>7141</x:v>
      </x:c>
      <x:c r="K2398" s="24" t="n">
        <x:v>0.1928301358353172</x:v>
      </x:c>
      <x:c r="L2398" s="24" t="n">
        <x:v>0.015964150679176586</x:v>
      </x:c>
    </x:row>
    <x:row r="2399">
      <x:c r="G2399" t="str">
        <x:v>STS-LAX</x:v>
      </x:c>
      <x:c r="H2399" t="str">
        <x:v>STS</x:v>
      </x:c>
      <x:c r="I2399" t="str">
        <x:v>LAX</x:v>
      </x:c>
      <x:c r="J2399" s="23" t="n">
        <x:v>1914</x:v>
      </x:c>
      <x:c r="K2399" s="24" t="n">
        <x:v>0.19278996865203762</x:v>
      </x:c>
      <x:c r="L2399" s="24" t="n">
        <x:v>0.012016718913270637</x:v>
      </x:c>
    </x:row>
    <x:row r="2400">
      <x:c r="G2400" t="str">
        <x:v>CMH-PHL</x:v>
      </x:c>
      <x:c r="H2400" t="str">
        <x:v>CMH</x:v>
      </x:c>
      <x:c r="I2400" t="str">
        <x:v>PHL</x:v>
      </x:c>
      <x:c r="J2400" s="23" t="n">
        <x:v>3911</x:v>
      </x:c>
      <x:c r="K2400" s="24" t="n">
        <x:v>0.1927895678854513</x:v>
      </x:c>
      <x:c r="L2400" s="24" t="n">
        <x:v>0.023523395551009973</x:v>
      </x:c>
    </x:row>
    <x:row r="2401">
      <x:c r="G2401" t="str">
        <x:v>BNA-DAL</x:v>
      </x:c>
      <x:c r="H2401" t="str">
        <x:v>BNA</x:v>
      </x:c>
      <x:c r="I2401" t="str">
        <x:v>DAL</x:v>
      </x:c>
      <x:c r="J2401" s="23" t="n">
        <x:v>7118</x:v>
      </x:c>
      <x:c r="K2401" s="24" t="n">
        <x:v>0.19275077268895757</x:v>
      </x:c>
      <x:c r="L2401" s="24" t="n">
        <x:v>0.01376791233492554</x:v>
      </x:c>
    </x:row>
    <x:row r="2402">
      <x:c r="G2402" t="str">
        <x:v>MDW-JAX</x:v>
      </x:c>
      <x:c r="H2402" t="str">
        <x:v>MDW</x:v>
      </x:c>
      <x:c r="I2402" t="str">
        <x:v>JAX</x:v>
      </x:c>
      <x:c r="J2402" s="23" t="n">
        <x:v>1131</x:v>
      </x:c>
      <x:c r="K2402" s="24" t="n">
        <x:v>0.1927497789566755</x:v>
      </x:c>
      <x:c r="L2402" s="24" t="n">
        <x:v>0.01237842617152962</x:v>
      </x:c>
    </x:row>
    <x:row r="2403">
      <x:c r="G2403" t="str">
        <x:v>ORF-CLT</x:v>
      </x:c>
      <x:c r="H2403" t="str">
        <x:v>ORF</x:v>
      </x:c>
      <x:c r="I2403" t="str">
        <x:v>CLT</x:v>
      </x:c>
      <x:c r="J2403" s="23" t="n">
        <x:v>7579</x:v>
      </x:c>
      <x:c r="K2403" s="24" t="n">
        <x:v>0.19263755112811717</x:v>
      </x:c>
      <x:c r="L2403" s="24" t="n">
        <x:v>0.012402691647974667</x:v>
      </x:c>
    </x:row>
    <x:row r="2404">
      <x:c r="G2404" t="str">
        <x:v>OKC-CLT</x:v>
      </x:c>
      <x:c r="H2404" t="str">
        <x:v>OKC</x:v>
      </x:c>
      <x:c r="I2404" t="str">
        <x:v>CLT</x:v>
      </x:c>
      <x:c r="J2404" s="23" t="n">
        <x:v>2336</x:v>
      </x:c>
      <x:c r="K2404" s="24" t="n">
        <x:v>0.19263698630136986</x:v>
      </x:c>
      <x:c r="L2404" s="24" t="n">
        <x:v>0.014126712328767123</x:v>
      </x:c>
    </x:row>
    <x:row r="2405">
      <x:c r="G2405" t="str">
        <x:v>SFO-FLL</x:v>
      </x:c>
      <x:c r="H2405" t="str">
        <x:v>SFO</x:v>
      </x:c>
      <x:c r="I2405" t="str">
        <x:v>FLL</x:v>
      </x:c>
      <x:c r="J2405" s="23" t="n">
        <x:v>3894</x:v>
      </x:c>
      <x:c r="K2405" s="24" t="n">
        <x:v>0.1926040061633282</x:v>
      </x:c>
      <x:c r="L2405" s="24" t="n">
        <x:v>0.011813045711350795</x:v>
      </x:c>
    </x:row>
    <x:row r="2406">
      <x:c r="G2406" t="str">
        <x:v>HOU-ECP</x:v>
      </x:c>
      <x:c r="H2406" t="str">
        <x:v>HOU</x:v>
      </x:c>
      <x:c r="I2406" t="str">
        <x:v>ECP</x:v>
      </x:c>
      <x:c r="J2406" s="23" t="n">
        <x:v>1215</x:v>
      </x:c>
      <x:c r="K2406" s="24" t="n">
        <x:v>0.1925925925925926</x:v>
      </x:c>
      <x:c r="L2406" s="24" t="n">
        <x:v>0.00411522633744856</x:v>
      </x:c>
    </x:row>
    <x:row r="2407">
      <x:c r="G2407" t="str">
        <x:v>LAX-PHL</x:v>
      </x:c>
      <x:c r="H2407" t="str">
        <x:v>LAX</x:v>
      </x:c>
      <x:c r="I2407" t="str">
        <x:v>PHL</x:v>
      </x:c>
      <x:c r="J2407" s="23" t="n">
        <x:v>7577</x:v>
      </x:c>
      <x:c r="K2407" s="24" t="n">
        <x:v>0.1925564207469975</x:v>
      </x:c>
      <x:c r="L2407" s="24" t="n">
        <x:v>0.008050679688531081</x:v>
      </x:c>
    </x:row>
    <x:row r="2408">
      <x:c r="G2408" t="str">
        <x:v>SEA-FLL</x:v>
      </x:c>
      <x:c r="H2408" t="str">
        <x:v>SEA</x:v>
      </x:c>
      <x:c r="I2408" t="str">
        <x:v>FLL</x:v>
      </x:c>
      <x:c r="J2408" s="23" t="n">
        <x:v>2727</x:v>
      </x:c>
      <x:c r="K2408" s="24" t="n">
        <x:v>0.1925192519251925</x:v>
      </x:c>
      <x:c r="L2408" s="24" t="n">
        <x:v>0.014668133480014669</x:v>
      </x:c>
    </x:row>
    <x:row r="2409">
      <x:c r="G2409" t="str">
        <x:v>BOI-ATL</x:v>
      </x:c>
      <x:c r="H2409" t="str">
        <x:v>BOI</x:v>
      </x:c>
      <x:c r="I2409" t="str">
        <x:v>ATL</x:v>
      </x:c>
      <x:c r="J2409" s="23" t="n">
        <x:v>1434</x:v>
      </x:c>
      <x:c r="K2409" s="24" t="n">
        <x:v>0.19246861924686193</x:v>
      </x:c>
      <x:c r="L2409" s="24" t="n">
        <x:v>0.011854951185495118</x:v>
      </x:c>
    </x:row>
    <x:row r="2410">
      <x:c r="G2410" t="str">
        <x:v>KTN-WRG</x:v>
      </x:c>
      <x:c r="H2410" t="str">
        <x:v>KTN</x:v>
      </x:c>
      <x:c r="I2410" t="str">
        <x:v>WRG</x:v>
      </x:c>
      <x:c r="J2410" s="23" t="n">
        <x:v>1086</x:v>
      </x:c>
      <x:c r="K2410" s="24" t="n">
        <x:v>0.19244935543278086</x:v>
      </x:c>
      <x:c r="L2410" s="24" t="n">
        <x:v>0.011049723756906077</x:v>
      </x:c>
    </x:row>
    <x:row r="2411">
      <x:c r="G2411" t="str">
        <x:v>PHX-OKC</x:v>
      </x:c>
      <x:c r="H2411" t="str">
        <x:v>PHX</x:v>
      </x:c>
      <x:c r="I2411" t="str">
        <x:v>OKC</x:v>
      </x:c>
      <x:c r="J2411" s="23" t="n">
        <x:v>5360</x:v>
      </x:c>
      <x:c r="K2411" s="24" t="n">
        <x:v>0.19235074626865672</x:v>
      </x:c>
      <x:c r="L2411" s="24" t="n">
        <x:v>0.002798507462686567</x:v>
      </x:c>
    </x:row>
    <x:row r="2412">
      <x:c r="G2412" t="str">
        <x:v>IAH-DTW</x:v>
      </x:c>
      <x:c r="H2412" t="str">
        <x:v>IAH</x:v>
      </x:c>
      <x:c r="I2412" t="str">
        <x:v>DTW</x:v>
      </x:c>
      <x:c r="J2412" s="23" t="n">
        <x:v>7024</x:v>
      </x:c>
      <x:c r="K2412" s="24" t="n">
        <x:v>0.19234054669703873</x:v>
      </x:c>
      <x:c r="L2412" s="24" t="n">
        <x:v>0.012670842824601366</x:v>
      </x:c>
    </x:row>
    <x:row r="2413">
      <x:c r="G2413" t="str">
        <x:v>OAK-PHX</x:v>
      </x:c>
      <x:c r="H2413" t="str">
        <x:v>OAK</x:v>
      </x:c>
      <x:c r="I2413" t="str">
        <x:v>PHX</x:v>
      </x:c>
      <x:c r="J2413" s="23" t="n">
        <x:v>6135</x:v>
      </x:c>
      <x:c r="K2413" s="24" t="n">
        <x:v>0.19233903830480847</x:v>
      </x:c>
      <x:c r="L2413" s="24" t="n">
        <x:v>0.0026079869600651997</x:v>
      </x:c>
    </x:row>
    <x:row r="2414">
      <x:c r="G2414" t="str">
        <x:v>BHM-BWI</x:v>
      </x:c>
      <x:c r="H2414" t="str">
        <x:v>BHM</x:v>
      </x:c>
      <x:c r="I2414" t="str">
        <x:v>BWI</x:v>
      </x:c>
      <x:c r="J2414" s="23" t="n">
        <x:v>1014</x:v>
      </x:c>
      <x:c r="K2414" s="24" t="n">
        <x:v>0.19230769230769232</x:v>
      </x:c>
      <x:c r="L2414" s="24" t="n">
        <x:v>0.009861932938856016</x:v>
      </x:c>
    </x:row>
    <x:row r="2415">
      <x:c r="G2415" t="str">
        <x:v>DFW-TYR</x:v>
      </x:c>
      <x:c r="H2415" t="str">
        <x:v>DFW</x:v>
      </x:c>
      <x:c r="I2415" t="str">
        <x:v>TYR</x:v>
      </x:c>
      <x:c r="J2415" s="23" t="n">
        <x:v>3240</x:v>
      </x:c>
      <x:c r="K2415" s="24" t="n">
        <x:v>0.19228395061728396</x:v>
      </x:c>
      <x:c r="L2415" s="24" t="n">
        <x:v>0.029012345679012345</x:v>
      </x:c>
    </x:row>
    <x:row r="2416">
      <x:c r="G2416" t="str">
        <x:v>ORF-PHL</x:v>
      </x:c>
      <x:c r="H2416" t="str">
        <x:v>ORF</x:v>
      </x:c>
      <x:c r="I2416" t="str">
        <x:v>PHL</x:v>
      </x:c>
      <x:c r="J2416" s="23" t="n">
        <x:v>2507</x:v>
      </x:c>
      <x:c r="K2416" s="24" t="n">
        <x:v>0.19226166733147187</x:v>
      </x:c>
      <x:c r="L2416" s="24" t="n">
        <x:v>0.016753091344236137</x:v>
      </x:c>
    </x:row>
    <x:row r="2417">
      <x:c r="G2417" t="str">
        <x:v>ORF-EWR</x:v>
      </x:c>
      <x:c r="H2417" t="str">
        <x:v>ORF</x:v>
      </x:c>
      <x:c r="I2417" t="str">
        <x:v>EWR</x:v>
      </x:c>
      <x:c r="J2417" s="23" t="n">
        <x:v>2747</x:v>
      </x:c>
      <x:c r="K2417" s="24" t="n">
        <x:v>0.19220968329086277</x:v>
      </x:c>
      <x:c r="L2417" s="24" t="n">
        <x:v>0.04768838733163451</x:v>
      </x:c>
    </x:row>
    <x:row r="2418">
      <x:c r="G2418" t="str">
        <x:v>IDA-DFW</x:v>
      </x:c>
      <x:c r="H2418" t="str">
        <x:v>IDA</x:v>
      </x:c>
      <x:c r="I2418" t="str">
        <x:v>DFW</x:v>
      </x:c>
      <x:c r="J2418" s="23" t="n">
        <x:v>1613</x:v>
      </x:c>
      <x:c r="K2418" s="24" t="n">
        <x:v>0.1921884686918785</x:v>
      </x:c>
      <x:c r="L2418" s="24" t="n">
        <x:v>0.011779293242405457</x:v>
      </x:c>
    </x:row>
    <x:row r="2419">
      <x:c r="G2419" t="str">
        <x:v>ATL-SRQ</x:v>
      </x:c>
      <x:c r="H2419" t="str">
        <x:v>ATL</x:v>
      </x:c>
      <x:c r="I2419" t="str">
        <x:v>SRQ</x:v>
      </x:c>
      <x:c r="J2419" s="23" t="n">
        <x:v>7771</x:v>
      </x:c>
      <x:c r="K2419" s="24" t="n">
        <x:v>0.19212456569296102</x:v>
      </x:c>
      <x:c r="L2419" s="24" t="n">
        <x:v>0.01544202805301763</x:v>
      </x:c>
    </x:row>
    <x:row r="2420">
      <x:c r="G2420" t="str">
        <x:v>GEG-SFO</x:v>
      </x:c>
      <x:c r="H2420" t="str">
        <x:v>GEG</x:v>
      </x:c>
      <x:c r="I2420" t="str">
        <x:v>SFO</x:v>
      </x:c>
      <x:c r="J2420" s="23" t="n">
        <x:v>2077</x:v>
      </x:c>
      <x:c r="K2420" s="24" t="n">
        <x:v>0.1921039961482908</x:v>
      </x:c>
      <x:c r="L2420" s="24" t="n">
        <x:v>0.005777563793933558</x:v>
      </x:c>
    </x:row>
    <x:row r="2421">
      <x:c r="G2421" t="str">
        <x:v>SAT-LAS</x:v>
      </x:c>
      <x:c r="H2421" t="str">
        <x:v>SAT</x:v>
      </x:c>
      <x:c r="I2421" t="str">
        <x:v>LAS</x:v>
      </x:c>
      <x:c r="J2421" s="23" t="n">
        <x:v>6731</x:v>
      </x:c>
      <x:c r="K2421" s="24" t="n">
        <x:v>0.1920962709849948</x:v>
      </x:c>
      <x:c r="L2421" s="24" t="n">
        <x:v>0.009062546426979647</x:v>
      </x:c>
    </x:row>
    <x:row r="2422">
      <x:c r="G2422" t="str">
        <x:v>OGG-LIH</x:v>
      </x:c>
      <x:c r="H2422" t="str">
        <x:v>OGG</x:v>
      </x:c>
      <x:c r="I2422" t="str">
        <x:v>LIH</x:v>
      </x:c>
      <x:c r="J2422" s="23" t="n">
        <x:v>4441</x:v>
      </x:c>
      <x:c r="K2422" s="24" t="n">
        <x:v>0.19207385723936052</x:v>
      </x:c>
      <x:c r="L2422" s="24" t="n">
        <x:v>0.002702094122945283</x:v>
      </x:c>
    </x:row>
    <x:row r="2423">
      <x:c r="G2423" t="str">
        <x:v>BOS-CLE</x:v>
      </x:c>
      <x:c r="H2423" t="str">
        <x:v>BOS</x:v>
      </x:c>
      <x:c r="I2423" t="str">
        <x:v>CLE</x:v>
      </x:c>
      <x:c r="J2423" s="23" t="n">
        <x:v>5373</x:v>
      </x:c>
      <x:c r="K2423" s="24" t="n">
        <x:v>0.192071468453378</x:v>
      </x:c>
      <x:c r="L2423" s="24" t="n">
        <x:v>0.01637818723245859</x:v>
      </x:c>
    </x:row>
    <x:row r="2424">
      <x:c r="G2424" t="str">
        <x:v>PHX-SBA</x:v>
      </x:c>
      <x:c r="H2424" t="str">
        <x:v>PHX</x:v>
      </x:c>
      <x:c r="I2424" t="str">
        <x:v>SBA</x:v>
      </x:c>
      <x:c r="J2424" s="23" t="n">
        <x:v>3780</x:v>
      </x:c>
      <x:c r="K2424" s="24" t="n">
        <x:v>0.19206349206349208</x:v>
      </x:c>
      <x:c r="L2424" s="24" t="n">
        <x:v>0.006349206349206349</x:v>
      </x:c>
    </x:row>
    <x:row r="2425">
      <x:c r="G2425" t="str">
        <x:v>MYR-FLL</x:v>
      </x:c>
      <x:c r="H2425" t="str">
        <x:v>MYR</x:v>
      </x:c>
      <x:c r="I2425" t="str">
        <x:v>FLL</x:v>
      </x:c>
      <x:c r="J2425" s="23" t="n">
        <x:v>1333</x:v>
      </x:c>
      <x:c r="K2425" s="24" t="n">
        <x:v>0.19204801200300076</x:v>
      </x:c>
      <x:c r="L2425" s="24" t="n">
        <x:v>0.015753938484621154</x:v>
      </x:c>
    </x:row>
    <x:row r="2426">
      <x:c r="G2426" t="str">
        <x:v>GSP-ORD</x:v>
      </x:c>
      <x:c r="H2426" t="str">
        <x:v>GSP</x:v>
      </x:c>
      <x:c r="I2426" t="str">
        <x:v>ORD</x:v>
      </x:c>
      <x:c r="J2426" s="23" t="n">
        <x:v>4068</x:v>
      </x:c>
      <x:c r="K2426" s="24" t="n">
        <x:v>0.19198623402163226</x:v>
      </x:c>
      <x:c r="L2426" s="24" t="n">
        <x:v>0.016470009832841692</x:v>
      </x:c>
    </x:row>
    <x:row r="2427">
      <x:c r="G2427" t="str">
        <x:v>DTW-LAN</x:v>
      </x:c>
      <x:c r="H2427" t="str">
        <x:v>DTW</x:v>
      </x:c>
      <x:c r="I2427" t="str">
        <x:v>LAN</x:v>
      </x:c>
      <x:c r="J2427" s="23" t="n">
        <x:v>2741</x:v>
      </x:c>
      <x:c r="K2427" s="24" t="n">
        <x:v>0.19190076614374316</x:v>
      </x:c>
      <x:c r="L2427" s="24" t="n">
        <x:v>0.008391098139365194</x:v>
      </x:c>
    </x:row>
    <x:row r="2428">
      <x:c r="G2428" t="str">
        <x:v>AUS-PHX</x:v>
      </x:c>
      <x:c r="H2428" t="str">
        <x:v>AUS</x:v>
      </x:c>
      <x:c r="I2428" t="str">
        <x:v>PHX</x:v>
      </x:c>
      <x:c r="J2428" s="23" t="n">
        <x:v>10123</x:v>
      </x:c>
      <x:c r="K2428" s="24" t="n">
        <x:v>0.19184036352859823</x:v>
      </x:c>
      <x:c r="L2428" s="24" t="n">
        <x:v>0.00800158055912279</x:v>
      </x:c>
    </x:row>
    <x:row r="2429">
      <x:c r="G2429" t="str">
        <x:v>ICT-DEN</x:v>
      </x:c>
      <x:c r="H2429" t="str">
        <x:v>ICT</x:v>
      </x:c>
      <x:c r="I2429" t="str">
        <x:v>DEN</x:v>
      </x:c>
      <x:c r="J2429" s="23" t="n">
        <x:v>5537</x:v>
      </x:c>
      <x:c r="K2429" s="24" t="n">
        <x:v>0.1918006140509301</x:v>
      </x:c>
      <x:c r="L2429" s="24" t="n">
        <x:v>0.00776593823370056</x:v>
      </x:c>
    </x:row>
    <x:row r="2430">
      <x:c r="G2430" t="str">
        <x:v>HPN-CLT</x:v>
      </x:c>
      <x:c r="H2430" t="str">
        <x:v>HPN</x:v>
      </x:c>
      <x:c r="I2430" t="str">
        <x:v>CLT</x:v>
      </x:c>
      <x:c r="J2430" s="23" t="n">
        <x:v>4156</x:v>
      </x:c>
      <x:c r="K2430" s="24" t="n">
        <x:v>0.19177093358999037</x:v>
      </x:c>
      <x:c r="L2430" s="24" t="n">
        <x:v>0.02743022136669875</x:v>
      </x:c>
    </x:row>
    <x:row r="2431">
      <x:c r="G2431" t="str">
        <x:v>CRW-ATL</x:v>
      </x:c>
      <x:c r="H2431" t="str">
        <x:v>CRW</x:v>
      </x:c>
      <x:c r="I2431" t="str">
        <x:v>ATL</x:v>
      </x:c>
      <x:c r="J2431" s="23" t="n">
        <x:v>2503</x:v>
      </x:c>
      <x:c r="K2431" s="24" t="n">
        <x:v>0.19176987614862165</x:v>
      </x:c>
      <x:c r="L2431" s="24" t="n">
        <x:v>0.010787055533359968</x:v>
      </x:c>
    </x:row>
    <x:row r="2432">
      <x:c r="G2432" t="str">
        <x:v>DFW-MAF</x:v>
      </x:c>
      <x:c r="H2432" t="str">
        <x:v>DFW</x:v>
      </x:c>
      <x:c r="I2432" t="str">
        <x:v>MAF</x:v>
      </x:c>
      <x:c r="J2432" s="23" t="n">
        <x:v>8386</x:v>
      </x:c>
      <x:c r="K2432" s="24" t="n">
        <x:v>0.1917481516813737</x:v>
      </x:c>
      <x:c r="L2432" s="24" t="n">
        <x:v>0.018602432625804913</x:v>
      </x:c>
    </x:row>
    <x:row r="2433">
      <x:c r="G2433" t="str">
        <x:v>LAS-CLT</x:v>
      </x:c>
      <x:c r="H2433" t="str">
        <x:v>LAS</x:v>
      </x:c>
      <x:c r="I2433" t="str">
        <x:v>CLT</x:v>
      </x:c>
      <x:c r="J2433" s="23" t="n">
        <x:v>7802</x:v>
      </x:c>
      <x:c r="K2433" s="24" t="n">
        <x:v>0.191745706229172</x:v>
      </x:c>
      <x:c r="L2433" s="24" t="n">
        <x:v>0.008715713919507819</x:v>
      </x:c>
    </x:row>
    <x:row r="2434">
      <x:c r="G2434" t="str">
        <x:v>DEN-RKS</x:v>
      </x:c>
      <x:c r="H2434" t="str">
        <x:v>DEN</x:v>
      </x:c>
      <x:c r="I2434" t="str">
        <x:v>RKS</x:v>
      </x:c>
      <x:c r="J2434" s="23" t="n">
        <x:v>1785</x:v>
      </x:c>
      <x:c r="K2434" s="24" t="n">
        <x:v>0.1915966386554622</x:v>
      </x:c>
      <x:c r="L2434" s="24" t="n">
        <x:v>0.014005602240896359</x:v>
      </x:c>
    </x:row>
    <x:row r="2435">
      <x:c r="G2435" t="str">
        <x:v>PVD-CLT</x:v>
      </x:c>
      <x:c r="H2435" t="str">
        <x:v>PVD</x:v>
      </x:c>
      <x:c r="I2435" t="str">
        <x:v>CLT</x:v>
      </x:c>
      <x:c r="J2435" s="23" t="n">
        <x:v>4520</x:v>
      </x:c>
      <x:c r="K2435" s="24" t="n">
        <x:v>0.1915929203539823</x:v>
      </x:c>
      <x:c r="L2435" s="24" t="n">
        <x:v>0.011946902654867256</x:v>
      </x:c>
    </x:row>
    <x:row r="2436">
      <x:c r="G2436" t="str">
        <x:v>ORF-LGA</x:v>
      </x:c>
      <x:c r="H2436" t="str">
        <x:v>ORF</x:v>
      </x:c>
      <x:c r="I2436" t="str">
        <x:v>LGA</x:v>
      </x:c>
      <x:c r="J2436" s="23" t="n">
        <x:v>5089</x:v>
      </x:c>
      <x:c r="K2436" s="24" t="n">
        <x:v>0.19158970328158773</x:v>
      </x:c>
      <x:c r="L2436" s="24" t="n">
        <x:v>0.03851444291609354</x:v>
      </x:c>
    </x:row>
    <x:row r="2437">
      <x:c r="G2437" t="str">
        <x:v>SMF-GEG</x:v>
      </x:c>
      <x:c r="H2437" t="str">
        <x:v>SMF</x:v>
      </x:c>
      <x:c r="I2437" t="str">
        <x:v>GEG</x:v>
      </x:c>
      <x:c r="J2437" s="23" t="n">
        <x:v>1947</x:v>
      </x:c>
      <x:c r="K2437" s="24" t="n">
        <x:v>0.19157678479712378</x:v>
      </x:c>
      <x:c r="L2437" s="24" t="n">
        <x:v>0</x:v>
      </x:c>
    </x:row>
    <x:row r="2438">
      <x:c r="G2438" t="str">
        <x:v>HNL-SAN</x:v>
      </x:c>
      <x:c r="H2438" t="str">
        <x:v>HNL</x:v>
      </x:c>
      <x:c r="I2438" t="str">
        <x:v>SAN</x:v>
      </x:c>
      <x:c r="J2438" s="23" t="n">
        <x:v>4735</x:v>
      </x:c>
      <x:c r="K2438" s="24" t="n">
        <x:v>0.19155227032734953</x:v>
      </x:c>
      <x:c r="L2438" s="24" t="n">
        <x:v>0.007391763463569166</x:v>
      </x:c>
    </x:row>
    <x:row r="2439">
      <x:c r="G2439" t="str">
        <x:v>DFW-GRI</x:v>
      </x:c>
      <x:c r="H2439" t="str">
        <x:v>DFW</x:v>
      </x:c>
      <x:c r="I2439" t="str">
        <x:v>GRI</x:v>
      </x:c>
      <x:c r="J2439" s="23" t="n">
        <x:v>2177</x:v>
      </x:c>
      <x:c r="K2439" s="24" t="n">
        <x:v>0.1915480018373909</x:v>
      </x:c>
      <x:c r="L2439" s="24" t="n">
        <x:v>0.028020211299954065</x:v>
      </x:c>
    </x:row>
    <x:row r="2440">
      <x:c r="G2440" t="str">
        <x:v>DAL-STL</x:v>
      </x:c>
      <x:c r="H2440" t="str">
        <x:v>DAL</x:v>
      </x:c>
      <x:c r="I2440" t="str">
        <x:v>STL</x:v>
      </x:c>
      <x:c r="J2440" s="23" t="n">
        <x:v>6187</x:v>
      </x:c>
      <x:c r="K2440" s="24" t="n">
        <x:v>0.19153062873767576</x:v>
      </x:c>
      <x:c r="L2440" s="24" t="n">
        <x:v>0.014061742363019233</x:v>
      </x:c>
    </x:row>
    <x:row r="2441">
      <x:c r="G2441" t="str">
        <x:v>AUS-BWI</x:v>
      </x:c>
      <x:c r="H2441" t="str">
        <x:v>AUS</x:v>
      </x:c>
      <x:c r="I2441" t="str">
        <x:v>BWI</x:v>
      </x:c>
      <x:c r="J2441" s="23" t="n">
        <x:v>4083</x:v>
      </x:c>
      <x:c r="K2441" s="24" t="n">
        <x:v>0.19152583884398727</x:v>
      </x:c>
      <x:c r="L2441" s="24" t="n">
        <x:v>0.009061964241978937</x:v>
      </x:c>
    </x:row>
    <x:row r="2442">
      <x:c r="G2442" t="str">
        <x:v>DAL-AMA</x:v>
      </x:c>
      <x:c r="H2442" t="str">
        <x:v>DAL</x:v>
      </x:c>
      <x:c r="I2442" t="str">
        <x:v>AMA</x:v>
      </x:c>
      <x:c r="J2442" s="23" t="n">
        <x:v>3890</x:v>
      </x:c>
      <x:c r="K2442" s="24" t="n">
        <x:v>0.19151670951156813</x:v>
      </x:c>
      <x:c r="L2442" s="24" t="n">
        <x:v>0.012082262210796915</x:v>
      </x:c>
    </x:row>
    <x:row r="2443">
      <x:c r="G2443" t="str">
        <x:v>JFK-SAT</x:v>
      </x:c>
      <x:c r="H2443" t="str">
        <x:v>JFK</x:v>
      </x:c>
      <x:c r="I2443" t="str">
        <x:v>SAT</x:v>
      </x:c>
      <x:c r="J2443" s="23" t="n">
        <x:v>1624</x:v>
      </x:c>
      <x:c r="K2443" s="24" t="n">
        <x:v>0.1915024630541872</x:v>
      </x:c>
      <x:c r="L2443" s="24" t="n">
        <x:v>0.01293103448275862</x:v>
      </x:c>
    </x:row>
    <x:row r="2444">
      <x:c r="G2444" t="str">
        <x:v>MKE-PHL</x:v>
      </x:c>
      <x:c r="H2444" t="str">
        <x:v>MKE</x:v>
      </x:c>
      <x:c r="I2444" t="str">
        <x:v>PHL</x:v>
      </x:c>
      <x:c r="J2444" s="23" t="n">
        <x:v>1222</x:v>
      </x:c>
      <x:c r="K2444" s="24" t="n">
        <x:v>0.19148936170212766</x:v>
      </x:c>
      <x:c r="L2444" s="24" t="n">
        <x:v>0.023731587561374796</x:v>
      </x:c>
    </x:row>
    <x:row r="2445">
      <x:c r="G2445" t="str">
        <x:v>DCA-PHL</x:v>
      </x:c>
      <x:c r="H2445" t="str">
        <x:v>DCA</x:v>
      </x:c>
      <x:c r="I2445" t="str">
        <x:v>PHL</x:v>
      </x:c>
      <x:c r="J2445" s="23" t="n">
        <x:v>3850</x:v>
      </x:c>
      <x:c r="K2445" s="24" t="n">
        <x:v>0.19142857142857142</x:v>
      </x:c>
      <x:c r="L2445" s="24" t="n">
        <x:v>0.021038961038961038</x:v>
      </x:c>
    </x:row>
    <x:row r="2446">
      <x:c r="G2446" t="str">
        <x:v>PHL-PHX</x:v>
      </x:c>
      <x:c r="H2446" t="str">
        <x:v>PHL</x:v>
      </x:c>
      <x:c r="I2446" t="str">
        <x:v>PHX</x:v>
      </x:c>
      <x:c r="J2446" s="23" t="n">
        <x:v>7324</x:v>
      </x:c>
      <x:c r="K2446" s="24" t="n">
        <x:v>0.19142545057345714</x:v>
      </x:c>
      <x:c r="L2446" s="24" t="n">
        <x:v>0.009011469142545057</x:v>
      </x:c>
    </x:row>
    <x:row r="2447">
      <x:c r="G2447" t="str">
        <x:v>MCI-MCO</x:v>
      </x:c>
      <x:c r="H2447" t="str">
        <x:v>MCI</x:v>
      </x:c>
      <x:c r="I2447" t="str">
        <x:v>MCO</x:v>
      </x:c>
      <x:c r="J2447" s="23" t="n">
        <x:v>4848</x:v>
      </x:c>
      <x:c r="K2447" s="24" t="n">
        <x:v>0.19141914191419143</x:v>
      </x:c>
      <x:c r="L2447" s="24" t="n">
        <x:v>0.010932343234323433</x:v>
      </x:c>
    </x:row>
    <x:row r="2448">
      <x:c r="G2448" t="str">
        <x:v>PHL-CMH</x:v>
      </x:c>
      <x:c r="H2448" t="str">
        <x:v>PHL</x:v>
      </x:c>
      <x:c r="I2448" t="str">
        <x:v>CMH</x:v>
      </x:c>
      <x:c r="J2448" s="23" t="n">
        <x:v>3887</x:v>
      </x:c>
      <x:c r="K2448" s="24" t="n">
        <x:v>0.19140725495240546</x:v>
      </x:c>
      <x:c r="L2448" s="24" t="n">
        <x:v>0.024697710316439414</x:v>
      </x:c>
    </x:row>
    <x:row r="2449">
      <x:c r="G2449" t="str">
        <x:v>MSP-ANC</x:v>
      </x:c>
      <x:c r="H2449" t="str">
        <x:v>MSP</x:v>
      </x:c>
      <x:c r="I2449" t="str">
        <x:v>ANC</x:v>
      </x:c>
      <x:c r="J2449" s="23" t="n">
        <x:v>2001</x:v>
      </x:c>
      <x:c r="K2449" s="24" t="n">
        <x:v>0.19140429785107446</x:v>
      </x:c>
      <x:c r="L2449" s="24" t="n">
        <x:v>0.005997001499250375</x:v>
      </x:c>
    </x:row>
    <x:row r="2450">
      <x:c r="G2450" t="str">
        <x:v>IAD-DEN</x:v>
      </x:c>
      <x:c r="H2450" t="str">
        <x:v>IAD</x:v>
      </x:c>
      <x:c r="I2450" t="str">
        <x:v>DEN</x:v>
      </x:c>
      <x:c r="J2450" s="23" t="n">
        <x:v>9577</x:v>
      </x:c>
      <x:c r="K2450" s="24" t="n">
        <x:v>0.19139605304375065</x:v>
      </x:c>
      <x:c r="L2450" s="24" t="n">
        <x:v>0.008875430719431972</x:v>
      </x:c>
    </x:row>
    <x:row r="2451">
      <x:c r="G2451" t="str">
        <x:v>BHM-DAL</x:v>
      </x:c>
      <x:c r="H2451" t="str">
        <x:v>BHM</x:v>
      </x:c>
      <x:c r="I2451" t="str">
        <x:v>DAL</x:v>
      </x:c>
      <x:c r="J2451" s="23" t="n">
        <x:v>2623</x:v>
      </x:c>
      <x:c r="K2451" s="24" t="n">
        <x:v>0.1913839115516584</x:v>
      </x:c>
      <x:c r="L2451" s="24" t="n">
        <x:v>0.01105604269919939</x:v>
      </x:c>
    </x:row>
    <x:row r="2452">
      <x:c r="G2452" t="str">
        <x:v>CLE-BOS</x:v>
      </x:c>
      <x:c r="H2452" t="str">
        <x:v>CLE</x:v>
      </x:c>
      <x:c r="I2452" t="str">
        <x:v>BOS</x:v>
      </x:c>
      <x:c r="J2452" s="23" t="n">
        <x:v>5372</x:v>
      </x:c>
      <x:c r="K2452" s="24" t="n">
        <x:v>0.1913626209977662</x:v>
      </x:c>
      <x:c r="L2452" s="24" t="n">
        <x:v>0.01545048399106478</x:v>
      </x:c>
    </x:row>
    <x:row r="2453">
      <x:c r="G2453" t="str">
        <x:v>PHX-MAF</x:v>
      </x:c>
      <x:c r="H2453" t="str">
        <x:v>PHX</x:v>
      </x:c>
      <x:c r="I2453" t="str">
        <x:v>MAF</x:v>
      </x:c>
      <x:c r="J2453" s="23" t="n">
        <x:v>1087</x:v>
      </x:c>
      <x:c r="K2453" s="24" t="n">
        <x:v>0.19135234590616376</x:v>
      </x:c>
      <x:c r="L2453" s="24" t="n">
        <x:v>0.005519779208831647</x:v>
      </x:c>
    </x:row>
    <x:row r="2454">
      <x:c r="G2454" t="str">
        <x:v>DTW-CIU</x:v>
      </x:c>
      <x:c r="H2454" t="str">
        <x:v>DTW</x:v>
      </x:c>
      <x:c r="I2454" t="str">
        <x:v>CIU</x:v>
      </x:c>
      <x:c r="J2454" s="23" t="n">
        <x:v>1087</x:v>
      </x:c>
      <x:c r="K2454" s="24" t="n">
        <x:v>0.19135234590616376</x:v>
      </x:c>
      <x:c r="L2454" s="24" t="n">
        <x:v>0.014719411223551058</x:v>
      </x:c>
    </x:row>
    <x:row r="2455">
      <x:c r="G2455" t="str">
        <x:v>SEA-ATL</x:v>
      </x:c>
      <x:c r="H2455" t="str">
        <x:v>SEA</x:v>
      </x:c>
      <x:c r="I2455" t="str">
        <x:v>ATL</x:v>
      </x:c>
      <x:c r="J2455" s="23" t="n">
        <x:v>10313</x:v>
      </x:c>
      <x:c r="K2455" s="24" t="n">
        <x:v>0.19121497139532628</x:v>
      </x:c>
      <x:c r="L2455" s="24" t="n">
        <x:v>0.007660234655289441</x:v>
      </x:c>
    </x:row>
    <x:row r="2456">
      <x:c r="G2456" t="str">
        <x:v>BWI-IAH</x:v>
      </x:c>
      <x:c r="H2456" t="str">
        <x:v>BWI</x:v>
      </x:c>
      <x:c r="I2456" t="str">
        <x:v>IAH</x:v>
      </x:c>
      <x:c r="J2456" s="23" t="n">
        <x:v>3358</x:v>
      </x:c>
      <x:c r="K2456" s="24" t="n">
        <x:v>0.19118522930315665</x:v>
      </x:c>
      <x:c r="L2456" s="24" t="n">
        <x:v>0.011316259678379988</x:v>
      </x:c>
    </x:row>
    <x:row r="2457">
      <x:c r="G2457" t="str">
        <x:v>STL-MKE</x:v>
      </x:c>
      <x:c r="H2457" t="str">
        <x:v>STL</x:v>
      </x:c>
      <x:c r="I2457" t="str">
        <x:v>MKE</x:v>
      </x:c>
      <x:c r="J2457" s="23" t="n">
        <x:v>2051</x:v>
      </x:c>
      <x:c r="K2457" s="24" t="n">
        <x:v>0.19112627986348124</x:v>
      </x:c>
      <x:c r="L2457" s="24" t="n">
        <x:v>0.009263773768893223</x:v>
      </x:c>
    </x:row>
    <x:row r="2458">
      <x:c r="G2458" t="str">
        <x:v>BTR-CLT</x:v>
      </x:c>
      <x:c r="H2458" t="str">
        <x:v>BTR</x:v>
      </x:c>
      <x:c r="I2458" t="str">
        <x:v>CLT</x:v>
      </x:c>
      <x:c r="J2458" s="23" t="n">
        <x:v>2424</x:v>
      </x:c>
      <x:c r="K2458" s="24" t="n">
        <x:v>0.191006600660066</x:v>
      </x:c>
      <x:c r="L2458" s="24" t="n">
        <x:v>0.012376237623762377</x:v>
      </x:c>
    </x:row>
    <x:row r="2459">
      <x:c r="G2459" t="str">
        <x:v>EWR-BTV</x:v>
      </x:c>
      <x:c r="H2459" t="str">
        <x:v>EWR</x:v>
      </x:c>
      <x:c r="I2459" t="str">
        <x:v>BTV</x:v>
      </x:c>
      <x:c r="J2459" s="23" t="n">
        <x:v>2524</x:v>
      </x:c>
      <x:c r="K2459" s="24" t="n">
        <x:v>0.19096671949286848</x:v>
      </x:c>
      <x:c r="L2459" s="24" t="n">
        <x:v>0.03169572107765452</x:v>
      </x:c>
    </x:row>
    <x:row r="2460">
      <x:c r="G2460" t="str">
        <x:v>MIA-TLH</x:v>
      </x:c>
      <x:c r="H2460" t="str">
        <x:v>MIA</x:v>
      </x:c>
      <x:c r="I2460" t="str">
        <x:v>TLH</x:v>
      </x:c>
      <x:c r="J2460" s="23" t="n">
        <x:v>3583</x:v>
      </x:c>
      <x:c r="K2460" s="24" t="n">
        <x:v>0.19090147920736814</x:v>
      </x:c>
      <x:c r="L2460" s="24" t="n">
        <x:v>0.016187552330449346</x:v>
      </x:c>
    </x:row>
    <x:row r="2461">
      <x:c r="G2461" t="str">
        <x:v>HOU-BWI</x:v>
      </x:c>
      <x:c r="H2461" t="str">
        <x:v>HOU</x:v>
      </x:c>
      <x:c r="I2461" t="str">
        <x:v>BWI</x:v>
      </x:c>
      <x:c r="J2461" s="23" t="n">
        <x:v>4196</x:v>
      </x:c>
      <x:c r="K2461" s="24" t="n">
        <x:v>0.19089609151572925</x:v>
      </x:c>
      <x:c r="L2461" s="24" t="n">
        <x:v>0.01215443279313632</x:v>
      </x:c>
    </x:row>
    <x:row r="2462">
      <x:c r="G2462" t="str">
        <x:v>ELP-SAN</x:v>
      </x:c>
      <x:c r="H2462" t="str">
        <x:v>ELP</x:v>
      </x:c>
      <x:c r="I2462" t="str">
        <x:v>SAN</x:v>
      </x:c>
      <x:c r="J2462" s="23" t="n">
        <x:v>1048</x:v>
      </x:c>
      <x:c r="K2462" s="24" t="n">
        <x:v>0.19083969465648856</x:v>
      </x:c>
      <x:c r="L2462" s="24" t="n">
        <x:v>0.0057251908396946565</x:v>
      </x:c>
    </x:row>
    <x:row r="2463">
      <x:c r="G2463" t="str">
        <x:v>IND-TPA</x:v>
      </x:c>
      <x:c r="H2463" t="str">
        <x:v>IND</x:v>
      </x:c>
      <x:c r="I2463" t="str">
        <x:v>TPA</x:v>
      </x:c>
      <x:c r="J2463" s="23" t="n">
        <x:v>3537</x:v>
      </x:c>
      <x:c r="K2463" s="24" t="n">
        <x:v>0.19083969465648856</x:v>
      </x:c>
      <x:c r="L2463" s="24" t="n">
        <x:v>0.016115351993214587</x:v>
      </x:c>
    </x:row>
    <x:row r="2464">
      <x:c r="G2464" t="str">
        <x:v>CLT-MLB</x:v>
      </x:c>
      <x:c r="H2464" t="str">
        <x:v>CLT</x:v>
      </x:c>
      <x:c r="I2464" t="str">
        <x:v>MLB</x:v>
      </x:c>
      <x:c r="J2464" s="23" t="n">
        <x:v>3449</x:v>
      </x:c>
      <x:c r="K2464" s="24" t="n">
        <x:v>0.19077993621339517</x:v>
      </x:c>
      <x:c r="L2464" s="24" t="n">
        <x:v>0.017686285879965208</x:v>
      </x:c>
    </x:row>
    <x:row r="2465">
      <x:c r="G2465" t="str">
        <x:v>DFW-MTJ</x:v>
      </x:c>
      <x:c r="H2465" t="str">
        <x:v>DFW</x:v>
      </x:c>
      <x:c r="I2465" t="str">
        <x:v>MTJ</x:v>
      </x:c>
      <x:c r="J2465" s="23" t="n">
        <x:v>1725</x:v>
      </x:c>
      <x:c r="K2465" s="24" t="n">
        <x:v>0.1907246376811594</x:v>
      </x:c>
      <x:c r="L2465" s="24" t="n">
        <x:v>0.011014492753623189</x:v>
      </x:c>
    </x:row>
    <x:row r="2466">
      <x:c r="G2466" t="str">
        <x:v>LAX-BOS</x:v>
      </x:c>
      <x:c r="H2466" t="str">
        <x:v>LAX</x:v>
      </x:c>
      <x:c r="I2466" t="str">
        <x:v>BOS</x:v>
      </x:c>
      <x:c r="J2466" s="23" t="n">
        <x:v>13693</x:v>
      </x:c>
      <x:c r="K2466" s="24" t="n">
        <x:v>0.19068137004308772</x:v>
      </x:c>
      <x:c r="L2466" s="24" t="n">
        <x:v>0.004893011027532316</x:v>
      </x:c>
    </x:row>
    <x:row r="2467">
      <x:c r="G2467" t="str">
        <x:v>SEA-OGG</x:v>
      </x:c>
      <x:c r="H2467" t="str">
        <x:v>SEA</x:v>
      </x:c>
      <x:c r="I2467" t="str">
        <x:v>OGG</x:v>
      </x:c>
      <x:c r="J2467" s="23" t="n">
        <x:v>5282</x:v>
      </x:c>
      <x:c r="K2467" s="24" t="n">
        <x:v>0.1906474820143885</x:v>
      </x:c>
      <x:c r="L2467" s="24" t="n">
        <x:v>0.012305944717909882</x:v>
      </x:c>
    </x:row>
    <x:row r="2468">
      <x:c r="G2468" t="str">
        <x:v>SBN-DTW</x:v>
      </x:c>
      <x:c r="H2468" t="str">
        <x:v>SBN</x:v>
      </x:c>
      <x:c r="I2468" t="str">
        <x:v>DTW</x:v>
      </x:c>
      <x:c r="J2468" s="23" t="n">
        <x:v>1044</x:v>
      </x:c>
      <x:c r="K2468" s="24" t="n">
        <x:v>0.19061302681992337</x:v>
      </x:c>
      <x:c r="L2468" s="24" t="n">
        <x:v>0.007662835249042145</x:v>
      </x:c>
    </x:row>
    <x:row r="2469">
      <x:c r="G2469" t="str">
        <x:v>DAL-AUS</x:v>
      </x:c>
      <x:c r="H2469" t="str">
        <x:v>DAL</x:v>
      </x:c>
      <x:c r="I2469" t="str">
        <x:v>AUS</x:v>
      </x:c>
      <x:c r="J2469" s="23" t="n">
        <x:v>7816</x:v>
      </x:c>
      <x:c r="K2469" s="24" t="n">
        <x:v>0.19050665301944728</x:v>
      </x:c>
      <x:c r="L2469" s="24" t="n">
        <x:v>0.014969293756397134</x:v>
      </x:c>
    </x:row>
    <x:row r="2470">
      <x:c r="G2470" t="str">
        <x:v>DSM-DCA</x:v>
      </x:c>
      <x:c r="H2470" t="str">
        <x:v>DSM</x:v>
      </x:c>
      <x:c r="I2470" t="str">
        <x:v>DCA</x:v>
      </x:c>
      <x:c r="J2470" s="23" t="n">
        <x:v>2252</x:v>
      </x:c>
      <x:c r="K2470" s="24" t="n">
        <x:v>0.19049733570159857</x:v>
      </x:c>
      <x:c r="L2470" s="24" t="n">
        <x:v>0.03197158081705151</x:v>
      </x:c>
    </x:row>
    <x:row r="2471">
      <x:c r="G2471" t="str">
        <x:v>ORD-GSO</x:v>
      </x:c>
      <x:c r="H2471" t="str">
        <x:v>ORD</x:v>
      </x:c>
      <x:c r="I2471" t="str">
        <x:v>GSO</x:v>
      </x:c>
      <x:c r="J2471" s="23" t="n">
        <x:v>3407</x:v>
      </x:c>
      <x:c r="K2471" s="24" t="n">
        <x:v>0.19049016730261226</x:v>
      </x:c>
      <x:c r="L2471" s="24" t="n">
        <x:v>0.011740534194305841</x:v>
      </x:c>
    </x:row>
    <x:row r="2472">
      <x:c r="G2472" t="str">
        <x:v>DTW-ORF</x:v>
      </x:c>
      <x:c r="H2472" t="str">
        <x:v>DTW</x:v>
      </x:c>
      <x:c r="I2472" t="str">
        <x:v>ORF</x:v>
      </x:c>
      <x:c r="J2472" s="23" t="n">
        <x:v>2352</x:v>
      </x:c>
      <x:c r="K2472" s="24" t="n">
        <x:v>0.19047619047619047</x:v>
      </x:c>
      <x:c r="L2472" s="24" t="n">
        <x:v>0.007653061224489796</x:v>
      </x:c>
    </x:row>
    <x:row r="2473">
      <x:c r="G2473" t="str">
        <x:v>DFW-GPT</x:v>
      </x:c>
      <x:c r="H2473" t="str">
        <x:v>DFW</x:v>
      </x:c>
      <x:c r="I2473" t="str">
        <x:v>GPT</x:v>
      </x:c>
      <x:c r="J2473" s="23" t="n">
        <x:v>3124</x:v>
      </x:c>
      <x:c r="K2473" s="24" t="n">
        <x:v>0.19046094750320103</x:v>
      </x:c>
      <x:c r="L2473" s="24" t="n">
        <x:v>0.026248399487836107</x:v>
      </x:c>
    </x:row>
    <x:row r="2474">
      <x:c r="G2474" t="str">
        <x:v>BIL-DFW</x:v>
      </x:c>
      <x:c r="H2474" t="str">
        <x:v>BIL</x:v>
      </x:c>
      <x:c r="I2474" t="str">
        <x:v>DFW</x:v>
      </x:c>
      <x:c r="J2474" s="23" t="n">
        <x:v>1948</x:v>
      </x:c>
      <x:c r="K2474" s="24" t="n">
        <x:v>0.1904517453798768</x:v>
      </x:c>
      <x:c r="L2474" s="24" t="n">
        <x:v>0.009240246406570842</x:v>
      </x:c>
    </x:row>
    <x:row r="2475">
      <x:c r="G2475" t="str">
        <x:v>MCI-HOU</x:v>
      </x:c>
      <x:c r="H2475" t="str">
        <x:v>MCI</x:v>
      </x:c>
      <x:c r="I2475" t="str">
        <x:v>HOU</x:v>
      </x:c>
      <x:c r="J2475" s="23" t="n">
        <x:v>2905</x:v>
      </x:c>
      <x:c r="K2475" s="24" t="n">
        <x:v>0.19036144578313252</x:v>
      </x:c>
      <x:c r="L2475" s="24" t="n">
        <x:v>0.008261617900172116</x:v>
      </x:c>
    </x:row>
    <x:row r="2476">
      <x:c r="G2476" t="str">
        <x:v>SHV-CLT</x:v>
      </x:c>
      <x:c r="H2476" t="str">
        <x:v>SHV</x:v>
      </x:c>
      <x:c r="I2476" t="str">
        <x:v>CLT</x:v>
      </x:c>
      <x:c r="J2476" s="23" t="n">
        <x:v>2396</x:v>
      </x:c>
      <x:c r="K2476" s="24" t="n">
        <x:v>0.19031719532554256</x:v>
      </x:c>
      <x:c r="L2476" s="24" t="n">
        <x:v>0.01669449081803005</x:v>
      </x:c>
    </x:row>
    <x:row r="2477">
      <x:c r="G2477" t="str">
        <x:v>TPA-BWI</x:v>
      </x:c>
      <x:c r="H2477" t="str">
        <x:v>TPA</x:v>
      </x:c>
      <x:c r="I2477" t="str">
        <x:v>BWI</x:v>
      </x:c>
      <x:c r="J2477" s="23" t="n">
        <x:v>9149</x:v>
      </x:c>
      <x:c r="K2477" s="24" t="n">
        <x:v>0.19029402120450323</x:v>
      </x:c>
      <x:c r="L2477" s="24" t="n">
        <x:v>0.01814405946005028</x:v>
      </x:c>
    </x:row>
    <x:row r="2478">
      <x:c r="G2478" t="str">
        <x:v>CLT-MSP</x:v>
      </x:c>
      <x:c r="H2478" t="str">
        <x:v>CLT</x:v>
      </x:c>
      <x:c r="I2478" t="str">
        <x:v>MSP</x:v>
      </x:c>
      <x:c r="J2478" s="23" t="n">
        <x:v>7363</x:v>
      </x:c>
      <x:c r="K2478" s="24" t="n">
        <x:v>0.1902757028385169</x:v>
      </x:c>
      <x:c r="L2478" s="24" t="n">
        <x:v>0.008420480782289828</x:v>
      </x:c>
    </x:row>
    <x:row r="2479">
      <x:c r="G2479" t="str">
        <x:v>MCO-ORF</x:v>
      </x:c>
      <x:c r="H2479" t="str">
        <x:v>MCO</x:v>
      </x:c>
      <x:c r="I2479" t="str">
        <x:v>ORF</x:v>
      </x:c>
      <x:c r="J2479" s="23" t="n">
        <x:v>2282</x:v>
      </x:c>
      <x:c r="K2479" s="24" t="n">
        <x:v>0.1901840490797546</x:v>
      </x:c>
      <x:c r="L2479" s="24" t="n">
        <x:v>0.013584574934268186</x:v>
      </x:c>
    </x:row>
    <x:row r="2480">
      <x:c r="G2480" t="str">
        <x:v>RDU-MDW</x:v>
      </x:c>
      <x:c r="H2480" t="str">
        <x:v>RDU</x:v>
      </x:c>
      <x:c r="I2480" t="str">
        <x:v>MDW</x:v>
      </x:c>
      <x:c r="J2480" s="23" t="n">
        <x:v>3272</x:v>
      </x:c>
      <x:c r="K2480" s="24" t="n">
        <x:v>0.19009779951100245</x:v>
      </x:c>
      <x:c r="L2480" s="24" t="n">
        <x:v>0.014058679706601468</x:v>
      </x:c>
    </x:row>
    <x:row r="2481">
      <x:c r="G2481" t="str">
        <x:v>MSP-CLT</x:v>
      </x:c>
      <x:c r="H2481" t="str">
        <x:v>MSP</x:v>
      </x:c>
      <x:c r="I2481" t="str">
        <x:v>CLT</x:v>
      </x:c>
      <x:c r="J2481" s="23" t="n">
        <x:v>7361</x:v>
      </x:c>
      <x:c r="K2481" s="24" t="n">
        <x:v>0.19005569895394647</x:v>
      </x:c>
      <x:c r="L2481" s="24" t="n">
        <x:v>0.008558619752750985</x:v>
      </x:c>
    </x:row>
    <x:row r="2482">
      <x:c r="G2482" t="str">
        <x:v>SLC-PHL</x:v>
      </x:c>
      <x:c r="H2482" t="str">
        <x:v>SLC</x:v>
      </x:c>
      <x:c r="I2482" t="str">
        <x:v>PHL</x:v>
      </x:c>
      <x:c r="J2482" s="23" t="n">
        <x:v>1926</x:v>
      </x:c>
      <x:c r="K2482" s="24" t="n">
        <x:v>0.19003115264797507</x:v>
      </x:c>
      <x:c r="L2482" s="24" t="n">
        <x:v>0.01557632398753894</x:v>
      </x:c>
    </x:row>
    <x:row r="2483">
      <x:c r="G2483" t="str">
        <x:v>LGA-ROA</x:v>
      </x:c>
      <x:c r="H2483" t="str">
        <x:v>LGA</x:v>
      </x:c>
      <x:c r="I2483" t="str">
        <x:v>ROA</x:v>
      </x:c>
      <x:c r="J2483" s="23" t="n">
        <x:v>1600</x:v>
      </x:c>
      <x:c r="K2483" s="24" t="n">
        <x:v>0.19</x:v>
      </x:c>
      <x:c r="L2483" s="24" t="n">
        <x:v>0.029375</x:v>
      </x:c>
    </x:row>
    <x:row r="2484">
      <x:c r="G2484" t="str">
        <x:v>TUS-SAN</x:v>
      </x:c>
      <x:c r="H2484" t="str">
        <x:v>TUS</x:v>
      </x:c>
      <x:c r="I2484" t="str">
        <x:v>SAN</x:v>
      </x:c>
      <x:c r="J2484" s="23" t="n">
        <x:v>1816</x:v>
      </x:c>
      <x:c r="K2484" s="24" t="n">
        <x:v>0.18997797356828194</x:v>
      </x:c>
      <x:c r="L2484" s="24" t="n">
        <x:v>0.003303964757709251</x:v>
      </x:c>
    </x:row>
    <x:row r="2485">
      <x:c r="G2485" t="str">
        <x:v>FSM-DFW</x:v>
      </x:c>
      <x:c r="H2485" t="str">
        <x:v>FSM</x:v>
      </x:c>
      <x:c r="I2485" t="str">
        <x:v>DFW</x:v>
      </x:c>
      <x:c r="J2485" s="23" t="n">
        <x:v>3427</x:v>
      </x:c>
      <x:c r="K2485" s="24" t="n">
        <x:v>0.18996206594689233</x:v>
      </x:c>
      <x:c r="L2485" s="24" t="n">
        <x:v>0.028304639626495477</x:v>
      </x:c>
    </x:row>
    <x:row r="2486">
      <x:c r="G2486" t="str">
        <x:v>CLT-DTW</x:v>
      </x:c>
      <x:c r="H2486" t="str">
        <x:v>CLT</x:v>
      </x:c>
      <x:c r="I2486" t="str">
        <x:v>DTW</x:v>
      </x:c>
      <x:c r="J2486" s="23" t="n">
        <x:v>10618</x:v>
      </x:c>
      <x:c r="K2486" s="24" t="n">
        <x:v>0.18996044452815972</x:v>
      </x:c>
      <x:c r="L2486" s="24" t="n">
        <x:v>0.008381992842343191</x:v>
      </x:c>
    </x:row>
    <x:row r="2487">
      <x:c r="G2487" t="str">
        <x:v>SAV-MDW</x:v>
      </x:c>
      <x:c r="H2487" t="str">
        <x:v>SAV</x:v>
      </x:c>
      <x:c r="I2487" t="str">
        <x:v>MDW</x:v>
      </x:c>
      <x:c r="J2487" s="23" t="n">
        <x:v>1411</x:v>
      </x:c>
      <x:c r="K2487" s="24" t="n">
        <x:v>0.18993621545003544</x:v>
      </x:c>
      <x:c r="L2487" s="24" t="n">
        <x:v>0.0063784549964564135</x:v>
      </x:c>
    </x:row>
    <x:row r="2488">
      <x:c r="G2488" t="str">
        <x:v>EWR-SYR</x:v>
      </x:c>
      <x:c r="H2488" t="str">
        <x:v>EWR</x:v>
      </x:c>
      <x:c r="I2488" t="str">
        <x:v>SYR</x:v>
      </x:c>
      <x:c r="J2488" s="23" t="n">
        <x:v>1880</x:v>
      </x:c>
      <x:c r="K2488" s="24" t="n">
        <x:v>0.1898936170212766</x:v>
      </x:c>
      <x:c r="L2488" s="24" t="n">
        <x:v>0.04946808510638298</x:v>
      </x:c>
    </x:row>
    <x:row r="2489">
      <x:c r="G2489" t="str">
        <x:v>DTW-RSW</x:v>
      </x:c>
      <x:c r="H2489" t="str">
        <x:v>DTW</x:v>
      </x:c>
      <x:c r="I2489" t="str">
        <x:v>RSW</x:v>
      </x:c>
      <x:c r="J2489" s="23" t="n">
        <x:v>5556</x:v>
      </x:c>
      <x:c r="K2489" s="24" t="n">
        <x:v>0.18988480921526277</x:v>
      </x:c>
      <x:c r="L2489" s="24" t="n">
        <x:v>0.014578833693304536</x:v>
      </x:c>
    </x:row>
    <x:row r="2490">
      <x:c r="G2490" t="str">
        <x:v>MSY-CLT</x:v>
      </x:c>
      <x:c r="H2490" t="str">
        <x:v>MSY</x:v>
      </x:c>
      <x:c r="I2490" t="str">
        <x:v>CLT</x:v>
      </x:c>
      <x:c r="J2490" s="23" t="n">
        <x:v>5572</x:v>
      </x:c>
      <x:c r="K2490" s="24" t="n">
        <x:v>0.18987796123474515</x:v>
      </x:c>
      <x:c r="L2490" s="24" t="n">
        <x:v>0.012742282842785356</x:v>
      </x:c>
    </x:row>
    <x:row r="2491">
      <x:c r="G2491" t="str">
        <x:v>IAD-BNA</x:v>
      </x:c>
      <x:c r="H2491" t="str">
        <x:v>IAD</x:v>
      </x:c>
      <x:c r="I2491" t="str">
        <x:v>BNA</x:v>
      </x:c>
      <x:c r="J2491" s="23" t="n">
        <x:v>3060</x:v>
      </x:c>
      <x:c r="K2491" s="24" t="n">
        <x:v>0.18986928104575163</x:v>
      </x:c>
      <x:c r="L2491" s="24" t="n">
        <x:v>0.00392156862745098</x:v>
      </x:c>
    </x:row>
    <x:row r="2492">
      <x:c r="G2492" t="str">
        <x:v>MCO-MHT</x:v>
      </x:c>
      <x:c r="H2492" t="str">
        <x:v>MCO</x:v>
      </x:c>
      <x:c r="I2492" t="str">
        <x:v>MHT</x:v>
      </x:c>
      <x:c r="J2492" s="23" t="n">
        <x:v>2407</x:v>
      </x:c>
      <x:c r="K2492" s="24" t="n">
        <x:v>0.18986289987536353</x:v>
      </x:c>
      <x:c r="L2492" s="24" t="n">
        <x:v>0.012463647694225177</x:v>
      </x:c>
    </x:row>
    <x:row r="2493">
      <x:c r="G2493" t="str">
        <x:v>MSP-PHL</x:v>
      </x:c>
      <x:c r="H2493" t="str">
        <x:v>MSP</x:v>
      </x:c>
      <x:c r="I2493" t="str">
        <x:v>PHL</x:v>
      </x:c>
      <x:c r="J2493" s="23" t="n">
        <x:v>5404</x:v>
      </x:c>
      <x:c r="K2493" s="24" t="n">
        <x:v>0.18985936343449297</x:v>
      </x:c>
      <x:c r="L2493" s="24" t="n">
        <x:v>0.01535899333826795</x:v>
      </x:c>
    </x:row>
    <x:row r="2494">
      <x:c r="G2494" t="str">
        <x:v>IAD-ATL</x:v>
      </x:c>
      <x:c r="H2494" t="str">
        <x:v>IAD</x:v>
      </x:c>
      <x:c r="I2494" t="str">
        <x:v>ATL</x:v>
      </x:c>
      <x:c r="J2494" s="23" t="n">
        <x:v>10626</x:v>
      </x:c>
      <x:c r="K2494" s="24" t="n">
        <x:v>0.18981742894786374</x:v>
      </x:c>
      <x:c r="L2494" s="24" t="n">
        <x:v>0.011951816299642386</x:v>
      </x:c>
    </x:row>
    <x:row r="2495">
      <x:c r="G2495" t="str">
        <x:v>DFW-LAW</x:v>
      </x:c>
      <x:c r="H2495" t="str">
        <x:v>DFW</x:v>
      </x:c>
      <x:c r="I2495" t="str">
        <x:v>LAW</x:v>
      </x:c>
      <x:c r="J2495" s="23" t="n">
        <x:v>3177</x:v>
      </x:c>
      <x:c r="K2495" s="24" t="n">
        <x:v>0.18980169971671387</x:v>
      </x:c>
      <x:c r="L2495" s="24" t="n">
        <x:v>0.03367957192319799</x:v>
      </x:c>
    </x:row>
    <x:row r="2496">
      <x:c r="G2496" t="str">
        <x:v>TPA-BUF</x:v>
      </x:c>
      <x:c r="H2496" t="str">
        <x:v>TPA</x:v>
      </x:c>
      <x:c r="I2496" t="str">
        <x:v>BUF</x:v>
      </x:c>
      <x:c r="J2496" s="23" t="n">
        <x:v>2450</x:v>
      </x:c>
      <x:c r="K2496" s="24" t="n">
        <x:v>0.18979591836734694</x:v>
      </x:c>
      <x:c r="L2496" s="24" t="n">
        <x:v>0.0163265306122449</x:v>
      </x:c>
    </x:row>
    <x:row r="2497">
      <x:c r="G2497" t="str">
        <x:v>DEN-KOA</x:v>
      </x:c>
      <x:c r="H2497" t="str">
        <x:v>DEN</x:v>
      </x:c>
      <x:c r="I2497" t="str">
        <x:v>KOA</x:v>
      </x:c>
      <x:c r="J2497" s="23" t="n">
        <x:v>1096</x:v>
      </x:c>
      <x:c r="K2497" s="24" t="n">
        <x:v>0.1897810218978102</x:v>
      </x:c>
      <x:c r="L2497" s="24" t="n">
        <x:v>0.0036496350364963502</x:v>
      </x:c>
    </x:row>
    <x:row r="2498">
      <x:c r="G2498" t="str">
        <x:v>HSV-DEN</x:v>
      </x:c>
      <x:c r="H2498" t="str">
        <x:v>HSV</x:v>
      </x:c>
      <x:c r="I2498" t="str">
        <x:v>DEN</x:v>
      </x:c>
      <x:c r="J2498" s="23" t="n">
        <x:v>2103</x:v>
      </x:c>
      <x:c r="K2498" s="24" t="n">
        <x:v>0.18972895863052783</x:v>
      </x:c>
      <x:c r="L2498" s="24" t="n">
        <x:v>0.006181645268663814</x:v>
      </x:c>
    </x:row>
    <x:row r="2499">
      <x:c r="G2499" t="str">
        <x:v>ICT-ORD</x:v>
      </x:c>
      <x:c r="H2499" t="str">
        <x:v>ICT</x:v>
      </x:c>
      <x:c r="I2499" t="str">
        <x:v>ORD</x:v>
      </x:c>
      <x:c r="J2499" s="23" t="n">
        <x:v>4987</x:v>
      </x:c>
      <x:c r="K2499" s="24" t="n">
        <x:v>0.18969320232604772</x:v>
      </x:c>
      <x:c r="L2499" s="24" t="n">
        <x:v>0.019049528774814518</x:v>
      </x:c>
    </x:row>
    <x:row r="2500">
      <x:c r="G2500" t="str">
        <x:v>RSW-IAH</x:v>
      </x:c>
      <x:c r="H2500" t="str">
        <x:v>RSW</x:v>
      </x:c>
      <x:c r="I2500" t="str">
        <x:v>IAH</x:v>
      </x:c>
      <x:c r="J2500" s="23" t="n">
        <x:v>2289</x:v>
      </x:c>
      <x:c r="K2500" s="24" t="n">
        <x:v>0.18960244648318042</x:v>
      </x:c>
      <x:c r="L2500" s="24" t="n">
        <x:v>0.013979903888160769</x:v>
      </x:c>
    </x:row>
    <x:row r="2501">
      <x:c r="G2501" t="str">
        <x:v>IAH-SLC</x:v>
      </x:c>
      <x:c r="H2501" t="str">
        <x:v>IAH</x:v>
      </x:c>
      <x:c r="I2501" t="str">
        <x:v>SLC</x:v>
      </x:c>
      <x:c r="J2501" s="23" t="n">
        <x:v>5981</x:v>
      </x:c>
      <x:c r="K2501" s="24" t="n">
        <x:v>0.18960040127069053</x:v>
      </x:c>
      <x:c r="L2501" s="24" t="n">
        <x:v>0.008192609931449591</x:v>
      </x:c>
    </x:row>
    <x:row r="2502">
      <x:c r="G2502" t="str">
        <x:v>DTW-MKE</x:v>
      </x:c>
      <x:c r="H2502" t="str">
        <x:v>DTW</x:v>
      </x:c>
      <x:c r="I2502" t="str">
        <x:v>MKE</x:v>
      </x:c>
      <x:c r="J2502" s="23" t="n">
        <x:v>4304</x:v>
      </x:c>
      <x:c r="K2502" s="24" t="n">
        <x:v>0.1895910780669145</x:v>
      </x:c>
      <x:c r="L2502" s="24" t="n">
        <x:v>0.006970260223048327</x:v>
      </x:c>
    </x:row>
    <x:row r="2503">
      <x:c r="G2503" t="str">
        <x:v>MDW-ATL</x:v>
      </x:c>
      <x:c r="H2503" t="str">
        <x:v>MDW</x:v>
      </x:c>
      <x:c r="I2503" t="str">
        <x:v>ATL</x:v>
      </x:c>
      <x:c r="J2503" s="23" t="n">
        <x:v>10946</x:v>
      </x:c>
      <x:c r="K2503" s="24" t="n">
        <x:v>0.18956696510140691</x:v>
      </x:c>
      <x:c r="L2503" s="24" t="n">
        <x:v>0.0138863511785127</x:v>
      </x:c>
    </x:row>
    <x:row r="2504">
      <x:c r="G2504" t="str">
        <x:v>RIC-BOS</x:v>
      </x:c>
      <x:c r="H2504" t="str">
        <x:v>RIC</x:v>
      </x:c>
      <x:c r="I2504" t="str">
        <x:v>BOS</x:v>
      </x:c>
      <x:c r="J2504" s="23" t="n">
        <x:v>5297</x:v>
      </x:c>
      <x:c r="K2504" s="24" t="n">
        <x:v>0.18954124976401737</x:v>
      </x:c>
      <x:c r="L2504" s="24" t="n">
        <x:v>0.018878610534264678</x:v>
      </x:c>
    </x:row>
    <x:row r="2505">
      <x:c r="G2505" t="str">
        <x:v>DTW-ALB</x:v>
      </x:c>
      <x:c r="H2505" t="str">
        <x:v>DTW</x:v>
      </x:c>
      <x:c r="I2505" t="str">
        <x:v>ALB</x:v>
      </x:c>
      <x:c r="J2505" s="23" t="n">
        <x:v>3758</x:v>
      </x:c>
      <x:c r="K2505" s="24" t="n">
        <x:v>0.18946248004257585</x:v>
      </x:c>
      <x:c r="L2505" s="24" t="n">
        <x:v>0.007716870675891432</x:v>
      </x:c>
    </x:row>
    <x:row r="2506">
      <x:c r="G2506" t="str">
        <x:v>PHL-MSP</x:v>
      </x:c>
      <x:c r="H2506" t="str">
        <x:v>PHL</x:v>
      </x:c>
      <x:c r="I2506" t="str">
        <x:v>MSP</x:v>
      </x:c>
      <x:c r="J2506" s="23" t="n">
        <x:v>5405</x:v>
      </x:c>
      <x:c r="K2506" s="24" t="n">
        <x:v>0.18945420906567992</x:v>
      </x:c>
      <x:c r="L2506" s="24" t="n">
        <x:v>0.01628122109158187</x:v>
      </x:c>
    </x:row>
    <x:row r="2507">
      <x:c r="G2507" t="str">
        <x:v>FLG-DFW</x:v>
      </x:c>
      <x:c r="H2507" t="str">
        <x:v>FLG</x:v>
      </x:c>
      <x:c r="I2507" t="str">
        <x:v>DFW</x:v>
      </x:c>
      <x:c r="J2507" s="23" t="n">
        <x:v>1288</x:v>
      </x:c>
      <x:c r="K2507" s="24" t="n">
        <x:v>0.18944099378881987</x:v>
      </x:c>
      <x:c r="L2507" s="24" t="n">
        <x:v>0.02096273291925466</x:v>
      </x:c>
    </x:row>
    <x:row r="2508">
      <x:c r="G2508" t="str">
        <x:v>OKC-ORD</x:v>
      </x:c>
      <x:c r="H2508" t="str">
        <x:v>OKC</x:v>
      </x:c>
      <x:c r="I2508" t="str">
        <x:v>ORD</x:v>
      </x:c>
      <x:c r="J2508" s="23" t="n">
        <x:v>6282</x:v>
      </x:c>
      <x:c r="K2508" s="24" t="n">
        <x:v>0.18943011779688</x:v>
      </x:c>
      <x:c r="L2508" s="24" t="n">
        <x:v>0.010983763132760267</x:v>
      </x:c>
    </x:row>
    <x:row r="2509">
      <x:c r="G2509" t="str">
        <x:v>STT-CLT</x:v>
      </x:c>
      <x:c r="H2509" t="str">
        <x:v>STT</x:v>
      </x:c>
      <x:c r="I2509" t="str">
        <x:v>CLT</x:v>
      </x:c>
      <x:c r="J2509" s="23" t="n">
        <x:v>1679</x:v>
      </x:c>
      <x:c r="K2509" s="24" t="n">
        <x:v>0.1893984514592019</x:v>
      </x:c>
      <x:c r="L2509" s="24" t="n">
        <x:v>0.007742703990470518</x:v>
      </x:c>
    </x:row>
    <x:row r="2510">
      <x:c r="G2510" t="str">
        <x:v>FCA-DEN</x:v>
      </x:c>
      <x:c r="H2510" t="str">
        <x:v>FCA</x:v>
      </x:c>
      <x:c r="I2510" t="str">
        <x:v>DEN</x:v>
      </x:c>
      <x:c r="J2510" s="23" t="n">
        <x:v>3163</x:v>
      </x:c>
      <x:c r="K2510" s="24" t="n">
        <x:v>0.18937717356939615</x:v>
      </x:c>
      <x:c r="L2510" s="24" t="n">
        <x:v>0.006639266519127411</x:v>
      </x:c>
    </x:row>
    <x:row r="2511">
      <x:c r="G2511" t="str">
        <x:v>GRR-DEN</x:v>
      </x:c>
      <x:c r="H2511" t="str">
        <x:v>GRR</x:v>
      </x:c>
      <x:c r="I2511" t="str">
        <x:v>DEN</x:v>
      </x:c>
      <x:c r="J2511" s="23" t="n">
        <x:v>3782</x:v>
      </x:c>
      <x:c r="K2511" s="24" t="n">
        <x:v>0.18931782125859334</x:v>
      </x:c>
      <x:c r="L2511" s="24" t="n">
        <x:v>0.005552617662612375</x:v>
      </x:c>
    </x:row>
    <x:row r="2512">
      <x:c r="G2512" t="str">
        <x:v>SEA-IAD</x:v>
      </x:c>
      <x:c r="H2512" t="str">
        <x:v>SEA</x:v>
      </x:c>
      <x:c r="I2512" t="str">
        <x:v>IAD</x:v>
      </x:c>
      <x:c r="J2512" s="23" t="n">
        <x:v>6452</x:v>
      </x:c>
      <x:c r="K2512" s="24" t="n">
        <x:v>0.18924364538127714</x:v>
      </x:c>
      <x:c r="L2512" s="24" t="n">
        <x:v>0.011469311841289522</x:v>
      </x:c>
    </x:row>
    <x:row r="2513">
      <x:c r="G2513" t="str">
        <x:v>STL-TUL</x:v>
      </x:c>
      <x:c r="H2513" t="str">
        <x:v>STL</x:v>
      </x:c>
      <x:c r="I2513" t="str">
        <x:v>TUL</x:v>
      </x:c>
      <x:c r="J2513" s="23" t="n">
        <x:v>2040</x:v>
      </x:c>
      <x:c r="K2513" s="24" t="n">
        <x:v>0.1892156862745098</x:v>
      </x:c>
      <x:c r="L2513" s="24" t="n">
        <x:v>0.00784313725490196</x:v>
      </x:c>
    </x:row>
    <x:row r="2514">
      <x:c r="G2514" t="str">
        <x:v>CVG-DEN</x:v>
      </x:c>
      <x:c r="H2514" t="str">
        <x:v>CVG</x:v>
      </x:c>
      <x:c r="I2514" t="str">
        <x:v>DEN</x:v>
      </x:c>
      <x:c r="J2514" s="23" t="n">
        <x:v>5275</x:v>
      </x:c>
      <x:c r="K2514" s="24" t="n">
        <x:v>0.18919431279620852</x:v>
      </x:c>
      <x:c r="L2514" s="24" t="n">
        <x:v>0.008341232227488152</x:v>
      </x:c>
    </x:row>
    <x:row r="2515">
      <x:c r="G2515" t="str">
        <x:v>DEN-LBL</x:v>
      </x:c>
      <x:c r="H2515" t="str">
        <x:v>DEN</x:v>
      </x:c>
      <x:c r="I2515" t="str">
        <x:v>LBL</x:v>
      </x:c>
      <x:c r="J2515" s="23" t="n">
        <x:v>1406</x:v>
      </x:c>
      <x:c r="K2515" s="24" t="n">
        <x:v>0.1891891891891892</x:v>
      </x:c>
      <x:c r="L2515" s="24" t="n">
        <x:v>0.021337126600284494</x:v>
      </x:c>
    </x:row>
    <x:row r="2516">
      <x:c r="G2516" t="str">
        <x:v>SLC-SEA</x:v>
      </x:c>
      <x:c r="H2516" t="str">
        <x:v>SLC</x:v>
      </x:c>
      <x:c r="I2516" t="str">
        <x:v>SEA</x:v>
      </x:c>
      <x:c r="J2516" s="23" t="n">
        <x:v>11782</x:v>
      </x:c>
      <x:c r="K2516" s="24" t="n">
        <x:v>0.18918689526396198</x:v>
      </x:c>
      <x:c r="L2516" s="24" t="n">
        <x:v>0.0072992700729927005</x:v>
      </x:c>
    </x:row>
    <x:row r="2517">
      <x:c r="G2517" t="str">
        <x:v>SFO-RDD</x:v>
      </x:c>
      <x:c r="H2517" t="str">
        <x:v>SFO</x:v>
      </x:c>
      <x:c r="I2517" t="str">
        <x:v>RDD</x:v>
      </x:c>
      <x:c r="J2517" s="23" t="n">
        <x:v>2791</x:v>
      </x:c>
      <x:c r="K2517" s="24" t="n">
        <x:v>0.18917950555356502</x:v>
      </x:c>
      <x:c r="L2517" s="24" t="n">
        <x:v>0.013973486205661053</x:v>
      </x:c>
    </x:row>
    <x:row r="2518">
      <x:c r="G2518" t="str">
        <x:v>FAT-PHX</x:v>
      </x:c>
      <x:c r="H2518" t="str">
        <x:v>FAT</x:v>
      </x:c>
      <x:c r="I2518" t="str">
        <x:v>PHX</x:v>
      </x:c>
      <x:c r="J2518" s="23" t="n">
        <x:v>4340</x:v>
      </x:c>
      <x:c r="K2518" s="24" t="n">
        <x:v>0.1891705069124424</x:v>
      </x:c>
      <x:c r="L2518" s="24" t="n">
        <x:v>0.0016129032258064516</x:v>
      </x:c>
    </x:row>
    <x:row r="2519">
      <x:c r="G2519" t="str">
        <x:v>ORD-MCW</x:v>
      </x:c>
      <x:c r="H2519" t="str">
        <x:v>ORD</x:v>
      </x:c>
      <x:c r="I2519" t="str">
        <x:v>MCW</x:v>
      </x:c>
      <x:c r="J2519" s="23" t="n">
        <x:v>1401</x:v>
      </x:c>
      <x:c r="K2519" s="24" t="n">
        <x:v>0.1891506067094932</x:v>
      </x:c>
      <x:c r="L2519" s="24" t="n">
        <x:v>0.029978586723768737</x:v>
      </x:c>
    </x:row>
    <x:row r="2520">
      <x:c r="G2520" t="str">
        <x:v>HNL-SFO</x:v>
      </x:c>
      <x:c r="H2520" t="str">
        <x:v>HNL</x:v>
      </x:c>
      <x:c r="I2520" t="str">
        <x:v>SFO</x:v>
      </x:c>
      <x:c r="J2520" s="23" t="n">
        <x:v>7473</x:v>
      </x:c>
      <x:c r="K2520" s="24" t="n">
        <x:v>0.1890806904857487</x:v>
      </x:c>
      <x:c r="L2520" s="24" t="n">
        <x:v>0.014987287568580221</x:v>
      </x:c>
    </x:row>
    <x:row r="2521">
      <x:c r="G2521" t="str">
        <x:v>BZN-SEA</x:v>
      </x:c>
      <x:c r="H2521" t="str">
        <x:v>BZN</x:v>
      </x:c>
      <x:c r="I2521" t="str">
        <x:v>SEA</x:v>
      </x:c>
      <x:c r="J2521" s="23" t="n">
        <x:v>2555</x:v>
      </x:c>
      <x:c r="K2521" s="24" t="n">
        <x:v>0.18904109589041096</x:v>
      </x:c>
      <x:c r="L2521" s="24" t="n">
        <x:v>0.009001956947162427</x:v>
      </x:c>
    </x:row>
    <x:row r="2522">
      <x:c r="G2522" t="str">
        <x:v>MKE-DAL</x:v>
      </x:c>
      <x:c r="H2522" t="str">
        <x:v>MKE</x:v>
      </x:c>
      <x:c r="I2522" t="str">
        <x:v>DAL</x:v>
      </x:c>
      <x:c r="J2522" s="23" t="n">
        <x:v>1185</x:v>
      </x:c>
      <x:c r="K2522" s="24" t="n">
        <x:v>0.1890295358649789</x:v>
      </x:c>
      <x:c r="L2522" s="24" t="n">
        <x:v>0.01181434599156118</x:v>
      </x:c>
    </x:row>
    <x:row r="2523">
      <x:c r="G2523" t="str">
        <x:v>STT-MIA</x:v>
      </x:c>
      <x:c r="H2523" t="str">
        <x:v>STT</x:v>
      </x:c>
      <x:c r="I2523" t="str">
        <x:v>MIA</x:v>
      </x:c>
      <x:c r="J2523" s="23" t="n">
        <x:v>2598</x:v>
      </x:c>
      <x:c r="K2523" s="24" t="n">
        <x:v>0.18899153194765203</x:v>
      </x:c>
      <x:c r="L2523" s="24" t="n">
        <x:v>0.004618937644341801</x:v>
      </x:c>
    </x:row>
    <x:row r="2524">
      <x:c r="G2524" t="str">
        <x:v>MCI-BWI</x:v>
      </x:c>
      <x:c r="H2524" t="str">
        <x:v>MCI</x:v>
      </x:c>
      <x:c r="I2524" t="str">
        <x:v>BWI</x:v>
      </x:c>
      <x:c r="J2524" s="23" t="n">
        <x:v>2487</x:v>
      </x:c>
      <x:c r="K2524" s="24" t="n">
        <x:v>0.1889827100924809</x:v>
      </x:c>
      <x:c r="L2524" s="24" t="n">
        <x:v>0.012464817048652996</x:v>
      </x:c>
    </x:row>
    <x:row r="2525">
      <x:c r="G2525" t="str">
        <x:v>ELP-DEN</x:v>
      </x:c>
      <x:c r="H2525" t="str">
        <x:v>ELP</x:v>
      </x:c>
      <x:c r="I2525" t="str">
        <x:v>DEN</x:v>
      </x:c>
      <x:c r="J2525" s="23" t="n">
        <x:v>5293</x:v>
      </x:c>
      <x:c r="K2525" s="24" t="n">
        <x:v>0.1889287738522577</x:v>
      </x:c>
      <x:c r="L2525" s="24" t="n">
        <x:v>0.008501794823351597</x:v>
      </x:c>
    </x:row>
    <x:row r="2526">
      <x:c r="G2526" t="str">
        <x:v>ATL-BDL</x:v>
      </x:c>
      <x:c r="H2526" t="str">
        <x:v>ATL</x:v>
      </x:c>
      <x:c r="I2526" t="str">
        <x:v>BDL</x:v>
      </x:c>
      <x:c r="J2526" s="23" t="n">
        <x:v>6463</x:v>
      </x:c>
      <x:c r="K2526" s="24" t="n">
        <x:v>0.18892155345814637</x:v>
      </x:c>
      <x:c r="L2526" s="24" t="n">
        <x:v>0.008819433699520346</x:v>
      </x:c>
    </x:row>
    <x:row r="2527">
      <x:c r="G2527" t="str">
        <x:v>SYR-DCA</x:v>
      </x:c>
      <x:c r="H2527" t="str">
        <x:v>SYR</x:v>
      </x:c>
      <x:c r="I2527" t="str">
        <x:v>DCA</x:v>
      </x:c>
      <x:c r="J2527" s="23" t="n">
        <x:v>3229</x:v>
      </x:c>
      <x:c r="K2527" s="24" t="n">
        <x:v>0.18891297615360791</x:v>
      </x:c>
      <x:c r="L2527" s="24" t="n">
        <x:v>0.03096934035305048</x:v>
      </x:c>
    </x:row>
    <x:row r="2528">
      <x:c r="G2528" t="str">
        <x:v>ROC-JFK</x:v>
      </x:c>
      <x:c r="H2528" t="str">
        <x:v>ROC</x:v>
      </x:c>
      <x:c r="I2528" t="str">
        <x:v>JFK</x:v>
      </x:c>
      <x:c r="J2528" s="23" t="n">
        <x:v>4489</x:v>
      </x:c>
      <x:c r="K2528" s="24" t="n">
        <x:v>0.18890621519269324</x:v>
      </x:c>
      <x:c r="L2528" s="24" t="n">
        <x:v>0.033415014479839605</x:v>
      </x:c>
    </x:row>
    <x:row r="2529">
      <x:c r="G2529" t="str">
        <x:v>BNA-MSY</x:v>
      </x:c>
      <x:c r="H2529" t="str">
        <x:v>BNA</x:v>
      </x:c>
      <x:c r="I2529" t="str">
        <x:v>MSY</x:v>
      </x:c>
      <x:c r="J2529" s="23" t="n">
        <x:v>4035</x:v>
      </x:c>
      <x:c r="K2529" s="24" t="n">
        <x:v>0.18884758364312268</x:v>
      </x:c>
      <x:c r="L2529" s="24" t="n">
        <x:v>0.009417596034696406</x:v>
      </x:c>
    </x:row>
    <x:row r="2530">
      <x:c r="G2530" t="str">
        <x:v>RDU-LAS</x:v>
      </x:c>
      <x:c r="H2530" t="str">
        <x:v>RDU</x:v>
      </x:c>
      <x:c r="I2530" t="str">
        <x:v>LAS</x:v>
      </x:c>
      <x:c r="J2530" s="23" t="n">
        <x:v>1806</x:v>
      </x:c>
      <x:c r="K2530" s="24" t="n">
        <x:v>0.18881506090808417</x:v>
      </x:c>
      <x:c r="L2530" s="24" t="n">
        <x:v>0.007198228128460687</x:v>
      </x:c>
    </x:row>
    <x:row r="2531">
      <x:c r="G2531" t="str">
        <x:v>PHX-SMF</x:v>
      </x:c>
      <x:c r="H2531" t="str">
        <x:v>PHX</x:v>
      </x:c>
      <x:c r="I2531" t="str">
        <x:v>SMF</x:v>
      </x:c>
      <x:c r="J2531" s="23" t="n">
        <x:v>10646</x:v>
      </x:c>
      <x:c r="K2531" s="24" t="n">
        <x:v>0.18880330640616194</x:v>
      </x:c>
      <x:c r="L2531" s="24" t="n">
        <x:v>0.0018786398647379298</x:v>
      </x:c>
    </x:row>
    <x:row r="2532">
      <x:c r="G2532" t="str">
        <x:v>ATL-SEA</x:v>
      </x:c>
      <x:c r="H2532" t="str">
        <x:v>ATL</x:v>
      </x:c>
      <x:c r="I2532" t="str">
        <x:v>SEA</x:v>
      </x:c>
      <x:c r="J2532" s="23" t="n">
        <x:v>10313</x:v>
      </x:c>
      <x:c r="K2532" s="24" t="n">
        <x:v>0.1887908465044119</x:v>
      </x:c>
      <x:c r="L2532" s="24" t="n">
        <x:v>0.008242024629108892</x:v>
      </x:c>
    </x:row>
    <x:row r="2533">
      <x:c r="G2533" t="str">
        <x:v>ATL-CLT</x:v>
      </x:c>
      <x:c r="H2533" t="str">
        <x:v>ATL</x:v>
      </x:c>
      <x:c r="I2533" t="str">
        <x:v>CLT</x:v>
      </x:c>
      <x:c r="J2533" s="23" t="n">
        <x:v>15102</x:v>
      </x:c>
      <x:c r="K2533" s="24" t="n">
        <x:v>0.18878294265660178</x:v>
      </x:c>
      <x:c r="L2533" s="24" t="n">
        <x:v>0.010859488809429215</x:v>
      </x:c>
    </x:row>
    <x:row r="2534">
      <x:c r="G2534" t="str">
        <x:v>SFO-MSY</x:v>
      </x:c>
      <x:c r="H2534" t="str">
        <x:v>SFO</x:v>
      </x:c>
      <x:c r="I2534" t="str">
        <x:v>MSY</x:v>
      </x:c>
      <x:c r="J2534" s="23" t="n">
        <x:v>1515</x:v>
      </x:c>
      <x:c r="K2534" s="24" t="n">
        <x:v>0.18877887788778877</x:v>
      </x:c>
      <x:c r="L2534" s="24" t="n">
        <x:v>0.009240924092409241</x:v>
      </x:c>
    </x:row>
    <x:row r="2535">
      <x:c r="G2535" t="str">
        <x:v>ORD-IND</x:v>
      </x:c>
      <x:c r="H2535" t="str">
        <x:v>ORD</x:v>
      </x:c>
      <x:c r="I2535" t="str">
        <x:v>IND</x:v>
      </x:c>
      <x:c r="J2535" s="23" t="n">
        <x:v>12068</x:v>
      </x:c>
      <x:c r="K2535" s="24" t="n">
        <x:v>0.18876367252237322</x:v>
      </x:c>
      <x:c r="L2535" s="24" t="n">
        <x:v>0.016241299303944315</x:v>
      </x:c>
    </x:row>
    <x:row r="2536">
      <x:c r="G2536" t="str">
        <x:v>SFO-IND</x:v>
      </x:c>
      <x:c r="H2536" t="str">
        <x:v>SFO</x:v>
      </x:c>
      <x:c r="I2536" t="str">
        <x:v>IND</x:v>
      </x:c>
      <x:c r="J2536" s="23" t="n">
        <x:v>1314</x:v>
      </x:c>
      <x:c r="K2536" s="24" t="n">
        <x:v>0.1887366818873668</x:v>
      </x:c>
      <x:c r="L2536" s="24" t="n">
        <x:v>0.0091324200913242</x:v>
      </x:c>
    </x:row>
    <x:row r="2537">
      <x:c r="G2537" t="str">
        <x:v>PHL-EYW</x:v>
      </x:c>
      <x:c r="H2537" t="str">
        <x:v>PHL</x:v>
      </x:c>
      <x:c r="I2537" t="str">
        <x:v>EYW</x:v>
      </x:c>
      <x:c r="J2537" s="23" t="n">
        <x:v>1293</x:v>
      </x:c>
      <x:c r="K2537" s="24" t="n">
        <x:v>0.18870843000773396</x:v>
      </x:c>
      <x:c r="L2537" s="24" t="n">
        <x:v>0.013921113689095127</x:v>
      </x:c>
    </x:row>
    <x:row r="2538">
      <x:c r="G2538" t="str">
        <x:v>EWR-MYR</x:v>
      </x:c>
      <x:c r="H2538" t="str">
        <x:v>EWR</x:v>
      </x:c>
      <x:c r="I2538" t="str">
        <x:v>MYR</x:v>
      </x:c>
      <x:c r="J2538" s="23" t="n">
        <x:v>3297</x:v>
      </x:c>
      <x:c r="K2538" s="24" t="n">
        <x:v>0.1886563542614498</x:v>
      </x:c>
      <x:c r="L2538" s="24" t="n">
        <x:v>0.034880194115862906</x:v>
      </x:c>
    </x:row>
    <x:row r="2539">
      <x:c r="G2539" t="str">
        <x:v>XNA-CLT</x:v>
      </x:c>
      <x:c r="H2539" t="str">
        <x:v>XNA</x:v>
      </x:c>
      <x:c r="I2539" t="str">
        <x:v>CLT</x:v>
      </x:c>
      <x:c r="J2539" s="23" t="n">
        <x:v>4628</x:v>
      </x:c>
      <x:c r="K2539" s="24" t="n">
        <x:v>0.1886343993085566</x:v>
      </x:c>
      <x:c r="L2539" s="24" t="n">
        <x:v>0.009939498703543647</x:v>
      </x:c>
    </x:row>
    <x:row r="2540">
      <x:c r="G2540" t="str">
        <x:v>ORD-BHM</x:v>
      </x:c>
      <x:c r="H2540" t="str">
        <x:v>ORD</x:v>
      </x:c>
      <x:c r="I2540" t="str">
        <x:v>BHM</x:v>
      </x:c>
      <x:c r="J2540" s="23" t="n">
        <x:v>2094</x:v>
      </x:c>
      <x:c r="K2540" s="24" t="n">
        <x:v>0.1886341929321872</x:v>
      </x:c>
      <x:c r="L2540" s="24" t="n">
        <x:v>0.01002865329512894</x:v>
      </x:c>
    </x:row>
    <x:row r="2541">
      <x:c r="G2541" t="str">
        <x:v>CMH-DCA</x:v>
      </x:c>
      <x:c r="H2541" t="str">
        <x:v>CMH</x:v>
      </x:c>
      <x:c r="I2541" t="str">
        <x:v>DCA</x:v>
      </x:c>
      <x:c r="J2541" s="23" t="n">
        <x:v>5982</x:v>
      </x:c>
      <x:c r="K2541" s="24" t="n">
        <x:v>0.18856569709127383</x:v>
      </x:c>
      <x:c r="L2541" s="24" t="n">
        <x:v>0.019391507856904047</x:v>
      </x:c>
    </x:row>
    <x:row r="2542">
      <x:c r="G2542" t="str">
        <x:v>PHX-ONT</x:v>
      </x:c>
      <x:c r="H2542" t="str">
        <x:v>PHX</x:v>
      </x:c>
      <x:c r="I2542" t="str">
        <x:v>ONT</x:v>
      </x:c>
      <x:c r="J2542" s="23" t="n">
        <x:v>9287</x:v>
      </x:c>
      <x:c r="K2542" s="24" t="n">
        <x:v>0.18854312479810487</x:v>
      </x:c>
      <x:c r="L2542" s="24" t="n">
        <x:v>0.004307095940562076</x:v>
      </x:c>
    </x:row>
    <x:row r="2543">
      <x:c r="G2543" t="str">
        <x:v>IAD-FLL</x:v>
      </x:c>
      <x:c r="H2543" t="str">
        <x:v>IAD</x:v>
      </x:c>
      <x:c r="I2543" t="str">
        <x:v>FLL</x:v>
      </x:c>
      <x:c r="J2543" s="23" t="n">
        <x:v>2335</x:v>
      </x:c>
      <x:c r="K2543" s="24" t="n">
        <x:v>0.18843683083511778</x:v>
      </x:c>
      <x:c r="L2543" s="24" t="n">
        <x:v>0.008993576017130621</x:v>
      </x:c>
    </x:row>
    <x:row r="2544">
      <x:c r="G2544" t="str">
        <x:v>SDF-ORD</x:v>
      </x:c>
      <x:c r="H2544" t="str">
        <x:v>SDF</x:v>
      </x:c>
      <x:c r="I2544" t="str">
        <x:v>ORD</x:v>
      </x:c>
      <x:c r="J2544" s="23" t="n">
        <x:v>6581</x:v>
      </x:c>
      <x:c r="K2544" s="24" t="n">
        <x:v>0.18842121258167452</x:v>
      </x:c>
      <x:c r="L2544" s="24" t="n">
        <x:v>0.013219875398875551</x:v>
      </x:c>
    </x:row>
    <x:row r="2545">
      <x:c r="G2545" t="str">
        <x:v>OMA-CLT</x:v>
      </x:c>
      <x:c r="H2545" t="str">
        <x:v>OMA</x:v>
      </x:c>
      <x:c r="I2545" t="str">
        <x:v>CLT</x:v>
      </x:c>
      <x:c r="J2545" s="23" t="n">
        <x:v>2553</x:v>
      </x:c>
      <x:c r="K2545" s="24" t="n">
        <x:v>0.18840579710144928</x:v>
      </x:c>
      <x:c r="L2545" s="24" t="n">
        <x:v>0.01135918527222875</x:v>
      </x:c>
    </x:row>
    <x:row r="2546">
      <x:c r="G2546" t="str">
        <x:v>ORD-RAP</x:v>
      </x:c>
      <x:c r="H2546" t="str">
        <x:v>ORD</x:v>
      </x:c>
      <x:c r="I2546" t="str">
        <x:v>RAP</x:v>
      </x:c>
      <x:c r="J2546" s="23" t="n">
        <x:v>1343</x:v>
      </x:c>
      <x:c r="K2546" s="24" t="n">
        <x:v>0.18838421444527179</x:v>
      </x:c>
      <x:c r="L2546" s="24" t="n">
        <x:v>0.011169024571854059</x:v>
      </x:c>
    </x:row>
    <x:row r="2547">
      <x:c r="G2547" t="str">
        <x:v>LGA-JAX</x:v>
      </x:c>
      <x:c r="H2547" t="str">
        <x:v>LGA</x:v>
      </x:c>
      <x:c r="I2547" t="str">
        <x:v>JAX</x:v>
      </x:c>
      <x:c r="J2547" s="23" t="n">
        <x:v>3122</x:v>
      </x:c>
      <x:c r="K2547" s="24" t="n">
        <x:v>0.18834080717488788</x:v>
      </x:c>
      <x:c r="L2547" s="24" t="n">
        <x:v>0.024023062139654067</x:v>
      </x:c>
    </x:row>
    <x:row r="2548">
      <x:c r="G2548" t="str">
        <x:v>DCA-SDF</x:v>
      </x:c>
      <x:c r="H2548" t="str">
        <x:v>DCA</x:v>
      </x:c>
      <x:c r="I2548" t="str">
        <x:v>SDF</x:v>
      </x:c>
      <x:c r="J2548" s="23" t="n">
        <x:v>3197</x:v>
      </x:c>
      <x:c r="K2548" s="24" t="n">
        <x:v>0.18830153268689395</x:v>
      </x:c>
      <x:c r="L2548" s="24" t="n">
        <x:v>0.03534563653425086</x:v>
      </x:c>
    </x:row>
    <x:row r="2549">
      <x:c r="G2549" t="str">
        <x:v>DEN-BFF</x:v>
      </x:c>
      <x:c r="H2549" t="str">
        <x:v>DEN</x:v>
      </x:c>
      <x:c r="I2549" t="str">
        <x:v>BFF</x:v>
      </x:c>
      <x:c r="J2549" s="23" t="n">
        <x:v>1859</x:v>
      </x:c>
      <x:c r="K2549" s="24" t="n">
        <x:v>0.18827326519634213</x:v>
      </x:c>
      <x:c r="L2549" s="24" t="n">
        <x:v>0.023130715438407747</x:v>
      </x:c>
    </x:row>
    <x:row r="2550">
      <x:c r="G2550" t="str">
        <x:v>PHX-DAL</x:v>
      </x:c>
      <x:c r="H2550" t="str">
        <x:v>PHX</x:v>
      </x:c>
      <x:c r="I2550" t="str">
        <x:v>DAL</x:v>
      </x:c>
      <x:c r="J2550" s="23" t="n">
        <x:v>9047</x:v>
      </x:c>
      <x:c r="K2550" s="24" t="n">
        <x:v>0.18823919531336356</x:v>
      </x:c>
      <x:c r="L2550" s="24" t="n">
        <x:v>0.015364209130098375</x:v>
      </x:c>
    </x:row>
    <x:row r="2551">
      <x:c r="G2551" t="str">
        <x:v>FWA-ATL</x:v>
      </x:c>
      <x:c r="H2551" t="str">
        <x:v>FWA</x:v>
      </x:c>
      <x:c r="I2551" t="str">
        <x:v>ATL</x:v>
      </x:c>
      <x:c r="J2551" s="23" t="n">
        <x:v>2954</x:v>
      </x:c>
      <x:c r="K2551" s="24" t="n">
        <x:v>0.1882193635748138</x:v>
      </x:c>
      <x:c r="L2551" s="24" t="n">
        <x:v>0.009478672985781991</x:v>
      </x:c>
    </x:row>
    <x:row r="2552">
      <x:c r="G2552" t="str">
        <x:v>DTW-GSP</x:v>
      </x:c>
      <x:c r="H2552" t="str">
        <x:v>DTW</x:v>
      </x:c>
      <x:c r="I2552" t="str">
        <x:v>GSP</x:v>
      </x:c>
      <x:c r="J2552" s="23" t="n">
        <x:v>1695</x:v>
      </x:c>
      <x:c r="K2552" s="24" t="n">
        <x:v>0.1882005899705015</x:v>
      </x:c>
      <x:c r="L2552" s="24" t="n">
        <x:v>0.008849557522123894</x:v>
      </x:c>
    </x:row>
    <x:row r="2553">
      <x:c r="G2553" t="str">
        <x:v>SFO-FAT</x:v>
      </x:c>
      <x:c r="H2553" t="str">
        <x:v>SFO</x:v>
      </x:c>
      <x:c r="I2553" t="str">
        <x:v>FAT</x:v>
      </x:c>
      <x:c r="J2553" s="23" t="n">
        <x:v>3651</x:v>
      </x:c>
      <x:c r="K2553" s="24" t="n">
        <x:v>0.18816762530813474</x:v>
      </x:c>
      <x:c r="L2553" s="24" t="n">
        <x:v>0.011503697617091208</x:v>
      </x:c>
    </x:row>
    <x:row r="2554">
      <x:c r="G2554" t="str">
        <x:v>DTW-PVD</x:v>
      </x:c>
      <x:c r="H2554" t="str">
        <x:v>DTW</x:v>
      </x:c>
      <x:c r="I2554" t="str">
        <x:v>PVD</x:v>
      </x:c>
      <x:c r="J2554" s="23" t="n">
        <x:v>2185</x:v>
      </x:c>
      <x:c r="K2554" s="24" t="n">
        <x:v>0.18810068649885583</x:v>
      </x:c>
      <x:c r="L2554" s="24" t="n">
        <x:v>0.012356979405034324</x:v>
      </x:c>
    </x:row>
    <x:row r="2555">
      <x:c r="G2555" t="str">
        <x:v>LGA-DSM</x:v>
      </x:c>
      <x:c r="H2555" t="str">
        <x:v>LGA</x:v>
      </x:c>
      <x:c r="I2555" t="str">
        <x:v>DSM</x:v>
      </x:c>
      <x:c r="J2555" s="23" t="n">
        <x:v>1898</x:v>
      </x:c>
      <x:c r="K2555" s="24" t="n">
        <x:v>0.1880927291886196</x:v>
      </x:c>
      <x:c r="L2555" s="24" t="n">
        <x:v>0.040042149631190724</x:v>
      </x:c>
    </x:row>
    <x:row r="2556">
      <x:c r="G2556" t="str">
        <x:v>SEA-PDX</x:v>
      </x:c>
      <x:c r="H2556" t="str">
        <x:v>SEA</x:v>
      </x:c>
      <x:c r="I2556" t="str">
        <x:v>PDX</x:v>
      </x:c>
      <x:c r="J2556" s="23" t="n">
        <x:v>16254</x:v>
      </x:c>
      <x:c r="K2556" s="24" t="n">
        <x:v>0.18807678110003692</x:v>
      </x:c>
      <x:c r="L2556" s="24" t="n">
        <x:v>0.007075181493786145</x:v>
      </x:c>
    </x:row>
    <x:row r="2557">
      <x:c r="G2557" t="str">
        <x:v>DFW-GGG</x:v>
      </x:c>
      <x:c r="H2557" t="str">
        <x:v>DFW</x:v>
      </x:c>
      <x:c r="I2557" t="str">
        <x:v>GGG</x:v>
      </x:c>
      <x:c r="J2557" s="23" t="n">
        <x:v>2180</x:v>
      </x:c>
      <x:c r="K2557" s="24" t="n">
        <x:v>0.18807339449541285</x:v>
      </x:c>
      <x:c r="L2557" s="24" t="n">
        <x:v>0.02614678899082569</x:v>
      </x:c>
    </x:row>
    <x:row r="2558">
      <x:c r="G2558" t="str">
        <x:v>HOU-SJC</x:v>
      </x:c>
      <x:c r="H2558" t="str">
        <x:v>HOU</x:v>
      </x:c>
      <x:c r="I2558" t="str">
        <x:v>SJC</x:v>
      </x:c>
      <x:c r="J2558" s="23" t="n">
        <x:v>1085</x:v>
      </x:c>
      <x:c r="K2558" s="24" t="n">
        <x:v>0.1880184331797235</x:v>
      </x:c>
      <x:c r="L2558" s="24" t="n">
        <x:v>0.004608294930875576</x:v>
      </x:c>
    </x:row>
    <x:row r="2559">
      <x:c r="G2559" t="str">
        <x:v>MSP-CVG</x:v>
      </x:c>
      <x:c r="H2559" t="str">
        <x:v>MSP</x:v>
      </x:c>
      <x:c r="I2559" t="str">
        <x:v>CVG</x:v>
      </x:c>
      <x:c r="J2559" s="23" t="n">
        <x:v>3772</x:v>
      </x:c>
      <x:c r="K2559" s="24" t="n">
        <x:v>0.18796394485683987</x:v>
      </x:c>
      <x:c r="L2559" s="24" t="n">
        <x:v>0.009013785790031814</x:v>
      </x:c>
    </x:row>
    <x:row r="2560">
      <x:c r="G2560" t="str">
        <x:v>TUS-DFW</x:v>
      </x:c>
      <x:c r="H2560" t="str">
        <x:v>TUS</x:v>
      </x:c>
      <x:c r="I2560" t="str">
        <x:v>DFW</x:v>
      </x:c>
      <x:c r="J2560" s="23" t="n">
        <x:v>6694</x:v>
      </x:c>
      <x:c r="K2560" s="24" t="n">
        <x:v>0.1879294890947117</x:v>
      </x:c>
      <x:c r="L2560" s="24" t="n">
        <x:v>0.023453839259037945</x:v>
      </x:c>
    </x:row>
    <x:row r="2561">
      <x:c r="G2561" t="str">
        <x:v>MSP-MIA</x:v>
      </x:c>
      <x:c r="H2561" t="str">
        <x:v>MSP</x:v>
      </x:c>
      <x:c r="I2561" t="str">
        <x:v>MIA</x:v>
      </x:c>
      <x:c r="J2561" s="23" t="n">
        <x:v>3459</x:v>
      </x:c>
      <x:c r="K2561" s="24" t="n">
        <x:v>0.18791558253830587</x:v>
      </x:c>
      <x:c r="L2561" s="24" t="n">
        <x:v>0.006360219716681122</x:v>
      </x:c>
    </x:row>
    <x:row r="2562">
      <x:c r="G2562" t="str">
        <x:v>DFW-GNV</x:v>
      </x:c>
      <x:c r="H2562" t="str">
        <x:v>DFW</x:v>
      </x:c>
      <x:c r="I2562" t="str">
        <x:v>GNV</x:v>
      </x:c>
      <x:c r="J2562" s="23" t="n">
        <x:v>1373</x:v>
      </x:c>
      <x:c r="K2562" s="24" t="n">
        <x:v>0.18790968681718864</x:v>
      </x:c>
      <x:c r="L2562" s="24" t="n">
        <x:v>0.02112163146394756</x:v>
      </x:c>
    </x:row>
    <x:row r="2563">
      <x:c r="G2563" t="str">
        <x:v>SLC-SAN</x:v>
      </x:c>
      <x:c r="H2563" t="str">
        <x:v>SLC</x:v>
      </x:c>
      <x:c r="I2563" t="str">
        <x:v>SAN</x:v>
      </x:c>
      <x:c r="J2563" s="23" t="n">
        <x:v>7640</x:v>
      </x:c>
      <x:c r="K2563" s="24" t="n">
        <x:v>0.18782722513089006</x:v>
      </x:c>
      <x:c r="L2563" s="24" t="n">
        <x:v>0.005759162303664921</x:v>
      </x:c>
    </x:row>
    <x:row r="2564">
      <x:c r="G2564" t="str">
        <x:v>STL-PHL</x:v>
      </x:c>
      <x:c r="H2564" t="str">
        <x:v>STL</x:v>
      </x:c>
      <x:c r="I2564" t="str">
        <x:v>PHL</x:v>
      </x:c>
      <x:c r="J2564" s="23" t="n">
        <x:v>4340</x:v>
      </x:c>
      <x:c r="K2564" s="24" t="n">
        <x:v>0.18778801843317972</x:v>
      </x:c>
      <x:c r="L2564" s="24" t="n">
        <x:v>0.014976958525345621</x:v>
      </x:c>
    </x:row>
    <x:row r="2565">
      <x:c r="G2565" t="str">
        <x:v>PHL-BHM</x:v>
      </x:c>
      <x:c r="H2565" t="str">
        <x:v>PHL</x:v>
      </x:c>
      <x:c r="I2565" t="str">
        <x:v>BHM</x:v>
      </x:c>
      <x:c r="J2565" s="23" t="n">
        <x:v>1523</x:v>
      </x:c>
      <x:c r="K2565" s="24" t="n">
        <x:v>0.18778726198292844</x:v>
      </x:c>
      <x:c r="L2565" s="24" t="n">
        <x:v>0.019041365725541694</x:v>
      </x:c>
    </x:row>
    <x:row r="2566">
      <x:c r="G2566" t="str">
        <x:v>LGB-RNO</x:v>
      </x:c>
      <x:c r="H2566" t="str">
        <x:v>LGB</x:v>
      </x:c>
      <x:c r="I2566" t="str">
        <x:v>RNO</x:v>
      </x:c>
      <x:c r="J2566" s="23" t="n">
        <x:v>2157</x:v>
      </x:c>
      <x:c r="K2566" s="24" t="n">
        <x:v>0.18776077885952713</x:v>
      </x:c>
      <x:c r="L2566" s="24" t="n">
        <x:v>0.006954102920723227</x:v>
      </x:c>
    </x:row>
    <x:row r="2567">
      <x:c r="G2567" t="str">
        <x:v>HOU-CRP</x:v>
      </x:c>
      <x:c r="H2567" t="str">
        <x:v>HOU</x:v>
      </x:c>
      <x:c r="I2567" t="str">
        <x:v>CRP</x:v>
      </x:c>
      <x:c r="J2567" s="23" t="n">
        <x:v>3430</x:v>
      </x:c>
      <x:c r="K2567" s="24" t="n">
        <x:v>0.18775510204081633</x:v>
      </x:c>
      <x:c r="L2567" s="24" t="n">
        <x:v>0.009912536443148687</x:v>
      </x:c>
    </x:row>
    <x:row r="2568">
      <x:c r="G2568" t="str">
        <x:v>GGG-DFW</x:v>
      </x:c>
      <x:c r="H2568" t="str">
        <x:v>GGG</x:v>
      </x:c>
      <x:c r="I2568" t="str">
        <x:v>DFW</x:v>
      </x:c>
      <x:c r="J2568" s="23" t="n">
        <x:v>2179</x:v>
      </x:c>
      <x:c r="K2568" s="24" t="n">
        <x:v>0.18770078017439193</x:v>
      </x:c>
      <x:c r="L2568" s="24" t="n">
        <x:v>0.02432308398347866</x:v>
      </x:c>
    </x:row>
    <x:row r="2569">
      <x:c r="G2569" t="str">
        <x:v>RDU-SFO</x:v>
      </x:c>
      <x:c r="H2569" t="str">
        <x:v>RDU</x:v>
      </x:c>
      <x:c r="I2569" t="str">
        <x:v>SFO</x:v>
      </x:c>
      <x:c r="J2569" s="23" t="n">
        <x:v>2195</x:v>
      </x:c>
      <x:c r="K2569" s="24" t="n">
        <x:v>0.1876993166287016</x:v>
      </x:c>
      <x:c r="L2569" s="24" t="n">
        <x:v>0.004100227790432802</x:v>
      </x:c>
    </x:row>
    <x:row r="2570">
      <x:c r="G2570" t="str">
        <x:v>LAS-ATL</x:v>
      </x:c>
      <x:c r="H2570" t="str">
        <x:v>LAS</x:v>
      </x:c>
      <x:c r="I2570" t="str">
        <x:v>ATL</x:v>
      </x:c>
      <x:c r="J2570" s="23" t="n">
        <x:v>15069</x:v>
      </x:c>
      <x:c r="K2570" s="24" t="n">
        <x:v>0.18767005109828125</x:v>
      </x:c>
      <x:c r="L2570" s="24" t="n">
        <x:v>0.010219656247926206</x:v>
      </x:c>
    </x:row>
    <x:row r="2571">
      <x:c r="G2571" t="str">
        <x:v>DTW-ATW</x:v>
      </x:c>
      <x:c r="H2571" t="str">
        <x:v>DTW</x:v>
      </x:c>
      <x:c r="I2571" t="str">
        <x:v>ATW</x:v>
      </x:c>
      <x:c r="J2571" s="23" t="n">
        <x:v>2601</x:v>
      </x:c>
      <x:c r="K2571" s="24" t="n">
        <x:v>0.18762014609765476</x:v>
      </x:c>
      <x:c r="L2571" s="24" t="n">
        <x:v>0.007304882737408689</x:v>
      </x:c>
    </x:row>
    <x:row r="2572">
      <x:c r="G2572" t="str">
        <x:v>BNA-MCI</x:v>
      </x:c>
      <x:c r="H2572" t="str">
        <x:v>BNA</x:v>
      </x:c>
      <x:c r="I2572" t="str">
        <x:v>MCI</x:v>
      </x:c>
      <x:c r="J2572" s="23" t="n">
        <x:v>3727</x:v>
      </x:c>
      <x:c r="K2572" s="24" t="n">
        <x:v>0.18755030855916285</x:v>
      </x:c>
      <x:c r="L2572" s="24" t="n">
        <x:v>0.007512744834987926</x:v>
      </x:c>
    </x:row>
    <x:row r="2573">
      <x:c r="G2573" t="str">
        <x:v>BNA-IAD</x:v>
      </x:c>
      <x:c r="H2573" t="str">
        <x:v>BNA</x:v>
      </x:c>
      <x:c r="I2573" t="str">
        <x:v>IAD</x:v>
      </x:c>
      <x:c r="J2573" s="23" t="n">
        <x:v>3061</x:v>
      </x:c>
      <x:c r="K2573" s="24" t="n">
        <x:v>0.1875204181639987</x:v>
      </x:c>
      <x:c r="L2573" s="24" t="n">
        <x:v>0.00555374060764456</x:v>
      </x:c>
    </x:row>
    <x:row r="2574">
      <x:c r="G2574" t="str">
        <x:v>MIA-STT</x:v>
      </x:c>
      <x:c r="H2574" t="str">
        <x:v>MIA</x:v>
      </x:c>
      <x:c r="I2574" t="str">
        <x:v>STT</x:v>
      </x:c>
      <x:c r="J2574" s="23" t="n">
        <x:v>2598</x:v>
      </x:c>
      <x:c r="K2574" s="24" t="n">
        <x:v>0.18745188606620478</x:v>
      </x:c>
      <x:c r="L2574" s="24" t="n">
        <x:v>0.004234026173979984</x:v>
      </x:c>
    </x:row>
    <x:row r="2575">
      <x:c r="G2575" t="str">
        <x:v>RSW-BNA</x:v>
      </x:c>
      <x:c r="H2575" t="str">
        <x:v>RSW</x:v>
      </x:c>
      <x:c r="I2575" t="str">
        <x:v>BNA</x:v>
      </x:c>
      <x:c r="J2575" s="23" t="n">
        <x:v>1761</x:v>
      </x:c>
      <x:c r="K2575" s="24" t="n">
        <x:v>0.18739352640545145</x:v>
      </x:c>
      <x:c r="L2575" s="24" t="n">
        <x:v>0.008517887563884156</x:v>
      </x:c>
    </x:row>
    <x:row r="2576">
      <x:c r="G2576" t="str">
        <x:v>LGA-XNA</x:v>
      </x:c>
      <x:c r="H2576" t="str">
        <x:v>LGA</x:v>
      </x:c>
      <x:c r="I2576" t="str">
        <x:v>XNA</x:v>
      </x:c>
      <x:c r="J2576" s="23" t="n">
        <x:v>2332</x:v>
      </x:c>
      <x:c r="K2576" s="24" t="n">
        <x:v>0.1873927958833619</x:v>
      </x:c>
      <x:c r="L2576" s="24" t="n">
        <x:v>0.0274442538593482</x:v>
      </x:c>
    </x:row>
    <x:row r="2577">
      <x:c r="G2577" t="str">
        <x:v>BUR-BOI</x:v>
      </x:c>
      <x:c r="H2577" t="str">
        <x:v>BUR</x:v>
      </x:c>
      <x:c r="I2577" t="str">
        <x:v>BOI</x:v>
      </x:c>
      <x:c r="J2577" s="23" t="n">
        <x:v>1110</x:v>
      </x:c>
      <x:c r="K2577" s="24" t="n">
        <x:v>0.1873873873873874</x:v>
      </x:c>
      <x:c r="L2577" s="24" t="n">
        <x:v>0.0009009009009009009</x:v>
      </x:c>
    </x:row>
    <x:row r="2578">
      <x:c r="G2578" t="str">
        <x:v>TPA-HOU</x:v>
      </x:c>
      <x:c r="H2578" t="str">
        <x:v>TPA</x:v>
      </x:c>
      <x:c r="I2578" t="str">
        <x:v>HOU</x:v>
      </x:c>
      <x:c r="J2578" s="23" t="n">
        <x:v>3090</x:v>
      </x:c>
      <x:c r="K2578" s="24" t="n">
        <x:v>0.18737864077669902</x:v>
      </x:c>
      <x:c r="L2578" s="24" t="n">
        <x:v>0.013268608414239482</x:v>
      </x:c>
    </x:row>
    <x:row r="2579">
      <x:c r="G2579" t="str">
        <x:v>ICT-IAH</x:v>
      </x:c>
      <x:c r="H2579" t="str">
        <x:v>ICT</x:v>
      </x:c>
      <x:c r="I2579" t="str">
        <x:v>IAH</x:v>
      </x:c>
      <x:c r="J2579" s="23" t="n">
        <x:v>1639</x:v>
      </x:c>
      <x:c r="K2579" s="24" t="n">
        <x:v>0.18730933496034166</x:v>
      </x:c>
      <x:c r="L2579" s="24" t="n">
        <x:v>0.012202562538133009</x:v>
      </x:c>
    </x:row>
    <x:row r="2580">
      <x:c r="G2580" t="str">
        <x:v>PHX-BUR</x:v>
      </x:c>
      <x:c r="H2580" t="str">
        <x:v>PHX</x:v>
      </x:c>
      <x:c r="I2580" t="str">
        <x:v>BUR</x:v>
      </x:c>
      <x:c r="J2580" s="23" t="n">
        <x:v>9632</x:v>
      </x:c>
      <x:c r="K2580" s="24" t="n">
        <x:v>0.1872923588039867</x:v>
      </x:c>
      <x:c r="L2580" s="24" t="n">
        <x:v>0.006852159468438538</x:v>
      </x:c>
    </x:row>
    <x:row r="2581">
      <x:c r="G2581" t="str">
        <x:v>TXK-DFW</x:v>
      </x:c>
      <x:c r="H2581" t="str">
        <x:v>TXK</x:v>
      </x:c>
      <x:c r="I2581" t="str">
        <x:v>DFW</x:v>
      </x:c>
      <x:c r="J2581" s="23" t="n">
        <x:v>2531</x:v>
      </x:c>
      <x:c r="K2581" s="24" t="n">
        <x:v>0.18727775582773606</x:v>
      </x:c>
      <x:c r="L2581" s="24" t="n">
        <x:v>0.027261951797708416</x:v>
      </x:c>
    </x:row>
    <x:row r="2582">
      <x:c r="G2582" t="str">
        <x:v>EWR-BGR</x:v>
      </x:c>
      <x:c r="H2582" t="str">
        <x:v>EWR</x:v>
      </x:c>
      <x:c r="I2582" t="str">
        <x:v>BGR</x:v>
      </x:c>
      <x:c r="J2582" s="23" t="n">
        <x:v>1805</x:v>
      </x:c>
      <x:c r="K2582" s="24" t="n">
        <x:v>0.18725761772853186</x:v>
      </x:c>
      <x:c r="L2582" s="24" t="n">
        <x:v>0.06537396121883657</x:v>
      </x:c>
    </x:row>
    <x:row r="2583">
      <x:c r="G2583" t="str">
        <x:v>SFO-BOI</x:v>
      </x:c>
      <x:c r="H2583" t="str">
        <x:v>SFO</x:v>
      </x:c>
      <x:c r="I2583" t="str">
        <x:v>BOI</x:v>
      </x:c>
      <x:c r="J2583" s="23" t="n">
        <x:v>4572</x:v>
      </x:c>
      <x:c r="K2583" s="24" t="n">
        <x:v>0.18722659667541558</x:v>
      </x:c>
      <x:c r="L2583" s="24" t="n">
        <x:v>0.006780402449693788</x:v>
      </x:c>
    </x:row>
    <x:row r="2584">
      <x:c r="G2584" t="str">
        <x:v>SFO-SNA</x:v>
      </x:c>
      <x:c r="H2584" t="str">
        <x:v>SFO</x:v>
      </x:c>
      <x:c r="I2584" t="str">
        <x:v>SNA</x:v>
      </x:c>
      <x:c r="J2584" s="23" t="n">
        <x:v>13183</x:v>
      </x:c>
      <x:c r="K2584" s="24" t="n">
        <x:v>0.18721080179018432</x:v>
      </x:c>
      <x:c r="L2584" s="24" t="n">
        <x:v>0.01122657968595919</x:v>
      </x:c>
    </x:row>
    <x:row r="2585">
      <x:c r="G2585" t="str">
        <x:v>DAL-OMA</x:v>
      </x:c>
      <x:c r="H2585" t="str">
        <x:v>DAL</x:v>
      </x:c>
      <x:c r="I2585" t="str">
        <x:v>OMA</x:v>
      </x:c>
      <x:c r="J2585" s="23" t="n">
        <x:v>1277</x:v>
      </x:c>
      <x:c r="K2585" s="24" t="n">
        <x:v>0.18715740015661708</x:v>
      </x:c>
      <x:c r="L2585" s="24" t="n">
        <x:v>0.01096319498825372</x:v>
      </x:c>
    </x:row>
    <x:row r="2586">
      <x:c r="G2586" t="str">
        <x:v>SBP-SAN</x:v>
      </x:c>
      <x:c r="H2586" t="str">
        <x:v>SBP</x:v>
      </x:c>
      <x:c r="I2586" t="str">
        <x:v>SAN</x:v>
      </x:c>
      <x:c r="J2586" s="23" t="n">
        <x:v>1470</x:v>
      </x:c>
      <x:c r="K2586" s="24" t="n">
        <x:v>0.1870748299319728</x:v>
      </x:c>
      <x:c r="L2586" s="24" t="n">
        <x:v>0.023809523809523808</x:v>
      </x:c>
    </x:row>
    <x:row r="2587">
      <x:c r="G2587" t="str">
        <x:v>CLT-IAD</x:v>
      </x:c>
      <x:c r="H2587" t="str">
        <x:v>CLT</x:v>
      </x:c>
      <x:c r="I2587" t="str">
        <x:v>IAD</x:v>
      </x:c>
      <x:c r="J2587" s="23" t="n">
        <x:v>5939</x:v>
      </x:c>
      <x:c r="K2587" s="24" t="n">
        <x:v>0.1870685300555649</x:v>
      </x:c>
      <x:c r="L2587" s="24" t="n">
        <x:v>0.014985687826233373</x:v>
      </x:c>
    </x:row>
    <x:row r="2588">
      <x:c r="G2588" t="str">
        <x:v>LAX-DCA</x:v>
      </x:c>
      <x:c r="H2588" t="str">
        <x:v>LAX</x:v>
      </x:c>
      <x:c r="I2588" t="str">
        <x:v>DCA</x:v>
      </x:c>
      <x:c r="J2588" s="23" t="n">
        <x:v>4373</x:v>
      </x:c>
      <x:c r="K2588" s="24" t="n">
        <x:v>0.18705694031557282</x:v>
      </x:c>
      <x:c r="L2588" s="24" t="n">
        <x:v>0.008003658815458496</x:v>
      </x:c>
    </x:row>
    <x:row r="2589">
      <x:c r="G2589" t="str">
        <x:v>DTW-LGA</x:v>
      </x:c>
      <x:c r="H2589" t="str">
        <x:v>DTW</x:v>
      </x:c>
      <x:c r="I2589" t="str">
        <x:v>LGA</x:v>
      </x:c>
      <x:c r="J2589" s="23" t="n">
        <x:v>12526</x:v>
      </x:c>
      <x:c r="K2589" s="24" t="n">
        <x:v>0.1870509340571611</x:v>
      </x:c>
      <x:c r="L2589" s="24" t="n">
        <x:v>0.02418968545425515</x:v>
      </x:c>
    </x:row>
    <x:row r="2590">
      <x:c r="G2590" t="str">
        <x:v>LGA-DCA</x:v>
      </x:c>
      <x:c r="H2590" t="str">
        <x:v>LGA</x:v>
      </x:c>
      <x:c r="I2590" t="str">
        <x:v>DCA</x:v>
      </x:c>
      <x:c r="J2590" s="23" t="n">
        <x:v>14777</x:v>
      </x:c>
      <x:c r="K2590" s="24" t="n">
        <x:v>0.18697976585233808</x:v>
      </x:c>
      <x:c r="L2590" s="24" t="n">
        <x:v>0.030588076064153754</x:v>
      </x:c>
    </x:row>
    <x:row r="2591">
      <x:c r="G2591" t="str">
        <x:v>EWR-STL</x:v>
      </x:c>
      <x:c r="H2591" t="str">
        <x:v>EWR</x:v>
      </x:c>
      <x:c r="I2591" t="str">
        <x:v>STL</x:v>
      </x:c>
      <x:c r="J2591" s="23" t="n">
        <x:v>2734</x:v>
      </x:c>
      <x:c r="K2591" s="24" t="n">
        <x:v>0.1869056327724945</x:v>
      </x:c>
      <x:c r="L2591" s="24" t="n">
        <x:v>0.032553035844915874</x:v>
      </x:c>
    </x:row>
    <x:row r="2592">
      <x:c r="G2592" t="str">
        <x:v>DIK-DEN</x:v>
      </x:c>
      <x:c r="H2592" t="str">
        <x:v>DIK</x:v>
      </x:c>
      <x:c r="I2592" t="str">
        <x:v>DEN</x:v>
      </x:c>
      <x:c r="J2592" s="23" t="n">
        <x:v>1996</x:v>
      </x:c>
      <x:c r="K2592" s="24" t="n">
        <x:v>0.18687374749498997</x:v>
      </x:c>
      <x:c r="L2592" s="24" t="n">
        <x:v>0.02755511022044088</x:v>
      </x:c>
    </x:row>
    <x:row r="2593">
      <x:c r="G2593" t="str">
        <x:v>AMA-DFW</x:v>
      </x:c>
      <x:c r="H2593" t="str">
        <x:v>AMA</x:v>
      </x:c>
      <x:c r="I2593" t="str">
        <x:v>DFW</x:v>
      </x:c>
      <x:c r="J2593" s="23" t="n">
        <x:v>6909</x:v>
      </x:c>
      <x:c r="K2593" s="24" t="n">
        <x:v>0.18685772181212912</x:v>
      </x:c>
      <x:c r="L2593" s="24" t="n">
        <x:v>0.020987118251555942</x:v>
      </x:c>
    </x:row>
    <x:row r="2594">
      <x:c r="G2594" t="str">
        <x:v>CVG-RSW</x:v>
      </x:c>
      <x:c r="H2594" t="str">
        <x:v>CVG</x:v>
      </x:c>
      <x:c r="I2594" t="str">
        <x:v>RSW</x:v>
      </x:c>
      <x:c r="J2594" s="23" t="n">
        <x:v>2265</x:v>
      </x:c>
      <x:c r="K2594" s="24" t="n">
        <x:v>0.18675496688741722</x:v>
      </x:c>
      <x:c r="L2594" s="24" t="n">
        <x:v>0.019426048565121413</x:v>
      </x:c>
    </x:row>
    <x:row r="2595">
      <x:c r="G2595" t="str">
        <x:v>DTW-PWM</x:v>
      </x:c>
      <x:c r="H2595" t="str">
        <x:v>DTW</x:v>
      </x:c>
      <x:c r="I2595" t="str">
        <x:v>PWM</x:v>
      </x:c>
      <x:c r="J2595" s="23" t="n">
        <x:v>1730</x:v>
      </x:c>
      <x:c r="K2595" s="24" t="n">
        <x:v>0.18670520231213872</x:v>
      </x:c>
      <x:c r="L2595" s="24" t="n">
        <x:v>0.006358381502890174</x:v>
      </x:c>
    </x:row>
    <x:row r="2596">
      <x:c r="G2596" t="str">
        <x:v>MLI-DEN</x:v>
      </x:c>
      <x:c r="H2596" t="str">
        <x:v>MLI</x:v>
      </x:c>
      <x:c r="I2596" t="str">
        <x:v>DEN</x:v>
      </x:c>
      <x:c r="J2596" s="23" t="n">
        <x:v>1098</x:v>
      </x:c>
      <x:c r="K2596" s="24" t="n">
        <x:v>0.18670309653916212</x:v>
      </x:c>
      <x:c r="L2596" s="24" t="n">
        <x:v>0.015482695810564663</x:v>
      </x:c>
    </x:row>
    <x:row r="2597">
      <x:c r="G2597" t="str">
        <x:v>LAX-MDW</x:v>
      </x:c>
      <x:c r="H2597" t="str">
        <x:v>LAX</x:v>
      </x:c>
      <x:c r="I2597" t="str">
        <x:v>MDW</x:v>
      </x:c>
      <x:c r="J2597" s="23" t="n">
        <x:v>4174</x:v>
      </x:c>
      <x:c r="K2597" s="24" t="n">
        <x:v>0.1866315285098227</x:v>
      </x:c>
      <x:c r="L2597" s="24" t="n">
        <x:v>0.005031145184475324</x:v>
      </x:c>
    </x:row>
    <x:row r="2598">
      <x:c r="G2598" t="str">
        <x:v>SEA-ONT</x:v>
      </x:c>
      <x:c r="H2598" t="str">
        <x:v>SEA</x:v>
      </x:c>
      <x:c r="I2598" t="str">
        <x:v>ONT</x:v>
      </x:c>
      <x:c r="J2598" s="23" t="n">
        <x:v>7448</x:v>
      </x:c>
      <x:c r="K2598" s="24" t="n">
        <x:v>0.18662728249194416</x:v>
      </x:c>
      <x:c r="L2598" s="24" t="n">
        <x:v>0.01060687432867884</x:v>
      </x:c>
    </x:row>
    <x:row r="2599">
      <x:c r="G2599" t="str">
        <x:v>MCI-PHX</x:v>
      </x:c>
      <x:c r="H2599" t="str">
        <x:v>MCI</x:v>
      </x:c>
      <x:c r="I2599" t="str">
        <x:v>PHX</x:v>
      </x:c>
      <x:c r="J2599" s="23" t="n">
        <x:v>7561</x:v>
      </x:c>
      <x:c r="K2599" s="24" t="n">
        <x:v>0.18661552704668694</x:v>
      </x:c>
      <x:c r="L2599" s="24" t="n">
        <x:v>0.007141912445443725</x:v>
      </x:c>
    </x:row>
    <x:row r="2600">
      <x:c r="G2600" t="str">
        <x:v>IAD-PHX</x:v>
      </x:c>
      <x:c r="H2600" t="str">
        <x:v>IAD</x:v>
      </x:c>
      <x:c r="I2600" t="str">
        <x:v>PHX</x:v>
      </x:c>
      <x:c r="J2600" s="23" t="n">
        <x:v>2873</x:v>
      </x:c>
      <x:c r="K2600" s="24" t="n">
        <x:v>0.18656456665506438</x:v>
      </x:c>
      <x:c r="L2600" s="24" t="n">
        <x:v>0.009397841977027498</x:v>
      </x:c>
    </x:row>
    <x:row r="2601">
      <x:c r="G2601" t="str">
        <x:v>OKC-AUS</x:v>
      </x:c>
      <x:c r="H2601" t="str">
        <x:v>OKC</x:v>
      </x:c>
      <x:c r="I2601" t="str">
        <x:v>AUS</x:v>
      </x:c>
      <x:c r="J2601" s="23" t="n">
        <x:v>1442</x:v>
      </x:c>
      <x:c r="K2601" s="24" t="n">
        <x:v>0.18654646324549237</x:v>
      </x:c>
      <x:c r="L2601" s="24" t="n">
        <x:v>0.006934812760055479</x:v>
      </x:c>
    </x:row>
    <x:row r="2602">
      <x:c r="G2602" t="str">
        <x:v>DCA-DTW</x:v>
      </x:c>
      <x:c r="H2602" t="str">
        <x:v>DCA</x:v>
      </x:c>
      <x:c r="I2602" t="str">
        <x:v>DTW</x:v>
      </x:c>
      <x:c r="J2602" s="23" t="n">
        <x:v>8286</x:v>
      </x:c>
      <x:c r="K2602" s="24" t="n">
        <x:v>0.18645908761766836</x:v>
      </x:c>
      <x:c r="L2602" s="24" t="n">
        <x:v>0.023533671252715424</x:v>
      </x:c>
    </x:row>
    <x:row r="2603">
      <x:c r="G2603" t="str">
        <x:v>CMH-TPA</x:v>
      </x:c>
      <x:c r="H2603" t="str">
        <x:v>CMH</x:v>
      </x:c>
      <x:c r="I2603" t="str">
        <x:v>TPA</x:v>
      </x:c>
      <x:c r="J2603" s="23" t="n">
        <x:v>2671</x:v>
      </x:c>
      <x:c r="K2603" s="24" t="n">
        <x:v>0.18644702358667165</x:v>
      </x:c>
      <x:c r="L2603" s="24" t="n">
        <x:v>0.011980531636091352</x:v>
      </x:c>
    </x:row>
    <x:row r="2604">
      <x:c r="G2604" t="str">
        <x:v>PIT-BOS</x:v>
      </x:c>
      <x:c r="H2604" t="str">
        <x:v>PIT</x:v>
      </x:c>
      <x:c r="I2604" t="str">
        <x:v>BOS</x:v>
      </x:c>
      <x:c r="J2604" s="23" t="n">
        <x:v>6485</x:v>
      </x:c>
      <x:c r="K2604" s="24" t="n">
        <x:v>0.1864302235929067</x:v>
      </x:c>
      <x:c r="L2604" s="24" t="n">
        <x:v>0.01927525057825752</x:v>
      </x:c>
    </x:row>
    <x:row r="2605">
      <x:c r="G2605" t="str">
        <x:v>SFO-MIA</x:v>
      </x:c>
      <x:c r="H2605" t="str">
        <x:v>SFO</x:v>
      </x:c>
      <x:c r="I2605" t="str">
        <x:v>MIA</x:v>
      </x:c>
      <x:c r="J2605" s="23" t="n">
        <x:v>4529</x:v>
      </x:c>
      <x:c r="K2605" s="24" t="n">
        <x:v>0.18635460366526826</x:v>
      </x:c>
      <x:c r="L2605" s="24" t="n">
        <x:v>0.00662397880326783</x:v>
      </x:c>
    </x:row>
    <x:row r="2606">
      <x:c r="G2606" t="str">
        <x:v>CID-DCA</x:v>
      </x:c>
      <x:c r="H2606" t="str">
        <x:v>CID</x:v>
      </x:c>
      <x:c r="I2606" t="str">
        <x:v>DCA</x:v>
      </x:c>
      <x:c r="J2606" s="23" t="n">
        <x:v>1224</x:v>
      </x:c>
      <x:c r="K2606" s="24" t="n">
        <x:v>0.18627450980392157</x:v>
      </x:c>
      <x:c r="L2606" s="24" t="n">
        <x:v>0.03594771241830065</x:v>
      </x:c>
    </x:row>
    <x:row r="2607">
      <x:c r="G2607" t="str">
        <x:v>RDU-SEA</x:v>
      </x:c>
      <x:c r="H2607" t="str">
        <x:v>RDU</x:v>
      </x:c>
      <x:c r="I2607" t="str">
        <x:v>SEA</x:v>
      </x:c>
      <x:c r="J2607" s="23" t="n">
        <x:v>2615</x:v>
      </x:c>
      <x:c r="K2607" s="24" t="n">
        <x:v>0.18623326959847036</x:v>
      </x:c>
      <x:c r="L2607" s="24" t="n">
        <x:v>0.00994263862332696</x:v>
      </x:c>
    </x:row>
    <x:row r="2608">
      <x:c r="G2608" t="str">
        <x:v>DCA-CMH</x:v>
      </x:c>
      <x:c r="H2608" t="str">
        <x:v>DCA</x:v>
      </x:c>
      <x:c r="I2608" t="str">
        <x:v>CMH</x:v>
      </x:c>
      <x:c r="J2608" s="23" t="n">
        <x:v>5982</x:v>
      </x:c>
      <x:c r="K2608" s="24" t="n">
        <x:v>0.1862253426947509</x:v>
      </x:c>
      <x:c r="L2608" s="24" t="n">
        <x:v>0.01972584419926446</x:v>
      </x:c>
    </x:row>
    <x:row r="2609">
      <x:c r="G2609" t="str">
        <x:v>LBL-DEN</x:v>
      </x:c>
      <x:c r="H2609" t="str">
        <x:v>LBL</x:v>
      </x:c>
      <x:c r="I2609" t="str">
        <x:v>DEN</x:v>
      </x:c>
      <x:c r="J2609" s="23" t="n">
        <x:v>1246</x:v>
      </x:c>
      <x:c r="K2609" s="24" t="n">
        <x:v>0.18619582664526485</x:v>
      </x:c>
      <x:c r="L2609" s="24" t="n">
        <x:v>0.024879614767255216</x:v>
      </x:c>
    </x:row>
    <x:row r="2610">
      <x:c r="G2610" t="str">
        <x:v>COS-MDW</x:v>
      </x:c>
      <x:c r="H2610" t="str">
        <x:v>COS</x:v>
      </x:c>
      <x:c r="I2610" t="str">
        <x:v>MDW</x:v>
      </x:c>
      <x:c r="J2610" s="23" t="n">
        <x:v>1187</x:v>
      </x:c>
      <x:c r="K2610" s="24" t="n">
        <x:v>0.18618365627632688</x:v>
      </x:c>
      <x:c r="L2610" s="24" t="n">
        <x:v>0.009267059814658803</x:v>
      </x:c>
    </x:row>
    <x:row r="2611">
      <x:c r="G2611" t="str">
        <x:v>DCA-SEA</x:v>
      </x:c>
      <x:c r="H2611" t="str">
        <x:v>DCA</x:v>
      </x:c>
      <x:c r="I2611" t="str">
        <x:v>SEA</x:v>
      </x:c>
      <x:c r="J2611" s="23" t="n">
        <x:v>2487</x:v>
      </x:c>
      <x:c r="K2611" s="24" t="n">
        <x:v>0.18616807398472054</x:v>
      </x:c>
      <x:c r="L2611" s="24" t="n">
        <x:v>0.009248090068355449</x:v>
      </x:c>
    </x:row>
    <x:row r="2612">
      <x:c r="G2612" t="str">
        <x:v>GUC-DEN</x:v>
      </x:c>
      <x:c r="H2612" t="str">
        <x:v>GUC</x:v>
      </x:c>
      <x:c r="I2612" t="str">
        <x:v>DEN</x:v>
      </x:c>
      <x:c r="J2612" s="23" t="n">
        <x:v>2310</x:v>
      </x:c>
      <x:c r="K2612" s="24" t="n">
        <x:v>0.18614718614718614</x:v>
      </x:c>
      <x:c r="L2612" s="24" t="n">
        <x:v>0.01645021645021645</x:v>
      </x:c>
    </x:row>
    <x:row r="2613">
      <x:c r="G2613" t="str">
        <x:v>DFW-ROW</x:v>
      </x:c>
      <x:c r="H2613" t="str">
        <x:v>DFW</x:v>
      </x:c>
      <x:c r="I2613" t="str">
        <x:v>ROW</x:v>
      </x:c>
      <x:c r="J2613" s="23" t="n">
        <x:v>2638</x:v>
      </x:c>
      <x:c r="K2613" s="24" t="n">
        <x:v>0.18612585291887793</x:v>
      </x:c>
      <x:c r="L2613" s="24" t="n">
        <x:v>0.027293404094010616</x:v>
      </x:c>
    </x:row>
    <x:row r="2614">
      <x:c r="G2614" t="str">
        <x:v>FSD-PHX</x:v>
      </x:c>
      <x:c r="H2614" t="str">
        <x:v>FSD</x:v>
      </x:c>
      <x:c r="I2614" t="str">
        <x:v>PHX</x:v>
      </x:c>
      <x:c r="J2614" s="23" t="n">
        <x:v>1166</x:v>
      </x:c>
      <x:c r="K2614" s="24" t="n">
        <x:v>0.18610634648370497</x:v>
      </x:c>
      <x:c r="L2614" s="24" t="n">
        <x:v>0.003430531732418525</x:v>
      </x:c>
    </x:row>
    <x:row r="2615">
      <x:c r="G2615" t="str">
        <x:v>SFO-MCO</x:v>
      </x:c>
      <x:c r="H2615" t="str">
        <x:v>SFO</x:v>
      </x:c>
      <x:c r="I2615" t="str">
        <x:v>MCO</x:v>
      </x:c>
      <x:c r="J2615" s="23" t="n">
        <x:v>3865</x:v>
      </x:c>
      <x:c r="K2615" s="24" t="n">
        <x:v>0.18602846054333766</x:v>
      </x:c>
      <x:c r="L2615" s="24" t="n">
        <x:v>0.014489003880983183</x:v>
      </x:c>
    </x:row>
    <x:row r="2616">
      <x:c r="G2616" t="str">
        <x:v>CVG-BOS</x:v>
      </x:c>
      <x:c r="H2616" t="str">
        <x:v>CVG</x:v>
      </x:c>
      <x:c r="I2616" t="str">
        <x:v>BOS</x:v>
      </x:c>
      <x:c r="J2616" s="23" t="n">
        <x:v>5376</x:v>
      </x:c>
      <x:c r="K2616" s="24" t="n">
        <x:v>0.18601190476190477</x:v>
      </x:c>
      <x:c r="L2616" s="24" t="n">
        <x:v>0.015811011904761904</x:v>
      </x:c>
    </x:row>
    <x:row r="2617">
      <x:c r="G2617" t="str">
        <x:v>ABQ-AUS</x:v>
      </x:c>
      <x:c r="H2617" t="str">
        <x:v>ABQ</x:v>
      </x:c>
      <x:c r="I2617" t="str">
        <x:v>AUS</x:v>
      </x:c>
      <x:c r="J2617" s="23" t="n">
        <x:v>2807</x:v>
      </x:c>
      <x:c r="K2617" s="24" t="n">
        <x:v>0.1859636622728892</x:v>
      </x:c>
      <x:c r="L2617" s="24" t="n">
        <x:v>0.006768792304951906</x:v>
      </x:c>
    </x:row>
    <x:row r="2618">
      <x:c r="G2618" t="str">
        <x:v>SFO-CLT</x:v>
      </x:c>
      <x:c r="H2618" t="str">
        <x:v>SFO</x:v>
      </x:c>
      <x:c r="I2618" t="str">
        <x:v>CLT</x:v>
      </x:c>
      <x:c r="J2618" s="23" t="n">
        <x:v>4754</x:v>
      </x:c>
      <x:c r="K2618" s="24" t="n">
        <x:v>0.18594867480016827</x:v>
      </x:c>
      <x:c r="L2618" s="24" t="n">
        <x:v>0.008203618005889778</x:v>
      </x:c>
    </x:row>
    <x:row r="2619">
      <x:c r="G2619" t="str">
        <x:v>DTW-CLE</x:v>
      </x:c>
      <x:c r="H2619" t="str">
        <x:v>DTW</x:v>
      </x:c>
      <x:c r="I2619" t="str">
        <x:v>CLE</x:v>
      </x:c>
      <x:c r="J2619" s="23" t="n">
        <x:v>3614</x:v>
      </x:c>
      <x:c r="K2619" s="24" t="n">
        <x:v>0.18594355285002767</x:v>
      </x:c>
      <x:c r="L2619" s="24" t="n">
        <x:v>0.0063641394576646375</x:v>
      </x:c>
    </x:row>
    <x:row r="2620">
      <x:c r="G2620" t="str">
        <x:v>ORD-SNA</x:v>
      </x:c>
      <x:c r="H2620" t="str">
        <x:v>ORD</x:v>
      </x:c>
      <x:c r="I2620" t="str">
        <x:v>SNA</x:v>
      </x:c>
      <x:c r="J2620" s="23" t="n">
        <x:v>6718</x:v>
      </x:c>
      <x:c r="K2620" s="24" t="n">
        <x:v>0.18591842810360226</x:v>
      </x:c>
      <x:c r="L2620" s="24" t="n">
        <x:v>0.004912176242929443</x:v>
      </x:c>
    </x:row>
    <x:row r="2621">
      <x:c r="G2621" t="str">
        <x:v>MSP-BOI</x:v>
      </x:c>
      <x:c r="H2621" t="str">
        <x:v>MSP</x:v>
      </x:c>
      <x:c r="I2621" t="str">
        <x:v>BOI</x:v>
      </x:c>
      <x:c r="J2621" s="23" t="n">
        <x:v>2410</x:v>
      </x:c>
      <x:c r="K2621" s="24" t="n">
        <x:v>0.18589211618257262</x:v>
      </x:c>
      <x:c r="L2621" s="24" t="n">
        <x:v>0.009543568464730291</x:v>
      </x:c>
    </x:row>
    <x:row r="2622">
      <x:c r="G2622" t="str">
        <x:v>STL-JAX</x:v>
      </x:c>
      <x:c r="H2622" t="str">
        <x:v>STL</x:v>
      </x:c>
      <x:c r="I2622" t="str">
        <x:v>JAX</x:v>
      </x:c>
      <x:c r="J2622" s="23" t="n">
        <x:v>1205</x:v>
      </x:c>
      <x:c r="K2622" s="24" t="n">
        <x:v>0.18589211618257262</x:v>
      </x:c>
      <x:c r="L2622" s="24" t="n">
        <x:v>0.004149377593360996</x:v>
      </x:c>
    </x:row>
    <x:row r="2623">
      <x:c r="G2623" t="str">
        <x:v>SAN-CLT</x:v>
      </x:c>
      <x:c r="H2623" t="str">
        <x:v>SAN</x:v>
      </x:c>
      <x:c r="I2623" t="str">
        <x:v>CLT</x:v>
      </x:c>
      <x:c r="J2623" s="23" t="n">
        <x:v>4745</x:v>
      </x:c>
      <x:c r="K2623" s="24" t="n">
        <x:v>0.18587987355110644</x:v>
      </x:c>
      <x:c r="L2623" s="24" t="n">
        <x:v>0.0061116965226554265</x:v>
      </x:c>
    </x:row>
    <x:row r="2624">
      <x:c r="G2624" t="str">
        <x:v>CMH-MIA</x:v>
      </x:c>
      <x:c r="H2624" t="str">
        <x:v>CMH</x:v>
      </x:c>
      <x:c r="I2624" t="str">
        <x:v>MIA</x:v>
      </x:c>
      <x:c r="J2624" s="23" t="n">
        <x:v>2561</x:v>
      </x:c>
      <x:c r="K2624" s="24" t="n">
        <x:v>0.18586489652479501</x:v>
      </x:c>
      <x:c r="L2624" s="24" t="n">
        <x:v>0.004685669660288949</x:v>
      </x:c>
    </x:row>
    <x:row r="2625">
      <x:c r="G2625" t="str">
        <x:v>TUL-DEN</x:v>
      </x:c>
      <x:c r="H2625" t="str">
        <x:v>TUL</x:v>
      </x:c>
      <x:c r="I2625" t="str">
        <x:v>DEN</x:v>
      </x:c>
      <x:c r="J2625" s="23" t="n">
        <x:v>6295</x:v>
      </x:c>
      <x:c r="K2625" s="24" t="n">
        <x:v>0.18586179507545672</x:v>
      </x:c>
      <x:c r="L2625" s="24" t="n">
        <x:v>0.008101667990468625</x:v>
      </x:c>
    </x:row>
    <x:row r="2626">
      <x:c r="G2626" t="str">
        <x:v>PHX-PDX</x:v>
      </x:c>
      <x:c r="H2626" t="str">
        <x:v>PHX</x:v>
      </x:c>
      <x:c r="I2626" t="str">
        <x:v>PDX</x:v>
      </x:c>
      <x:c r="J2626" s="23" t="n">
        <x:v>11182</x:v>
      </x:c>
      <x:c r="K2626" s="24" t="n">
        <x:v>0.185834376676802</x:v>
      </x:c>
      <x:c r="L2626" s="24" t="n">
        <x:v>0.006170631371847612</x:v>
      </x:c>
    </x:row>
    <x:row r="2627">
      <x:c r="G2627" t="str">
        <x:v>CLT-GNV</x:v>
      </x:c>
      <x:c r="H2627" t="str">
        <x:v>CLT</x:v>
      </x:c>
      <x:c r="I2627" t="str">
        <x:v>GNV</x:v>
      </x:c>
      <x:c r="J2627" s="23" t="n">
        <x:v>1270</x:v>
      </x:c>
      <x:c r="K2627" s="24" t="n">
        <x:v>0.1858267716535433</x:v>
      </x:c>
      <x:c r="L2627" s="24" t="n">
        <x:v>0.028346456692913385</x:v>
      </x:c>
    </x:row>
    <x:row r="2628">
      <x:c r="G2628" t="str">
        <x:v>ACY-MCO</x:v>
      </x:c>
      <x:c r="H2628" t="str">
        <x:v>ACY</x:v>
      </x:c>
      <x:c r="I2628" t="str">
        <x:v>MCO</x:v>
      </x:c>
      <x:c r="J2628" s="23" t="n">
        <x:v>2718</x:v>
      </x:c>
      <x:c r="K2628" s="24" t="n">
        <x:v>0.18579838116261957</x:v>
      </x:c>
      <x:c r="L2628" s="24" t="n">
        <x:v>0.013612950699043414</x:v>
      </x:c>
    </x:row>
    <x:row r="2629">
      <x:c r="G2629" t="str">
        <x:v>BHM-DTW</x:v>
      </x:c>
      <x:c r="H2629" t="str">
        <x:v>BHM</x:v>
      </x:c>
      <x:c r="I2629" t="str">
        <x:v>DTW</x:v>
      </x:c>
      <x:c r="J2629" s="23" t="n">
        <x:v>1222</x:v>
      </x:c>
      <x:c r="K2629" s="24" t="n">
        <x:v>0.18576104746317512</x:v>
      </x:c>
      <x:c r="L2629" s="24" t="n">
        <x:v>0.0057283142389525366</x:v>
      </x:c>
    </x:row>
    <x:row r="2630">
      <x:c r="G2630" t="str">
        <x:v>MKE-TPA</x:v>
      </x:c>
      <x:c r="H2630" t="str">
        <x:v>MKE</x:v>
      </x:c>
      <x:c r="I2630" t="str">
        <x:v>TPA</x:v>
      </x:c>
      <x:c r="J2630" s="23" t="n">
        <x:v>1459</x:v>
      </x:c>
      <x:c r="K2630" s="24" t="n">
        <x:v>0.18574366004112405</x:v>
      </x:c>
      <x:c r="L2630" s="24" t="n">
        <x:v>0.01439342015078821</x:v>
      </x:c>
    </x:row>
    <x:row r="2631">
      <x:c r="G2631" t="str">
        <x:v>CHS-CLT</x:v>
      </x:c>
      <x:c r="H2631" t="str">
        <x:v>CHS</x:v>
      </x:c>
      <x:c r="I2631" t="str">
        <x:v>CLT</x:v>
      </x:c>
      <x:c r="J2631" s="23" t="n">
        <x:v>8034</x:v>
      </x:c>
      <x:c r="K2631" s="24" t="n">
        <x:v>0.1857107294000498</x:v>
      </x:c>
      <x:c r="L2631" s="24" t="n">
        <x:v>0.013567338810057257</x:v>
      </x:c>
    </x:row>
    <x:row r="2632">
      <x:c r="G2632" t="str">
        <x:v>DFW-TXK</x:v>
      </x:c>
      <x:c r="H2632" t="str">
        <x:v>DFW</x:v>
      </x:c>
      <x:c r="I2632" t="str">
        <x:v>TXK</x:v>
      </x:c>
      <x:c r="J2632" s="23" t="n">
        <x:v>2531</x:v>
      </x:c>
      <x:c r="K2632" s="24" t="n">
        <x:v>0.18569735282497038</x:v>
      </x:c>
      <x:c r="L2632" s="24" t="n">
        <x:v>0.026076649545634135</x:v>
      </x:c>
    </x:row>
    <x:row r="2633">
      <x:c r="G2633" t="str">
        <x:v>EUG-DEN</x:v>
      </x:c>
      <x:c r="H2633" t="str">
        <x:v>EUG</x:v>
      </x:c>
      <x:c r="I2633" t="str">
        <x:v>DEN</x:v>
      </x:c>
      <x:c r="J2633" s="23" t="n">
        <x:v>3076</x:v>
      </x:c>
      <x:c r="K2633" s="24" t="n">
        <x:v>0.18563068920676204</x:v>
      </x:c>
      <x:c r="L2633" s="24" t="n">
        <x:v>0.010728218465539662</x:v>
      </x:c>
    </x:row>
    <x:row r="2634">
      <x:c r="G2634" t="str">
        <x:v>IAD-SJU</x:v>
      </x:c>
      <x:c r="H2634" t="str">
        <x:v>IAD</x:v>
      </x:c>
      <x:c r="I2634" t="str">
        <x:v>SJU</x:v>
      </x:c>
      <x:c r="J2634" s="23" t="n">
        <x:v>1444</x:v>
      </x:c>
      <x:c r="K2634" s="24" t="n">
        <x:v>0.18559556786703602</x:v>
      </x:c>
      <x:c r="L2634" s="24" t="n">
        <x:v>0.0034626038781163434</x:v>
      </x:c>
    </x:row>
    <x:row r="2635">
      <x:c r="G2635" t="str">
        <x:v>PBI-PVD</x:v>
      </x:c>
      <x:c r="H2635" t="str">
        <x:v>PBI</x:v>
      </x:c>
      <x:c r="I2635" t="str">
        <x:v>PVD</x:v>
      </x:c>
      <x:c r="J2635" s="23" t="n">
        <x:v>1218</x:v>
      </x:c>
      <x:c r="K2635" s="24" t="n">
        <x:v>0.18555008210180624</x:v>
      </x:c>
      <x:c r="L2635" s="24" t="n">
        <x:v>0.007389162561576354</x:v>
      </x:c>
    </x:row>
    <x:row r="2636">
      <x:c r="G2636" t="str">
        <x:v>ABQ-ORD</x:v>
      </x:c>
      <x:c r="H2636" t="str">
        <x:v>ABQ</x:v>
      </x:c>
      <x:c r="I2636" t="str">
        <x:v>ORD</x:v>
      </x:c>
      <x:c r="J2636" s="23" t="n">
        <x:v>2792</x:v>
      </x:c>
      <x:c r="K2636" s="24" t="n">
        <x:v>0.18553008595988538</x:v>
      </x:c>
      <x:c r="L2636" s="24" t="n">
        <x:v>0.008954154727793696</x:v>
      </x:c>
    </x:row>
    <x:row r="2637">
      <x:c r="G2637" t="str">
        <x:v>MIA-GNV</x:v>
      </x:c>
      <x:c r="H2637" t="str">
        <x:v>MIA</x:v>
      </x:c>
      <x:c r="I2637" t="str">
        <x:v>GNV</x:v>
      </x:c>
      <x:c r="J2637" s="23" t="n">
        <x:v>1035</x:v>
      </x:c>
      <x:c r="K2637" s="24" t="n">
        <x:v>0.1855072463768116</x:v>
      </x:c>
      <x:c r="L2637" s="24" t="n">
        <x:v>0.01642512077294686</x:v>
      </x:c>
    </x:row>
    <x:row r="2638">
      <x:c r="G2638" t="str">
        <x:v>SFO-ATL</x:v>
      </x:c>
      <x:c r="H2638" t="str">
        <x:v>SFO</x:v>
      </x:c>
      <x:c r="I2638" t="str">
        <x:v>ATL</x:v>
      </x:c>
      <x:c r="J2638" s="23" t="n">
        <x:v>9709</x:v>
      </x:c>
      <x:c r="K2638" s="24" t="n">
        <x:v>0.18549799155422803</x:v>
      </x:c>
      <x:c r="L2638" s="24" t="n">
        <x:v>0.009475744154907817</x:v>
      </x:c>
    </x:row>
    <x:row r="2639">
      <x:c r="G2639" t="str">
        <x:v>EWR-CVG</x:v>
      </x:c>
      <x:c r="H2639" t="str">
        <x:v>EWR</x:v>
      </x:c>
      <x:c r="I2639" t="str">
        <x:v>CVG</x:v>
      </x:c>
      <x:c r="J2639" s="23" t="n">
        <x:v>4492</x:v>
      </x:c>
      <x:c r="K2639" s="24" t="n">
        <x:v>0.18544078361531613</x:v>
      </x:c>
      <x:c r="L2639" s="24" t="n">
        <x:v>0.03539626001780944</x:v>
      </x:c>
    </x:row>
    <x:row r="2640">
      <x:c r="G2640" t="str">
        <x:v>MKE-JFK</x:v>
      </x:c>
      <x:c r="H2640" t="str">
        <x:v>MKE</x:v>
      </x:c>
      <x:c r="I2640" t="str">
        <x:v>JFK</x:v>
      </x:c>
      <x:c r="J2640" s="23" t="n">
        <x:v>1645</x:v>
      </x:c>
      <x:c r="K2640" s="24" t="n">
        <x:v>0.18541033434650456</x:v>
      </x:c>
      <x:c r="L2640" s="24" t="n">
        <x:v>0.019452887537993922</x:v>
      </x:c>
    </x:row>
    <x:row r="2641">
      <x:c r="G2641" t="str">
        <x:v>TUL-DCA</x:v>
      </x:c>
      <x:c r="H2641" t="str">
        <x:v>TUL</x:v>
      </x:c>
      <x:c r="I2641" t="str">
        <x:v>DCA</x:v>
      </x:c>
      <x:c r="J2641" s="23" t="n">
        <x:v>1074</x:v>
      </x:c>
      <x:c r="K2641" s="24" t="n">
        <x:v>0.18528864059590316</x:v>
      </x:c>
      <x:c r="L2641" s="24" t="n">
        <x:v>0.04748603351955307</x:v>
      </x:c>
    </x:row>
    <x:row r="2642">
      <x:c r="G2642" t="str">
        <x:v>PWM-JFK</x:v>
      </x:c>
      <x:c r="H2642" t="str">
        <x:v>PWM</x:v>
      </x:c>
      <x:c r="I2642" t="str">
        <x:v>JFK</x:v>
      </x:c>
      <x:c r="J2642" s="23" t="n">
        <x:v>2650</x:v>
      </x:c>
      <x:c r="K2642" s="24" t="n">
        <x:v>0.18528301886792453</x:v>
      </x:c>
      <x:c r="L2642" s="24" t="n">
        <x:v>0.041132075471698115</x:v>
      </x:c>
    </x:row>
    <x:row r="2643">
      <x:c r="G2643" t="str">
        <x:v>JAN-CLT</x:v>
      </x:c>
      <x:c r="H2643" t="str">
        <x:v>JAN</x:v>
      </x:c>
      <x:c r="I2643" t="str">
        <x:v>CLT</x:v>
      </x:c>
      <x:c r="J2643" s="23" t="n">
        <x:v>1603</x:v>
      </x:c>
      <x:c r="K2643" s="24" t="n">
        <x:v>0.1852776044915783</x:v>
      </x:c>
      <x:c r="L2643" s="24" t="n">
        <x:v>0.01684341859014348</x:v>
      </x:c>
    </x:row>
    <x:row r="2644">
      <x:c r="G2644" t="str">
        <x:v>CAE-ORD</x:v>
      </x:c>
      <x:c r="H2644" t="str">
        <x:v>CAE</x:v>
      </x:c>
      <x:c r="I2644" t="str">
        <x:v>ORD</x:v>
      </x:c>
      <x:c r="J2644" s="23" t="n">
        <x:v>1560</x:v>
      </x:c>
      <x:c r="K2644" s="24" t="n">
        <x:v>0.18525641025641026</x:v>
      </x:c>
      <x:c r="L2644" s="24" t="n">
        <x:v>0.014743589743589743</x:v>
      </x:c>
    </x:row>
    <x:row r="2645">
      <x:c r="G2645" t="str">
        <x:v>DTW-ATL</x:v>
      </x:c>
      <x:c r="H2645" t="str">
        <x:v>DTW</x:v>
      </x:c>
      <x:c r="I2645" t="str">
        <x:v>ATL</x:v>
      </x:c>
      <x:c r="J2645" s="23" t="n">
        <x:v>15235</x:v>
      </x:c>
      <x:c r="K2645" s="24" t="n">
        <x:v>0.18523137512307186</x:v>
      </x:c>
      <x:c r="L2645" s="24" t="n">
        <x:v>0.00781096160157532</x:v>
      </x:c>
    </x:row>
    <x:row r="2646">
      <x:c r="G2646" t="str">
        <x:v>MIA-IAD</x:v>
      </x:c>
      <x:c r="H2646" t="str">
        <x:v>MIA</x:v>
      </x:c>
      <x:c r="I2646" t="str">
        <x:v>IAD</x:v>
      </x:c>
      <x:c r="J2646" s="23" t="n">
        <x:v>1555</x:v>
      </x:c>
      <x:c r="K2646" s="24" t="n">
        <x:v>0.18520900321543407</x:v>
      </x:c>
      <x:c r="L2646" s="24" t="n">
        <x:v>0.01157556270096463</x:v>
      </x:c>
    </x:row>
    <x:row r="2647">
      <x:c r="G2647" t="str">
        <x:v>SAV-EWR</x:v>
      </x:c>
      <x:c r="H2647" t="str">
        <x:v>SAV</x:v>
      </x:c>
      <x:c r="I2647" t="str">
        <x:v>EWR</x:v>
      </x:c>
      <x:c r="J2647" s="23" t="n">
        <x:v>3013</x:v>
      </x:c>
      <x:c r="K2647" s="24" t="n">
        <x:v>0.18519747759707933</x:v>
      </x:c>
      <x:c r="L2647" s="24" t="n">
        <x:v>0.02456023896448722</x:v>
      </x:c>
    </x:row>
    <x:row r="2648">
      <x:c r="G2648" t="str">
        <x:v>PHL-SDF</x:v>
      </x:c>
      <x:c r="H2648" t="str">
        <x:v>PHL</x:v>
      </x:c>
      <x:c r="I2648" t="str">
        <x:v>SDF</x:v>
      </x:c>
      <x:c r="J2648" s="23" t="n">
        <x:v>1323</x:v>
      </x:c>
      <x:c r="K2648" s="24" t="n">
        <x:v>0.18518518518518517</x:v>
      </x:c>
      <x:c r="L2648" s="24" t="n">
        <x:v>0.022675736961451247</x:v>
      </x:c>
    </x:row>
    <x:row r="2649">
      <x:c r="G2649" t="str">
        <x:v>DFW-EVV</x:v>
      </x:c>
      <x:c r="H2649" t="str">
        <x:v>DFW</x:v>
      </x:c>
      <x:c r="I2649" t="str">
        <x:v>EVV</x:v>
      </x:c>
      <x:c r="J2649" s="23" t="n">
        <x:v>2754</x:v>
      </x:c>
      <x:c r="K2649" s="24" t="n">
        <x:v>0.18518518518518517</x:v>
      </x:c>
      <x:c r="L2649" s="24" t="n">
        <x:v>0.014161220043572984</x:v>
      </x:c>
    </x:row>
    <x:row r="2650">
      <x:c r="G2650" t="str">
        <x:v>DEN-DDC</x:v>
      </x:c>
      <x:c r="H2650" t="str">
        <x:v>DEN</x:v>
      </x:c>
      <x:c r="I2650" t="str">
        <x:v>DDC</x:v>
      </x:c>
      <x:c r="J2650" s="23" t="n">
        <x:v>1307</x:v>
      </x:c>
      <x:c r="K2650" s="24" t="n">
        <x:v>0.18515684774292274</x:v>
      </x:c>
      <x:c r="L2650" s="24" t="n">
        <x:v>0.020657995409334353</x:v>
      </x:c>
    </x:row>
    <x:row r="2651">
      <x:c r="G2651" t="str">
        <x:v>PHX-SJC</x:v>
      </x:c>
      <x:c r="H2651" t="str">
        <x:v>PHX</x:v>
      </x:c>
      <x:c r="I2651" t="str">
        <x:v>SJC</x:v>
      </x:c>
      <x:c r="J2651" s="23" t="n">
        <x:v>9173</x:v>
      </x:c>
      <x:c r="K2651" s="24" t="n">
        <x:v>0.18510847051128312</x:v>
      </x:c>
      <x:c r="L2651" s="24" t="n">
        <x:v>0.0031614520876485338</x:v>
      </x:c>
    </x:row>
    <x:row r="2652">
      <x:c r="G2652" t="str">
        <x:v>SAV-PHL</x:v>
      </x:c>
      <x:c r="H2652" t="str">
        <x:v>SAV</x:v>
      </x:c>
      <x:c r="I2652" t="str">
        <x:v>PHL</x:v>
      </x:c>
      <x:c r="J2652" s="23" t="n">
        <x:v>2804</x:v>
      </x:c>
      <x:c r="K2652" s="24" t="n">
        <x:v>0.18509272467902996</x:v>
      </x:c>
      <x:c r="L2652" s="24" t="n">
        <x:v>0.020328102710413694</x:v>
      </x:c>
    </x:row>
    <x:row r="2653">
      <x:c r="G2653" t="str">
        <x:v>OGG-SMF</x:v>
      </x:c>
      <x:c r="H2653" t="str">
        <x:v>OGG</x:v>
      </x:c>
      <x:c r="I2653" t="str">
        <x:v>SMF</x:v>
      </x:c>
      <x:c r="J2653" s="23" t="n">
        <x:v>1594</x:v>
      </x:c>
      <x:c r="K2653" s="24" t="n">
        <x:v>0.185069008782936</x:v>
      </x:c>
      <x:c r="L2653" s="24" t="n">
        <x:v>0.002509410288582183</x:v>
      </x:c>
    </x:row>
    <x:row r="2654">
      <x:c r="G2654" t="str">
        <x:v>ATL-EYW</x:v>
      </x:c>
      <x:c r="H2654" t="str">
        <x:v>ATL</x:v>
      </x:c>
      <x:c r="I2654" t="str">
        <x:v>EYW</x:v>
      </x:c>
      <x:c r="J2654" s="23" t="n">
        <x:v>4415</x:v>
      </x:c>
      <x:c r="K2654" s="24" t="n">
        <x:v>0.18505096262740656</x:v>
      </x:c>
      <x:c r="L2654" s="24" t="n">
        <x:v>0.01087202718006795</x:v>
      </x:c>
    </x:row>
    <x:row r="2655">
      <x:c r="G2655" t="str">
        <x:v>LAS-LBB</x:v>
      </x:c>
      <x:c r="H2655" t="str">
        <x:v>LAS</x:v>
      </x:c>
      <x:c r="I2655" t="str">
        <x:v>LBB</x:v>
      </x:c>
      <x:c r="J2655" s="23" t="n">
        <x:v>1097</x:v>
      </x:c>
      <x:c r="K2655" s="24" t="n">
        <x:v>0.18505013673655424</x:v>
      </x:c>
      <x:c r="L2655" s="24" t="n">
        <x:v>0.0027347310847766638</x:v>
      </x:c>
    </x:row>
    <x:row r="2656">
      <x:c r="G2656" t="str">
        <x:v>BNA-CMH</x:v>
      </x:c>
      <x:c r="H2656" t="str">
        <x:v>BNA</x:v>
      </x:c>
      <x:c r="I2656" t="str">
        <x:v>CMH</x:v>
      </x:c>
      <x:c r="J2656" s="23" t="n">
        <x:v>2449</x:v>
      </x:c>
      <x:c r="K2656" s="24" t="n">
        <x:v>0.18497345855451205</x:v>
      </x:c>
      <x:c r="L2656" s="24" t="n">
        <x:v>0.008166598611678236</x:v>
      </x:c>
    </x:row>
    <x:row r="2657">
      <x:c r="G2657" t="str">
        <x:v>DEN-EGE</x:v>
      </x:c>
      <x:c r="H2657" t="str">
        <x:v>DEN</x:v>
      </x:c>
      <x:c r="I2657" t="str">
        <x:v>EGE</x:v>
      </x:c>
      <x:c r="J2657" s="23" t="n">
        <x:v>3840</x:v>
      </x:c>
      <x:c r="K2657" s="24" t="n">
        <x:v>0.18489583333333334</x:v>
      </x:c>
      <x:c r="L2657" s="24" t="n">
        <x:v>0.01328125</x:v>
      </x:c>
    </x:row>
    <x:row r="2658">
      <x:c r="G2658" t="str">
        <x:v>FSD-ATL</x:v>
      </x:c>
      <x:c r="H2658" t="str">
        <x:v>FSD</x:v>
      </x:c>
      <x:c r="I2658" t="str">
        <x:v>ATL</x:v>
      </x:c>
      <x:c r="J2658" s="23" t="n">
        <x:v>1098</x:v>
      </x:c>
      <x:c r="K2658" s="24" t="n">
        <x:v>0.1848816029143898</x:v>
      </x:c>
      <x:c r="L2658" s="24" t="n">
        <x:v>0.018214936247723135</x:v>
      </x:c>
    </x:row>
    <x:row r="2659">
      <x:c r="G2659" t="str">
        <x:v>CHS-LGA</x:v>
      </x:c>
      <x:c r="H2659" t="str">
        <x:v>CHS</x:v>
      </x:c>
      <x:c r="I2659" t="str">
        <x:v>LGA</x:v>
      </x:c>
      <x:c r="J2659" s="23" t="n">
        <x:v>4722</x:v>
      </x:c>
      <x:c r="K2659" s="24" t="n">
        <x:v>0.1848792884371029</x:v>
      </x:c>
      <x:c r="L2659" s="24" t="n">
        <x:v>0.030072003388394747</x:v>
      </x:c>
    </x:row>
    <x:row r="2660">
      <x:c r="G2660" t="str">
        <x:v>MSP-XWA</x:v>
      </x:c>
      <x:c r="H2660" t="str">
        <x:v>MSP</x:v>
      </x:c>
      <x:c r="I2660" t="str">
        <x:v>XWA</x:v>
      </x:c>
      <x:c r="J2660" s="23" t="n">
        <x:v>2256</x:v>
      </x:c>
      <x:c r="K2660" s="24" t="n">
        <x:v>0.1848404255319149</x:v>
      </x:c>
      <x:c r="L2660" s="24" t="n">
        <x:v>0.011968085106382979</x:v>
      </x:c>
    </x:row>
    <x:row r="2661">
      <x:c r="G2661" t="str">
        <x:v>IAH-LAX</x:v>
      </x:c>
      <x:c r="H2661" t="str">
        <x:v>IAH</x:v>
      </x:c>
      <x:c r="I2661" t="str">
        <x:v>LAX</x:v>
      </x:c>
      <x:c r="J2661" s="23" t="n">
        <x:v>16108</x:v>
      </x:c>
      <x:c r="K2661" s="24" t="n">
        <x:v>0.18481499875838092</x:v>
      </x:c>
      <x:c r="L2661" s="24" t="n">
        <x:v>0.010677924012912838</x:v>
      </x:c>
    </x:row>
    <x:row r="2662">
      <x:c r="G2662" t="str">
        <x:v>LAX-SAT</x:v>
      </x:c>
      <x:c r="H2662" t="str">
        <x:v>LAX</x:v>
      </x:c>
      <x:c r="I2662" t="str">
        <x:v>SAT</x:v>
      </x:c>
      <x:c r="J2662" s="23" t="n">
        <x:v>6282</x:v>
      </x:c>
      <x:c r="K2662" s="24" t="n">
        <x:v>0.18481375358166188</x:v>
      </x:c>
      <x:c r="L2662" s="24" t="n">
        <x:v>0.005093919134033747</x:v>
      </x:c>
    </x:row>
    <x:row r="2663">
      <x:c r="G2663" t="str">
        <x:v>DFW-SJT</x:v>
      </x:c>
      <x:c r="H2663" t="str">
        <x:v>DFW</x:v>
      </x:c>
      <x:c r="I2663" t="str">
        <x:v>SJT</x:v>
      </x:c>
      <x:c r="J2663" s="23" t="n">
        <x:v>3301</x:v>
      </x:c>
      <x:c r="K2663" s="24" t="n">
        <x:v>0.1847924871251136</x:v>
      </x:c>
      <x:c r="L2663" s="24" t="n">
        <x:v>0.024538018782187216</x:v>
      </x:c>
    </x:row>
    <x:row r="2664">
      <x:c r="G2664" t="str">
        <x:v>ATL-PDX</x:v>
      </x:c>
      <x:c r="H2664" t="str">
        <x:v>ATL</x:v>
      </x:c>
      <x:c r="I2664" t="str">
        <x:v>PDX</x:v>
      </x:c>
      <x:c r="J2664" s="23" t="n">
        <x:v>4194</x:v>
      </x:c>
      <x:c r="K2664" s="24" t="n">
        <x:v>0.18478779208392943</x:v>
      </x:c>
      <x:c r="L2664" s="24" t="n">
        <x:v>0.006914639961850262</x:v>
      </x:c>
    </x:row>
    <x:row r="2665">
      <x:c r="G2665" t="str">
        <x:v>MSP-MSN</x:v>
      </x:c>
      <x:c r="H2665" t="str">
        <x:v>MSP</x:v>
      </x:c>
      <x:c r="I2665" t="str">
        <x:v>MSN</x:v>
      </x:c>
      <x:c r="J2665" s="23" t="n">
        <x:v>4032</x:v>
      </x:c>
      <x:c r="K2665" s="24" t="n">
        <x:v>0.1847718253968254</x:v>
      </x:c>
      <x:c r="L2665" s="24" t="n">
        <x:v>0.006448412698412698</x:v>
      </x:c>
    </x:row>
    <x:row r="2666">
      <x:c r="G2666" t="str">
        <x:v>IAH-CLE</x:v>
      </x:c>
      <x:c r="H2666" t="str">
        <x:v>IAH</x:v>
      </x:c>
      <x:c r="I2666" t="str">
        <x:v>CLE</x:v>
      </x:c>
      <x:c r="J2666" s="23" t="n">
        <x:v>3112</x:v>
      </x:c>
      <x:c r="K2666" s="24" t="n">
        <x:v>0.18476863753213368</x:v>
      </x:c>
      <x:c r="L2666" s="24" t="n">
        <x:v>0.008997429305912597</x:v>
      </x:c>
    </x:row>
    <x:row r="2667">
      <x:c r="G2667" t="str">
        <x:v>MSY-BNA</x:v>
      </x:c>
      <x:c r="H2667" t="str">
        <x:v>MSY</x:v>
      </x:c>
      <x:c r="I2667" t="str">
        <x:v>BNA</x:v>
      </x:c>
      <x:c r="J2667" s="23" t="n">
        <x:v>4033</x:v>
      </x:c>
      <x:c r="K2667" s="24" t="n">
        <x:v>0.18472601041408382</x:v>
      </x:c>
      <x:c r="L2667" s="24" t="n">
        <x:v>0.009918175055789735</x:v>
      </x:c>
    </x:row>
    <x:row r="2668">
      <x:c r="G2668" t="str">
        <x:v>CVG-LAX</x:v>
      </x:c>
      <x:c r="H2668" t="str">
        <x:v>CVG</x:v>
      </x:c>
      <x:c r="I2668" t="str">
        <x:v>LAX</x:v>
      </x:c>
      <x:c r="J2668" s="23" t="n">
        <x:v>1170</x:v>
      </x:c>
      <x:c r="K2668" s="24" t="n">
        <x:v>0.18461538461538463</x:v>
      </x:c>
      <x:c r="L2668" s="24" t="n">
        <x:v>0.010256410256410256</x:v>
      </x:c>
    </x:row>
    <x:row r="2669">
      <x:c r="G2669" t="str">
        <x:v>DTW-SAT</x:v>
      </x:c>
      <x:c r="H2669" t="str">
        <x:v>DTW</x:v>
      </x:c>
      <x:c r="I2669" t="str">
        <x:v>SAT</x:v>
      </x:c>
      <x:c r="J2669" s="23" t="n">
        <x:v>2775</x:v>
      </x:c>
      <x:c r="K2669" s="24" t="n">
        <x:v>0.1845045045045045</x:v>
      </x:c>
      <x:c r="L2669" s="24" t="n">
        <x:v>0.0075675675675675675</x:v>
      </x:c>
    </x:row>
    <x:row r="2670">
      <x:c r="G2670" t="str">
        <x:v>DTW-LAX</x:v>
      </x:c>
      <x:c r="H2670" t="str">
        <x:v>DTW</x:v>
      </x:c>
      <x:c r="I2670" t="str">
        <x:v>LAX</x:v>
      </x:c>
      <x:c r="J2670" s="23" t="n">
        <x:v>8224</x:v>
      </x:c>
      <x:c r="K2670" s="24" t="n">
        <x:v>0.18446011673151752</x:v>
      </x:c>
      <x:c r="L2670" s="24" t="n">
        <x:v>0.008754863813229572</x:v>
      </x:c>
    </x:row>
    <x:row r="2671">
      <x:c r="G2671" t="str">
        <x:v>TVC-DTW</x:v>
      </x:c>
      <x:c r="H2671" t="str">
        <x:v>TVC</x:v>
      </x:c>
      <x:c r="I2671" t="str">
        <x:v>DTW</x:v>
      </x:c>
      <x:c r="J2671" s="23" t="n">
        <x:v>3410</x:v>
      </x:c>
      <x:c r="K2671" s="24" t="n">
        <x:v>0.1844574780058651</x:v>
      </x:c>
      <x:c r="L2671" s="24" t="n">
        <x:v>0.00909090909090909</x:v>
      </x:c>
    </x:row>
    <x:row r="2672">
      <x:c r="G2672" t="str">
        <x:v>TPA-MSY</x:v>
      </x:c>
      <x:c r="H2672" t="str">
        <x:v>TPA</x:v>
      </x:c>
      <x:c r="I2672" t="str">
        <x:v>MSY</x:v>
      </x:c>
      <x:c r="J2672" s="23" t="n">
        <x:v>3649</x:v>
      </x:c>
      <x:c r="K2672" s="24" t="n">
        <x:v>0.18443409153192655</x:v>
      </x:c>
      <x:c r="L2672" s="24" t="n">
        <x:v>0.01534667032063579</x:v>
      </x:c>
    </x:row>
    <x:row r="2673">
      <x:c r="G2673" t="str">
        <x:v>SBN-ATL</x:v>
      </x:c>
      <x:c r="H2673" t="str">
        <x:v>SBN</x:v>
      </x:c>
      <x:c r="I2673" t="str">
        <x:v>ATL</x:v>
      </x:c>
      <x:c r="J2673" s="23" t="n">
        <x:v>2988</x:v>
      </x:c>
      <x:c r="K2673" s="24" t="n">
        <x:v>0.18440428380187415</x:v>
      </x:c>
      <x:c r="L2673" s="24" t="n">
        <x:v>0.009370816599732263</x:v>
      </x:c>
    </x:row>
    <x:row r="2674">
      <x:c r="G2674" t="str">
        <x:v>GSO-DCA</x:v>
      </x:c>
      <x:c r="H2674" t="str">
        <x:v>GSO</x:v>
      </x:c>
      <x:c r="I2674" t="str">
        <x:v>DCA</x:v>
      </x:c>
      <x:c r="J2674" s="23" t="n">
        <x:v>2511</x:v>
      </x:c>
      <x:c r="K2674" s="24" t="n">
        <x:v>0.18438868976503386</x:v>
      </x:c>
      <x:c r="L2674" s="24" t="n">
        <x:v>0.027877339705296694</x:v>
      </x:c>
    </x:row>
    <x:row r="2675">
      <x:c r="G2675" t="str">
        <x:v>IND-LAX</x:v>
      </x:c>
      <x:c r="H2675" t="str">
        <x:v>IND</x:v>
      </x:c>
      <x:c r="I2675" t="str">
        <x:v>LAX</x:v>
      </x:c>
      <x:c r="J2675" s="23" t="n">
        <x:v>1996</x:v>
      </x:c>
      <x:c r="K2675" s="24" t="n">
        <x:v>0.1843687374749499</x:v>
      </x:c>
      <x:c r="L2675" s="24" t="n">
        <x:v>0.005511022044088177</x:v>
      </x:c>
    </x:row>
    <x:row r="2676">
      <x:c r="G2676" t="str">
        <x:v>DFW-LRD</x:v>
      </x:c>
      <x:c r="H2676" t="str">
        <x:v>DFW</x:v>
      </x:c>
      <x:c r="I2676" t="str">
        <x:v>LRD</x:v>
      </x:c>
      <x:c r="J2676" s="23" t="n">
        <x:v>4541</x:v>
      </x:c>
      <x:c r="K2676" s="24" t="n">
        <x:v>0.1843206342215371</x:v>
      </x:c>
      <x:c r="L2676" s="24" t="n">
        <x:v>0.023563091829993395</x:v>
      </x:c>
    </x:row>
    <x:row r="2677">
      <x:c r="G2677" t="str">
        <x:v>BNA-SAT</x:v>
      </x:c>
      <x:c r="H2677" t="str">
        <x:v>BNA</x:v>
      </x:c>
      <x:c r="I2677" t="str">
        <x:v>SAT</x:v>
      </x:c>
      <x:c r="J2677" s="23" t="n">
        <x:v>2436</x:v>
      </x:c>
      <x:c r="K2677" s="24" t="n">
        <x:v>0.18431855500821018</x:v>
      </x:c>
      <x:c r="L2677" s="24" t="n">
        <x:v>0.006568144499178982</x:v>
      </x:c>
    </x:row>
    <x:row r="2678">
      <x:c r="G2678" t="str">
        <x:v>DCA-SLC</x:v>
      </x:c>
      <x:c r="H2678" t="str">
        <x:v>DCA</x:v>
      </x:c>
      <x:c r="I2678" t="str">
        <x:v>SLC</x:v>
      </x:c>
      <x:c r="J2678" s="23" t="n">
        <x:v>1096</x:v>
      </x:c>
      <x:c r="K2678" s="24" t="n">
        <x:v>0.1843065693430657</x:v>
      </x:c>
      <x:c r="L2678" s="24" t="n">
        <x:v>0.009124087591240875</x:v>
      </x:c>
    </x:row>
    <x:row r="2679">
      <x:c r="G2679" t="str">
        <x:v>OAK-RNO</x:v>
      </x:c>
      <x:c r="H2679" t="str">
        <x:v>OAK</x:v>
      </x:c>
      <x:c r="I2679" t="str">
        <x:v>RNO</x:v>
      </x:c>
      <x:c r="J2679" s="23" t="n">
        <x:v>1427</x:v>
      </x:c>
      <x:c r="K2679" s="24" t="n">
        <x:v>0.18430273300630695</x:v>
      </x:c>
      <x:c r="L2679" s="24" t="n">
        <x:v>0.006306937631394534</x:v>
      </x:c>
    </x:row>
    <x:row r="2680">
      <x:c r="G2680" t="str">
        <x:v>ATL-ATW</x:v>
      </x:c>
      <x:c r="H2680" t="str">
        <x:v>ATL</x:v>
      </x:c>
      <x:c r="I2680" t="str">
        <x:v>ATW</x:v>
      </x:c>
      <x:c r="J2680" s="23" t="n">
        <x:v>1107</x:v>
      </x:c>
      <x:c r="K2680" s="24" t="n">
        <x:v>0.1842818428184282</x:v>
      </x:c>
      <x:c r="L2680" s="24" t="n">
        <x:v>0.00993676603432701</x:v>
      </x:c>
    </x:row>
    <x:row r="2681">
      <x:c r="G2681" t="str">
        <x:v>SJU-ATL</x:v>
      </x:c>
      <x:c r="H2681" t="str">
        <x:v>SJU</x:v>
      </x:c>
      <x:c r="I2681" t="str">
        <x:v>ATL</x:v>
      </x:c>
      <x:c r="J2681" s="23" t="n">
        <x:v>6165</x:v>
      </x:c>
      <x:c r="K2681" s="24" t="n">
        <x:v>0.18426601784266017</x:v>
      </x:c>
      <x:c r="L2681" s="24" t="n">
        <x:v>0.007785888077858881</x:v>
      </x:c>
    </x:row>
    <x:row r="2682">
      <x:c r="G2682" t="str">
        <x:v>BOS-CLT</x:v>
      </x:c>
      <x:c r="H2682" t="str">
        <x:v>BOS</x:v>
      </x:c>
      <x:c r="I2682" t="str">
        <x:v>CLT</x:v>
      </x:c>
      <x:c r="J2682" s="23" t="n">
        <x:v>14100</x:v>
      </x:c>
      <x:c r="K2682" s="24" t="n">
        <x:v>0.18418439716312057</x:v>
      </x:c>
      <x:c r="L2682" s="24" t="n">
        <x:v>0.016453900709219857</x:v>
      </x:c>
    </x:row>
    <x:row r="2683">
      <x:c r="G2683" t="str">
        <x:v>CIU-DTW</x:v>
      </x:c>
      <x:c r="H2683" t="str">
        <x:v>CIU</x:v>
      </x:c>
      <x:c r="I2683" t="str">
        <x:v>DTW</x:v>
      </x:c>
      <x:c r="J2683" s="23" t="n">
        <x:v>1086</x:v>
      </x:c>
      <x:c r="K2683" s="24" t="n">
        <x:v>0.1841620626151013</x:v>
      </x:c>
      <x:c r="L2683" s="24" t="n">
        <x:v>0.01565377532228361</x:v>
      </x:c>
    </x:row>
    <x:row r="2684">
      <x:c r="G2684" t="str">
        <x:v>CAK-CLT</x:v>
      </x:c>
      <x:c r="H2684" t="str">
        <x:v>CAK</x:v>
      </x:c>
      <x:c r="I2684" t="str">
        <x:v>CLT</x:v>
      </x:c>
      <x:c r="J2684" s="23" t="n">
        <x:v>4003</x:v>
      </x:c>
      <x:c r="K2684" s="24" t="n">
        <x:v>0.1841119160629528</x:v>
      </x:c>
      <x:c r="L2684" s="24" t="n">
        <x:v>0.0069947539345490885</x:v>
      </x:c>
    </x:row>
    <x:row r="2685">
      <x:c r="G2685" t="str">
        <x:v>DCA-ATL</x:v>
      </x:c>
      <x:c r="H2685" t="str">
        <x:v>DCA</x:v>
      </x:c>
      <x:c r="I2685" t="str">
        <x:v>ATL</x:v>
      </x:c>
      <x:c r="J2685" s="23" t="n">
        <x:v>20695</x:v>
      </x:c>
      <x:c r="K2685" s="24" t="n">
        <x:v>0.18410244020294758</x:v>
      </x:c>
      <x:c r="L2685" s="24" t="n">
        <x:v>0.018168639768059918</x:v>
      </x:c>
    </x:row>
    <x:row r="2686">
      <x:c r="G2686" t="str">
        <x:v>SAN-EWR</x:v>
      </x:c>
      <x:c r="H2686" t="str">
        <x:v>SAN</x:v>
      </x:c>
      <x:c r="I2686" t="str">
        <x:v>EWR</x:v>
      </x:c>
      <x:c r="J2686" s="23" t="n">
        <x:v>4862</x:v>
      </x:c>
      <x:c r="K2686" s="24" t="n">
        <x:v>0.18408062525709584</x:v>
      </x:c>
      <x:c r="L2686" s="24" t="n">
        <x:v>0.018922254216371864</x:v>
      </x:c>
    </x:row>
    <x:row r="2687">
      <x:c r="G2687" t="str">
        <x:v>LGA-IAD</x:v>
      </x:c>
      <x:c r="H2687" t="str">
        <x:v>LGA</x:v>
      </x:c>
      <x:c r="I2687" t="str">
        <x:v>IAD</x:v>
      </x:c>
      <x:c r="J2687" s="23" t="n">
        <x:v>2648</x:v>
      </x:c>
      <x:c r="K2687" s="24" t="n">
        <x:v>0.18391238670694865</x:v>
      </x:c>
      <x:c r="L2687" s="24" t="n">
        <x:v>0.03474320241691843</x:v>
      </x:c>
    </x:row>
    <x:row r="2688">
      <x:c r="G2688" t="str">
        <x:v>SYR-DFW</x:v>
      </x:c>
      <x:c r="H2688" t="str">
        <x:v>SYR</x:v>
      </x:c>
      <x:c r="I2688" t="str">
        <x:v>DFW</x:v>
      </x:c>
      <x:c r="J2688" s="23" t="n">
        <x:v>1039</x:v>
      </x:c>
      <x:c r="K2688" s="24" t="n">
        <x:v>0.18383060635226178</x:v>
      </x:c>
      <x:c r="L2688" s="24" t="n">
        <x:v>0.02021174205967276</x:v>
      </x:c>
    </x:row>
    <x:row r="2689">
      <x:c r="G2689" t="str">
        <x:v>SFO-MRY</x:v>
      </x:c>
      <x:c r="H2689" t="str">
        <x:v>SFO</x:v>
      </x:c>
      <x:c r="I2689" t="str">
        <x:v>MRY</x:v>
      </x:c>
      <x:c r="J2689" s="23" t="n">
        <x:v>1872</x:v>
      </x:c>
      <x:c r="K2689" s="24" t="n">
        <x:v>0.18376068376068377</x:v>
      </x:c>
      <x:c r="L2689" s="24" t="n">
        <x:v>0.015491452991452992</x:v>
      </x:c>
    </x:row>
    <x:row r="2690">
      <x:c r="G2690" t="str">
        <x:v>GSP-DEN</x:v>
      </x:c>
      <x:c r="H2690" t="str">
        <x:v>GSP</x:v>
      </x:c>
      <x:c r="I2690" t="str">
        <x:v>DEN</x:v>
      </x:c>
      <x:c r="J2690" s="23" t="n">
        <x:v>1132</x:v>
      </x:c>
      <x:c r="K2690" s="24" t="n">
        <x:v>0.18374558303886926</x:v>
      </x:c>
      <x:c r="L2690" s="24" t="n">
        <x:v>0.009717314487632508</x:v>
      </x:c>
    </x:row>
    <x:row r="2691">
      <x:c r="G2691" t="str">
        <x:v>BHM-DCA</x:v>
      </x:c>
      <x:c r="H2691" t="str">
        <x:v>BHM</x:v>
      </x:c>
      <x:c r="I2691" t="str">
        <x:v>DCA</x:v>
      </x:c>
      <x:c r="J2691" s="23" t="n">
        <x:v>3010</x:v>
      </x:c>
      <x:c r="K2691" s="24" t="n">
        <x:v>0.18372093023255814</x:v>
      </x:c>
      <x:c r="L2691" s="24" t="n">
        <x:v>0.02724252491694352</x:v>
      </x:c>
    </x:row>
    <x:row r="2692">
      <x:c r="G2692" t="str">
        <x:v>PIT-DEN</x:v>
      </x:c>
      <x:c r="H2692" t="str">
        <x:v>PIT</x:v>
      </x:c>
      <x:c r="I2692" t="str">
        <x:v>DEN</x:v>
      </x:c>
      <x:c r="J2692" s="23" t="n">
        <x:v>5133</x:v>
      </x:c>
      <x:c r="K2692" s="24" t="n">
        <x:v>0.18371322813169685</x:v>
      </x:c>
      <x:c r="L2692" s="24" t="n">
        <x:v>0.00487044613286577</x:v>
      </x:c>
    </x:row>
    <x:row r="2693">
      <x:c r="G2693" t="str">
        <x:v>PHX-ORD</x:v>
      </x:c>
      <x:c r="H2693" t="str">
        <x:v>PHX</x:v>
      </x:c>
      <x:c r="I2693" t="str">
        <x:v>ORD</x:v>
      </x:c>
      <x:c r="J2693" s="23" t="n">
        <x:v>17355</x:v>
      </x:c>
      <x:c r="K2693" s="24" t="n">
        <x:v>0.18369346009795448</x:v>
      </x:c>
      <x:c r="L2693" s="24" t="n">
        <x:v>0.010198789974070872</x:v>
      </x:c>
    </x:row>
    <x:row r="2694">
      <x:c r="G2694" t="str">
        <x:v>PWM-BWI</x:v>
      </x:c>
      <x:c r="H2694" t="str">
        <x:v>PWM</x:v>
      </x:c>
      <x:c r="I2694" t="str">
        <x:v>BWI</x:v>
      </x:c>
      <x:c r="J2694" s="23" t="n">
        <x:v>3860</x:v>
      </x:c>
      <x:c r="K2694" s="24" t="n">
        <x:v>0.18367875647668394</x:v>
      </x:c>
      <x:c r="L2694" s="24" t="n">
        <x:v>0.010621761658031088</x:v>
      </x:c>
    </x:row>
    <x:row r="2695">
      <x:c r="G2695" t="str">
        <x:v>IAD-CLT</x:v>
      </x:c>
      <x:c r="H2695" t="str">
        <x:v>IAD</x:v>
      </x:c>
      <x:c r="I2695" t="str">
        <x:v>CLT</x:v>
      </x:c>
      <x:c r="J2695" s="23" t="n">
        <x:v>5942</x:v>
      </x:c>
      <x:c r="K2695" s="24" t="n">
        <x:v>0.18360821272298888</x:v>
      </x:c>
      <x:c r="L2695" s="24" t="n">
        <x:v>0.015651295859979805</x:v>
      </x:c>
    </x:row>
    <x:row r="2696">
      <x:c r="G2696" t="str">
        <x:v>DAL-SAT</x:v>
      </x:c>
      <x:c r="H2696" t="str">
        <x:v>DAL</x:v>
      </x:c>
      <x:c r="I2696" t="str">
        <x:v>SAT</x:v>
      </x:c>
      <x:c r="J2696" s="23" t="n">
        <x:v>8433</x:v>
      </x:c>
      <x:c r="K2696" s="24" t="n">
        <x:v>0.18356456776947705</x:v>
      </x:c>
      <x:c r="L2696" s="24" t="n">
        <x:v>0.012688248547373413</x:v>
      </x:c>
    </x:row>
    <x:row r="2697">
      <x:c r="G2697" t="str">
        <x:v>IND-SFO</x:v>
      </x:c>
      <x:c r="H2697" t="str">
        <x:v>IND</x:v>
      </x:c>
      <x:c r="I2697" t="str">
        <x:v>SFO</x:v>
      </x:c>
      <x:c r="J2697" s="23" t="n">
        <x:v>1313</x:v>
      </x:c>
      <x:c r="K2697" s="24" t="n">
        <x:v>0.18354912414318356</x:v>
      </x:c>
      <x:c r="L2697" s="24" t="n">
        <x:v>0.014470677837014471</x:v>
      </x:c>
    </x:row>
    <x:row r="2698">
      <x:c r="G2698" t="str">
        <x:v>SEA-OKC</x:v>
      </x:c>
      <x:c r="H2698" t="str">
        <x:v>SEA</x:v>
      </x:c>
      <x:c r="I2698" t="str">
        <x:v>OKC</x:v>
      </x:c>
      <x:c r="J2698" s="23" t="n">
        <x:v>1057</x:v>
      </x:c>
      <x:c r="K2698" s="24" t="n">
        <x:v>0.18353831598864712</x:v>
      </x:c>
      <x:c r="L2698" s="24" t="n">
        <x:v>0.00946073793755913</x:v>
      </x:c>
    </x:row>
    <x:row r="2699">
      <x:c r="G2699" t="str">
        <x:v>ORD-BGR</x:v>
      </x:c>
      <x:c r="H2699" t="str">
        <x:v>ORD</x:v>
      </x:c>
      <x:c r="I2699" t="str">
        <x:v>BGR</x:v>
      </x:c>
      <x:c r="J2699" s="23" t="n">
        <x:v>1199</x:v>
      </x:c>
      <x:c r="K2699" s="24" t="n">
        <x:v>0.1834862385321101</x:v>
      </x:c>
      <x:c r="L2699" s="24" t="n">
        <x:v>0.004170141784820684</x:v>
      </x:c>
    </x:row>
    <x:row r="2700">
      <x:c r="G2700" t="str">
        <x:v>GJT-DFW</x:v>
      </x:c>
      <x:c r="H2700" t="str">
        <x:v>GJT</x:v>
      </x:c>
      <x:c r="I2700" t="str">
        <x:v>DFW</x:v>
      </x:c>
      <x:c r="J2700" s="23" t="n">
        <x:v>2867</x:v>
      </x:c>
      <x:c r="K2700" s="24" t="n">
        <x:v>0.18346703871642833</x:v>
      </x:c>
      <x:c r="L2700" s="24" t="n">
        <x:v>0.011510289501220789</x:v>
      </x:c>
    </x:row>
    <x:row r="2701">
      <x:c r="G2701" t="str">
        <x:v>BUR-SEA</x:v>
      </x:c>
      <x:c r="H2701" t="str">
        <x:v>BUR</x:v>
      </x:c>
      <x:c r="I2701" t="str">
        <x:v>SEA</x:v>
      </x:c>
      <x:c r="J2701" s="23" t="n">
        <x:v>4645</x:v>
      </x:c>
      <x:c r="K2701" s="24" t="n">
        <x:v>0.18342303552206674</x:v>
      </x:c>
      <x:c r="L2701" s="24" t="n">
        <x:v>0.017007534983853607</x:v>
      </x:c>
    </x:row>
    <x:row r="2702">
      <x:c r="G2702" t="str">
        <x:v>SJU-IAH</x:v>
      </x:c>
      <x:c r="H2702" t="str">
        <x:v>SJU</x:v>
      </x:c>
      <x:c r="I2702" t="str">
        <x:v>IAH</x:v>
      </x:c>
      <x:c r="J2702" s="23" t="n">
        <x:v>2759</x:v>
      </x:c>
      <x:c r="K2702" s="24" t="n">
        <x:v>0.18339978252990213</x:v>
      </x:c>
      <x:c r="L2702" s="24" t="n">
        <x:v>0.013048205871692642</x:v>
      </x:c>
    </x:row>
    <x:row r="2703">
      <x:c r="G2703" t="str">
        <x:v>SLC-IAH</x:v>
      </x:c>
      <x:c r="H2703" t="str">
        <x:v>SLC</x:v>
      </x:c>
      <x:c r="I2703" t="str">
        <x:v>IAH</x:v>
      </x:c>
      <x:c r="J2703" s="23" t="n">
        <x:v>5982</x:v>
      </x:c>
      <x:c r="K2703" s="24" t="n">
        <x:v>0.18338348378468738</x:v>
      </x:c>
      <x:c r="L2703" s="24" t="n">
        <x:v>0.010364426613172852</x:v>
      </x:c>
    </x:row>
    <x:row r="2704">
      <x:c r="G2704" t="str">
        <x:v>SAV-ORD</x:v>
      </x:c>
      <x:c r="H2704" t="str">
        <x:v>SAV</x:v>
      </x:c>
      <x:c r="I2704" t="str">
        <x:v>ORD</x:v>
      </x:c>
      <x:c r="J2704" s="23" t="n">
        <x:v>3136</x:v>
      </x:c>
      <x:c r="K2704" s="24" t="n">
        <x:v>0.1833545918367347</x:v>
      </x:c>
      <x:c r="L2704" s="24" t="n">
        <x:v>0.01371173469387755</x:v>
      </x:c>
    </x:row>
    <x:row r="2705">
      <x:c r="G2705" t="str">
        <x:v>CLL-DFW</x:v>
      </x:c>
      <x:c r="H2705" t="str">
        <x:v>CLL</x:v>
      </x:c>
      <x:c r="I2705" t="str">
        <x:v>DFW</x:v>
      </x:c>
      <x:c r="J2705" s="23" t="n">
        <x:v>3420</x:v>
      </x:c>
      <x:c r="K2705" s="24" t="n">
        <x:v>0.18333333333333332</x:v>
      </x:c>
      <x:c r="L2705" s="24" t="n">
        <x:v>0.028362573099415204</x:v>
      </x:c>
    </x:row>
    <x:row r="2706">
      <x:c r="G2706" t="str">
        <x:v>STL-PIT</x:v>
      </x:c>
      <x:c r="H2706" t="str">
        <x:v>STL</x:v>
      </x:c>
      <x:c r="I2706" t="str">
        <x:v>PIT</x:v>
      </x:c>
      <x:c r="J2706" s="23" t="n">
        <x:v>1162</x:v>
      </x:c>
      <x:c r="K2706" s="24" t="n">
        <x:v>0.18330464716006883</x:v>
      </x:c>
      <x:c r="L2706" s="24" t="n">
        <x:v>0.0025817555938037868</x:v>
      </x:c>
    </x:row>
    <x:row r="2707">
      <x:c r="G2707" t="str">
        <x:v>LGA-CLT</x:v>
      </x:c>
      <x:c r="H2707" t="str">
        <x:v>LGA</x:v>
      </x:c>
      <x:c r="I2707" t="str">
        <x:v>CLT</x:v>
      </x:c>
      <x:c r="J2707" s="23" t="n">
        <x:v>16269</x:v>
      </x:c>
      <x:c r="K2707" s="24" t="n">
        <x:v>0.1832319134550372</x:v>
      </x:c>
      <x:c r="L2707" s="24" t="n">
        <x:v>0.024832503534329094</x:v>
      </x:c>
    </x:row>
    <x:row r="2708">
      <x:c r="G2708" t="str">
        <x:v>ICT-LAS</x:v>
      </x:c>
      <x:c r="H2708" t="str">
        <x:v>ICT</x:v>
      </x:c>
      <x:c r="I2708" t="str">
        <x:v>LAS</x:v>
      </x:c>
      <x:c r="J2708" s="23" t="n">
        <x:v>1190</x:v>
      </x:c>
      <x:c r="K2708" s="24" t="n">
        <x:v>0.18319327731092436</x:v>
      </x:c>
      <x:c r="L2708" s="24" t="n">
        <x:v>0.0033613445378151263</x:v>
      </x:c>
    </x:row>
    <x:row r="2709">
      <x:c r="G2709" t="str">
        <x:v>DTW-PLN</x:v>
      </x:c>
      <x:c r="H2709" t="str">
        <x:v>DTW</x:v>
      </x:c>
      <x:c r="I2709" t="str">
        <x:v>PLN</x:v>
      </x:c>
      <x:c r="J2709" s="23" t="n">
        <x:v>2189</x:v>
      </x:c>
      <x:c r="K2709" s="24" t="n">
        <x:v>0.18318867062585656</x:v>
      </x:c>
      <x:c r="L2709" s="24" t="n">
        <x:v>0.024211968935587025</x:v>
      </x:c>
    </x:row>
    <x:row r="2710">
      <x:c r="G2710" t="str">
        <x:v>ATL-SHV</x:v>
      </x:c>
      <x:c r="H2710" t="str">
        <x:v>ATL</x:v>
      </x:c>
      <x:c r="I2710" t="str">
        <x:v>SHV</x:v>
      </x:c>
      <x:c r="J2710" s="23" t="n">
        <x:v>3603</x:v>
      </x:c>
      <x:c r="K2710" s="24" t="n">
        <x:v>0.18318068276436303</x:v>
      </x:c>
      <x:c r="L2710" s="24" t="n">
        <x:v>0.012767138495698029</x:v>
      </x:c>
    </x:row>
    <x:row r="2711">
      <x:c r="G2711" t="str">
        <x:v>DCA-MEM</x:v>
      </x:c>
      <x:c r="H2711" t="str">
        <x:v>DCA</x:v>
      </x:c>
      <x:c r="I2711" t="str">
        <x:v>MEM</x:v>
      </x:c>
      <x:c r="J2711" s="23" t="n">
        <x:v>3593</x:v>
      </x:c>
      <x:c r="K2711" s="24" t="n">
        <x:v>0.18313387141664347</x:v>
      </x:c>
      <x:c r="L2711" s="24" t="n">
        <x:v>0.021430559421096576</x:v>
      </x:c>
    </x:row>
    <x:row r="2712">
      <x:c r="G2712" t="str">
        <x:v>LAX-PHX</x:v>
      </x:c>
      <x:c r="H2712" t="str">
        <x:v>LAX</x:v>
      </x:c>
      <x:c r="I2712" t="str">
        <x:v>PHX</x:v>
      </x:c>
      <x:c r="J2712" s="23" t="n">
        <x:v>21350</x:v>
      </x:c>
      <x:c r="K2712" s="24" t="n">
        <x:v>0.18309133489461357</x:v>
      </x:c>
      <x:c r="L2712" s="24" t="n">
        <x:v>0.004964871194379391</x:v>
      </x:c>
    </x:row>
    <x:row r="2713">
      <x:c r="G2713" t="str">
        <x:v>DTW-JAX</x:v>
      </x:c>
      <x:c r="H2713" t="str">
        <x:v>DTW</x:v>
      </x:c>
      <x:c r="I2713" t="str">
        <x:v>JAX</x:v>
      </x:c>
      <x:c r="J2713" s="23" t="n">
        <x:v>1617</x:v>
      </x:c>
      <x:c r="K2713" s="24" t="n">
        <x:v>0.18305504019789734</x:v>
      </x:c>
      <x:c r="L2713" s="24" t="n">
        <x:v>0.012368583797155226</x:v>
      </x:c>
    </x:row>
    <x:row r="2714">
      <x:c r="G2714" t="str">
        <x:v>MSP-IND</x:v>
      </x:c>
      <x:c r="H2714" t="str">
        <x:v>MSP</x:v>
      </x:c>
      <x:c r="I2714" t="str">
        <x:v>IND</x:v>
      </x:c>
      <x:c r="J2714" s="23" t="n">
        <x:v>3835</x:v>
      </x:c>
      <x:c r="K2714" s="24" t="n">
        <x:v>0.18305084745762712</x:v>
      </x:c>
      <x:c r="L2714" s="24" t="n">
        <x:v>0.007561929595827901</x:v>
      </x:c>
    </x:row>
    <x:row r="2715">
      <x:c r="G2715" t="str">
        <x:v>PNS-MIA</x:v>
      </x:c>
      <x:c r="H2715" t="str">
        <x:v>PNS</x:v>
      </x:c>
      <x:c r="I2715" t="str">
        <x:v>MIA</x:v>
      </x:c>
      <x:c r="J2715" s="23" t="n">
        <x:v>3339</x:v>
      </x:c>
      <x:c r="K2715" s="24" t="n">
        <x:v>0.18298891883797544</x:v>
      </x:c>
      <x:c r="L2715" s="24" t="n">
        <x:v>0.017070979335130278</x:v>
      </x:c>
    </x:row>
    <x:row r="2716">
      <x:c r="G2716" t="str">
        <x:v>MAF-DFW</x:v>
      </x:c>
      <x:c r="H2716" t="str">
        <x:v>MAF</x:v>
      </x:c>
      <x:c r="I2716" t="str">
        <x:v>DFW</x:v>
      </x:c>
      <x:c r="J2716" s="23" t="n">
        <x:v>8382</x:v>
      </x:c>
      <x:c r="K2716" s="24" t="n">
        <x:v>0.18289191123836793</x:v>
      </x:c>
      <x:c r="L2716" s="24" t="n">
        <x:v>0.01896921975662133</x:v>
      </x:c>
    </x:row>
    <x:row r="2717">
      <x:c r="G2717" t="str">
        <x:v>PBI-BWI</x:v>
      </x:c>
      <x:c r="H2717" t="str">
        <x:v>PBI</x:v>
      </x:c>
      <x:c r="I2717" t="str">
        <x:v>BWI</x:v>
      </x:c>
      <x:c r="J2717" s="23" t="n">
        <x:v>4009</x:v>
      </x:c>
      <x:c r="K2717" s="24" t="n">
        <x:v>0.18283861312047892</x:v>
      </x:c>
      <x:c r="L2717" s="24" t="n">
        <x:v>0.005986530306809678</x:v>
      </x:c>
    </x:row>
    <x:row r="2718">
      <x:c r="G2718" t="str">
        <x:v>PDX-SAN</x:v>
      </x:c>
      <x:c r="H2718" t="str">
        <x:v>PDX</x:v>
      </x:c>
      <x:c r="I2718" t="str">
        <x:v>SAN</x:v>
      </x:c>
      <x:c r="J2718" s="23" t="n">
        <x:v>5043</x:v>
      </x:c>
      <x:c r="K2718" s="24" t="n">
        <x:v>0.18282768193535595</x:v>
      </x:c>
      <x:c r="L2718" s="24" t="n">
        <x:v>0.013682331945270671</x:v>
      </x:c>
    </x:row>
    <x:row r="2719">
      <x:c r="G2719" t="str">
        <x:v>SFO-GEG</x:v>
      </x:c>
      <x:c r="H2719" t="str">
        <x:v>SFO</x:v>
      </x:c>
      <x:c r="I2719" t="str">
        <x:v>GEG</x:v>
      </x:c>
      <x:c r="J2719" s="23" t="n">
        <x:v>2073</x:v>
      </x:c>
      <x:c r="K2719" s="24" t="n">
        <x:v>0.1828268210323203</x:v>
      </x:c>
      <x:c r="L2719" s="24" t="n">
        <x:v>0.00723589001447178</x:v>
      </x:c>
    </x:row>
    <x:row r="2720">
      <x:c r="G2720" t="str">
        <x:v>CIU-MSP</x:v>
      </x:c>
      <x:c r="H2720" t="str">
        <x:v>CIU</x:v>
      </x:c>
      <x:c r="I2720" t="str">
        <x:v>MSP</x:v>
      </x:c>
      <x:c r="J2720" s="23" t="n">
        <x:v>1094</x:v>
      </x:c>
      <x:c r="K2720" s="24" t="n">
        <x:v>0.18281535648994515</x:v>
      </x:c>
      <x:c r="L2720" s="24" t="n">
        <x:v>0.014625228519195612</x:v>
      </x:c>
    </x:row>
    <x:row r="2721">
      <x:c r="G2721" t="str">
        <x:v>MSP-CIU</x:v>
      </x:c>
      <x:c r="H2721" t="str">
        <x:v>MSP</x:v>
      </x:c>
      <x:c r="I2721" t="str">
        <x:v>CIU</x:v>
      </x:c>
      <x:c r="J2721" s="23" t="n">
        <x:v>1094</x:v>
      </x:c>
      <x:c r="K2721" s="24" t="n">
        <x:v>0.18281535648994515</x:v>
      </x:c>
      <x:c r="L2721" s="24" t="n">
        <x:v>0.008226691042047532</x:v>
      </x:c>
    </x:row>
    <x:row r="2722">
      <x:c r="G2722" t="str">
        <x:v>PHX-HNL</x:v>
      </x:c>
      <x:c r="H2722" t="str">
        <x:v>PHX</x:v>
      </x:c>
      <x:c r="I2722" t="str">
        <x:v>HNL</x:v>
      </x:c>
      <x:c r="J2722" s="23" t="n">
        <x:v>3990</x:v>
      </x:c>
      <x:c r="K2722" s="24" t="n">
        <x:v>0.18270676691729323</x:v>
      </x:c>
      <x:c r="L2722" s="24" t="n">
        <x:v>0.0005012531328320802</x:v>
      </x:c>
    </x:row>
    <x:row r="2723">
      <x:c r="G2723" t="str">
        <x:v>IAD-LAX</x:v>
      </x:c>
      <x:c r="H2723" t="str">
        <x:v>IAD</x:v>
      </x:c>
      <x:c r="I2723" t="str">
        <x:v>LAX</x:v>
      </x:c>
      <x:c r="J2723" s="23" t="n">
        <x:v>7445</x:v>
      </x:c>
      <x:c r="K2723" s="24" t="n">
        <x:v>0.1826729348556078</x:v>
      </x:c>
      <x:c r="L2723" s="24" t="n">
        <x:v>0.010208193418401611</x:v>
      </x:c>
    </x:row>
    <x:row r="2724">
      <x:c r="G2724" t="str">
        <x:v>ATL-ABY</x:v>
      </x:c>
      <x:c r="H2724" t="str">
        <x:v>ATL</x:v>
      </x:c>
      <x:c r="I2724" t="str">
        <x:v>ABY</x:v>
      </x:c>
      <x:c r="J2724" s="23" t="n">
        <x:v>2469</x:v>
      </x:c>
      <x:c r="K2724" s="24" t="n">
        <x:v>0.18266504657756177</x:v>
      </x:c>
      <x:c r="L2724" s="24" t="n">
        <x:v>0.011340623734305387</x:v>
      </x:c>
    </x:row>
    <x:row r="2725">
      <x:c r="G2725" t="str">
        <x:v>STL-BWI</x:v>
      </x:c>
      <x:c r="H2725" t="str">
        <x:v>STL</x:v>
      </x:c>
      <x:c r="I2725" t="str">
        <x:v>BWI</x:v>
      </x:c>
      <x:c r="J2725" s="23" t="n">
        <x:v>3871</x:v>
      </x:c>
      <x:c r="K2725" s="24" t="n">
        <x:v>0.18264014466546113</x:v>
      </x:c>
      <x:c r="L2725" s="24" t="n">
        <x:v>0.01033324722293981</x:v>
      </x:c>
    </x:row>
    <x:row r="2726">
      <x:c r="G2726" t="str">
        <x:v>CMI-ORD</x:v>
      </x:c>
      <x:c r="H2726" t="str">
        <x:v>CMI</x:v>
      </x:c>
      <x:c r="I2726" t="str">
        <x:v>ORD</x:v>
      </x:c>
      <x:c r="J2726" s="23" t="n">
        <x:v>2267</x:v>
      </x:c>
      <x:c r="K2726" s="24" t="n">
        <x:v>0.18262020291133657</x:v>
      </x:c>
      <x:c r="L2726" s="24" t="n">
        <x:v>0.02337891486546096</x:v>
      </x:c>
    </x:row>
    <x:row r="2727">
      <x:c r="G2727" t="str">
        <x:v>BHM-CLT</x:v>
      </x:c>
      <x:c r="H2727" t="str">
        <x:v>BHM</x:v>
      </x:c>
      <x:c r="I2727" t="str">
        <x:v>CLT</x:v>
      </x:c>
      <x:c r="J2727" s="23" t="n">
        <x:v>6276</x:v>
      </x:c>
      <x:c r="K2727" s="24" t="n">
        <x:v>0.1826003824091778</x:v>
      </x:c>
      <x:c r="L2727" s="24" t="n">
        <x:v>0.014181007010834927</x:v>
      </x:c>
    </x:row>
    <x:row r="2728">
      <x:c r="G2728" t="str">
        <x:v>IND-LAS</x:v>
      </x:c>
      <x:c r="H2728" t="str">
        <x:v>IND</x:v>
      </x:c>
      <x:c r="I2728" t="str">
        <x:v>LAS</x:v>
      </x:c>
      <x:c r="J2728" s="23" t="n">
        <x:v>4361</x:v>
      </x:c>
      <x:c r="K2728" s="24" t="n">
        <x:v>0.18252694336161432</x:v>
      </x:c>
      <x:c r="L2728" s="24" t="n">
        <x:v>0.007108461362072919</x:v>
      </x:c>
    </x:row>
    <x:row r="2729">
      <x:c r="G2729" t="str">
        <x:v>STS-PHX</x:v>
      </x:c>
      <x:c r="H2729" t="str">
        <x:v>STS</x:v>
      </x:c>
      <x:c r="I2729" t="str">
        <x:v>PHX</x:v>
      </x:c>
      <x:c r="J2729" s="23" t="n">
        <x:v>1628</x:v>
      </x:c>
      <x:c r="K2729" s="24" t="n">
        <x:v>0.18243243243243243</x:v>
      </x:c>
      <x:c r="L2729" s="24" t="n">
        <x:v>0.002457002457002457</x:v>
      </x:c>
    </x:row>
    <x:row r="2730">
      <x:c r="G2730" t="str">
        <x:v>SEA-CHS</x:v>
      </x:c>
      <x:c r="H2730" t="str">
        <x:v>SEA</x:v>
      </x:c>
      <x:c r="I2730" t="str">
        <x:v>CHS</x:v>
      </x:c>
      <x:c r="J2730" s="23" t="n">
        <x:v>1047</x:v>
      </x:c>
      <x:c r="K2730" s="24" t="n">
        <x:v>0.18242597898758356</x:v>
      </x:c>
      <x:c r="L2730" s="24" t="n">
        <x:v>0.010506208213944603</x:v>
      </x:c>
    </x:row>
    <x:row r="2731">
      <x:c r="G2731" t="str">
        <x:v>ANC-BET</x:v>
      </x:c>
      <x:c r="H2731" t="str">
        <x:v>ANC</x:v>
      </x:c>
      <x:c r="I2731" t="str">
        <x:v>BET</x:v>
      </x:c>
      <x:c r="J2731" s="23" t="n">
        <x:v>2171</x:v>
      </x:c>
      <x:c r="K2731" s="24" t="n">
        <x:v>0.18240442192538</x:v>
      </x:c>
      <x:c r="L2731" s="24" t="n">
        <x:v>0.02349147858129894</x:v>
      </x:c>
    </x:row>
    <x:row r="2732">
      <x:c r="G2732" t="str">
        <x:v>TPA-IAH</x:v>
      </x:c>
      <x:c r="H2732" t="str">
        <x:v>TPA</x:v>
      </x:c>
      <x:c r="I2732" t="str">
        <x:v>IAH</x:v>
      </x:c>
      <x:c r="J2732" s="23" t="n">
        <x:v>4990</x:v>
      </x:c>
      <x:c r="K2732" s="24" t="n">
        <x:v>0.18236472945891782</x:v>
      </x:c>
      <x:c r="L2732" s="24" t="n">
        <x:v>0.01903807615230461</x:v>
      </x:c>
    </x:row>
    <x:row r="2733">
      <x:c r="G2733" t="str">
        <x:v>JFK-IND</x:v>
      </x:c>
      <x:c r="H2733" t="str">
        <x:v>JFK</x:v>
      </x:c>
      <x:c r="I2733" t="str">
        <x:v>IND</x:v>
      </x:c>
      <x:c r="J2733" s="23" t="n">
        <x:v>5418</x:v>
      </x:c>
      <x:c r="K2733" s="24" t="n">
        <x:v>0.18235511258767073</x:v>
      </x:c>
      <x:c r="L2733" s="24" t="n">
        <x:v>0.031007751937984496</x:v>
      </x:c>
    </x:row>
    <x:row r="2734">
      <x:c r="G2734" t="str">
        <x:v>PHX-ABQ</x:v>
      </x:c>
      <x:c r="H2734" t="str">
        <x:v>PHX</x:v>
      </x:c>
      <x:c r="I2734" t="str">
        <x:v>ABQ</x:v>
      </x:c>
      <x:c r="J2734" s="23" t="n">
        <x:v>9606</x:v>
      </x:c>
      <x:c r="K2734" s="24" t="n">
        <x:v>0.18228190714136996</x:v>
      </x:c>
      <x:c r="L2734" s="24" t="n">
        <x:v>0.003435352904434728</x:v>
      </x:c>
    </x:row>
    <x:row r="2735">
      <x:c r="G2735" t="str">
        <x:v>SRQ-CLT</x:v>
      </x:c>
      <x:c r="H2735" t="str">
        <x:v>SRQ</x:v>
      </x:c>
      <x:c r="I2735" t="str">
        <x:v>CLT</x:v>
      </x:c>
      <x:c r="J2735" s="23" t="n">
        <x:v>4932</x:v>
      </x:c>
      <x:c r="K2735" s="24" t="n">
        <x:v>0.18227899432278993</x:v>
      </x:c>
      <x:c r="L2735" s="24" t="n">
        <x:v>0.0202757502027575</x:v>
      </x:c>
    </x:row>
    <x:row r="2736">
      <x:c r="G2736" t="str">
        <x:v>MSY-LAX</x:v>
      </x:c>
      <x:c r="H2736" t="str">
        <x:v>MSY</x:v>
      </x:c>
      <x:c r="I2736" t="str">
        <x:v>LAX</x:v>
      </x:c>
      <x:c r="J2736" s="23" t="n">
        <x:v>5015</x:v>
      </x:c>
      <x:c r="K2736" s="24" t="n">
        <x:v>0.1822532402791625</x:v>
      </x:c>
      <x:c r="L2736" s="24" t="n">
        <x:v>0.010169491525423728</x:v>
      </x:c>
    </x:row>
    <x:row r="2737">
      <x:c r="G2737" t="str">
        <x:v>BNA-PNS</x:v>
      </x:c>
      <x:c r="H2737" t="str">
        <x:v>BNA</x:v>
      </x:c>
      <x:c r="I2737" t="str">
        <x:v>PNS</x:v>
      </x:c>
      <x:c r="J2737" s="23" t="n">
        <x:v>2590</x:v>
      </x:c>
      <x:c r="K2737" s="24" t="n">
        <x:v>0.18223938223938224</x:v>
      </x:c>
      <x:c r="L2737" s="24" t="n">
        <x:v>0.006563706563706564</x:v>
      </x:c>
    </x:row>
    <x:row r="2738">
      <x:c r="G2738" t="str">
        <x:v>IAD-MIA</x:v>
      </x:c>
      <x:c r="H2738" t="str">
        <x:v>IAD</x:v>
      </x:c>
      <x:c r="I2738" t="str">
        <x:v>MIA</x:v>
      </x:c>
      <x:c r="J2738" s="23" t="n">
        <x:v>1553</x:v>
      </x:c>
      <x:c r="K2738" s="24" t="n">
        <x:v>0.18222794591113972</x:v>
      </x:c>
      <x:c r="L2738" s="24" t="n">
        <x:v>0.0103026400515132</x:v>
      </x:c>
    </x:row>
    <x:row r="2739">
      <x:c r="G2739" t="str">
        <x:v>AUS-MDW</x:v>
      </x:c>
      <x:c r="H2739" t="str">
        <x:v>AUS</x:v>
      </x:c>
      <x:c r="I2739" t="str">
        <x:v>MDW</x:v>
      </x:c>
      <x:c r="J2739" s="23" t="n">
        <x:v>4475</x:v>
      </x:c>
      <x:c r="K2739" s="24" t="n">
        <x:v>0.18212290502793296</x:v>
      </x:c>
      <x:c r="L2739" s="24" t="n">
        <x:v>0.012290502793296089</x:v>
      </x:c>
    </x:row>
    <x:row r="2740">
      <x:c r="G2740" t="str">
        <x:v>DFW-BRO</x:v>
      </x:c>
      <x:c r="H2740" t="str">
        <x:v>DFW</x:v>
      </x:c>
      <x:c r="I2740" t="str">
        <x:v>BRO</x:v>
      </x:c>
      <x:c r="J2740" s="23" t="n">
        <x:v>4552</x:v>
      </x:c>
      <x:c r="K2740" s="24" t="n">
        <x:v>0.18211775043936732</x:v>
      </x:c>
      <x:c r="L2740" s="24" t="n">
        <x:v>0.02482425307557118</x:v>
      </x:c>
    </x:row>
    <x:row r="2741">
      <x:c r="G2741" t="str">
        <x:v>HOU-TPA</x:v>
      </x:c>
      <x:c r="H2741" t="str">
        <x:v>HOU</x:v>
      </x:c>
      <x:c r="I2741" t="str">
        <x:v>TPA</x:v>
      </x:c>
      <x:c r="J2741" s="23" t="n">
        <x:v>3081</x:v>
      </x:c>
      <x:c r="K2741" s="24" t="n">
        <x:v>0.18208373904576436</x:v>
      </x:c>
      <x:c r="L2741" s="24" t="n">
        <x:v>0.011359948068808828</x:v>
      </x:c>
    </x:row>
    <x:row r="2742">
      <x:c r="G2742" t="str">
        <x:v>MSP-CLE</x:v>
      </x:c>
      <x:c r="H2742" t="str">
        <x:v>MSP</x:v>
      </x:c>
      <x:c r="I2742" t="str">
        <x:v>CLE</x:v>
      </x:c>
      <x:c r="J2742" s="23" t="n">
        <x:v>3438</x:v>
      </x:c>
      <x:c r="K2742" s="24" t="n">
        <x:v>0.1820826061663758</x:v>
      </x:c>
      <x:c r="L2742" s="24" t="n">
        <x:v>0.006980802792321117</x:v>
      </x:c>
    </x:row>
    <x:row r="2743">
      <x:c r="G2743" t="str">
        <x:v>JAX-MDW</x:v>
      </x:c>
      <x:c r="H2743" t="str">
        <x:v>JAX</x:v>
      </x:c>
      <x:c r="I2743" t="str">
        <x:v>MDW</x:v>
      </x:c>
      <x:c r="J2743" s="23" t="n">
        <x:v>1137</x:v>
      </x:c>
      <x:c r="K2743" s="24" t="n">
        <x:v>0.1820580474934037</x:v>
      </x:c>
      <x:c r="L2743" s="24" t="n">
        <x:v>0.007036059806508356</x:v>
      </x:c>
    </x:row>
    <x:row r="2744">
      <x:c r="G2744" t="str">
        <x:v>MKE-EWR</x:v>
      </x:c>
      <x:c r="H2744" t="str">
        <x:v>MKE</x:v>
      </x:c>
      <x:c r="I2744" t="str">
        <x:v>EWR</x:v>
      </x:c>
      <x:c r="J2744" s="23" t="n">
        <x:v>2545</x:v>
      </x:c>
      <x:c r="K2744" s="24" t="n">
        <x:v>0.18192534381139489</x:v>
      </x:c>
      <x:c r="L2744" s="24" t="n">
        <x:v>0.04754420432220039</x:v>
      </x:c>
    </x:row>
    <x:row r="2745">
      <x:c r="G2745" t="str">
        <x:v>BOS-MKE</x:v>
      </x:c>
      <x:c r="H2745" t="str">
        <x:v>BOS</x:v>
      </x:c>
      <x:c r="I2745" t="str">
        <x:v>MKE</x:v>
      </x:c>
      <x:c r="J2745" s="23" t="n">
        <x:v>2567</x:v>
      </x:c>
      <x:c r="K2745" s="24" t="n">
        <x:v>0.1819244253992988</x:v>
      </x:c>
      <x:c r="L2745" s="24" t="n">
        <x:v>0.01597195169458512</x:v>
      </x:c>
    </x:row>
    <x:row r="2746">
      <x:c r="G2746" t="str">
        <x:v>IAD-AUS</x:v>
      </x:c>
      <x:c r="H2746" t="str">
        <x:v>IAD</x:v>
      </x:c>
      <x:c r="I2746" t="str">
        <x:v>AUS</x:v>
      </x:c>
      <x:c r="J2746" s="23" t="n">
        <x:v>3326</x:v>
      </x:c>
      <x:c r="K2746" s="24" t="n">
        <x:v>0.1819001803968731</x:v>
      </x:c>
      <x:c r="L2746" s="24" t="n">
        <x:v>0.008719182200841852</x:v>
      </x:c>
    </x:row>
    <x:row r="2747">
      <x:c r="G2747" t="str">
        <x:v>MSP-FCA</x:v>
      </x:c>
      <x:c r="H2747" t="str">
        <x:v>MSP</x:v>
      </x:c>
      <x:c r="I2747" t="str">
        <x:v>FCA</x:v>
      </x:c>
      <x:c r="J2747" s="23" t="n">
        <x:v>1325</x:v>
      </x:c>
      <x:c r="K2747" s="24" t="n">
        <x:v>0.18188679245283018</x:v>
      </x:c>
      <x:c r="L2747" s="24" t="n">
        <x:v>0.009056603773584906</x:v>
      </x:c>
    </x:row>
    <x:row r="2748">
      <x:c r="G2748" t="str">
        <x:v>MSP-PHX</x:v>
      </x:c>
      <x:c r="H2748" t="str">
        <x:v>MSP</x:v>
      </x:c>
      <x:c r="I2748" t="str">
        <x:v>PHX</x:v>
      </x:c>
      <x:c r="J2748" s="23" t="n">
        <x:v>9953</x:v>
      </x:c>
      <x:c r="K2748" s="24" t="n">
        <x:v>0.1818547171707023</x:v>
      </x:c>
      <x:c r="L2748" s="24" t="n">
        <x:v>0.007133527579624234</x:v>
      </x:c>
    </x:row>
    <x:row r="2749">
      <x:c r="G2749" t="str">
        <x:v>MLB-CLT</x:v>
      </x:c>
      <x:c r="H2749" t="str">
        <x:v>MLB</x:v>
      </x:c>
      <x:c r="I2749" t="str">
        <x:v>CLT</x:v>
      </x:c>
      <x:c r="J2749" s="23" t="n">
        <x:v>3448</x:v>
      </x:c>
      <x:c r="K2749" s="24" t="n">
        <x:v>0.1818445475638051</x:v>
      </x:c>
      <x:c r="L2749" s="24" t="n">
        <x:v>0.018271461716937356</x:v>
      </x:c>
    </x:row>
    <x:row r="2750">
      <x:c r="G2750" t="str">
        <x:v>PHX-RNO</x:v>
      </x:c>
      <x:c r="H2750" t="str">
        <x:v>PHX</x:v>
      </x:c>
      <x:c r="I2750" t="str">
        <x:v>RNO</x:v>
      </x:c>
      <x:c r="J2750" s="23" t="n">
        <x:v>6869</x:v>
      </x:c>
      <x:c r="K2750" s="24" t="n">
        <x:v>0.18183141650895326</x:v>
      </x:c>
      <x:c r="L2750" s="24" t="n">
        <x:v>0.003493958363662833</x:v>
      </x:c>
    </x:row>
    <x:row r="2751">
      <x:c r="G2751" t="str">
        <x:v>ATL-BTV</x:v>
      </x:c>
      <x:c r="H2751" t="str">
        <x:v>ATL</x:v>
      </x:c>
      <x:c r="I2751" t="str">
        <x:v>BTV</x:v>
      </x:c>
      <x:c r="J2751" s="23" t="n">
        <x:v>1111</x:v>
      </x:c>
      <x:c r="K2751" s="24" t="n">
        <x:v>0.18181818181818182</x:v>
      </x:c>
      <x:c r="L2751" s="24" t="n">
        <x:v>0.010801080108010801</x:v>
      </x:c>
    </x:row>
    <x:row r="2752">
      <x:c r="G2752" t="str">
        <x:v>LAS-BLI</x:v>
      </x:c>
      <x:c r="H2752" t="str">
        <x:v>LAS</x:v>
      </x:c>
      <x:c r="I2752" t="str">
        <x:v>BLI</x:v>
      </x:c>
      <x:c r="J2752" s="23" t="n">
        <x:v>2211</x:v>
      </x:c>
      <x:c r="K2752" s="24" t="n">
        <x:v>0.18181818181818182</x:v>
      </x:c>
      <x:c r="L2752" s="24" t="n">
        <x:v>0.004522840343735866</x:v>
      </x:c>
    </x:row>
    <x:row r="2753">
      <x:c r="G2753" t="str">
        <x:v>PDX-PHX</x:v>
      </x:c>
      <x:c r="H2753" t="str">
        <x:v>PDX</x:v>
      </x:c>
      <x:c r="I2753" t="str">
        <x:v>PHX</x:v>
      </x:c>
      <x:c r="J2753" s="23" t="n">
        <x:v>11210</x:v>
      </x:c>
      <x:c r="K2753" s="24" t="n">
        <x:v>0.18180196253345227</x:v>
      </x:c>
      <x:c r="L2753" s="24" t="n">
        <x:v>0.006779661016949152</x:v>
      </x:c>
    </x:row>
    <x:row r="2754">
      <x:c r="G2754" t="str">
        <x:v>RSW-PIT</x:v>
      </x:c>
      <x:c r="H2754" t="str">
        <x:v>RSW</x:v>
      </x:c>
      <x:c r="I2754" t="str">
        <x:v>PIT</x:v>
      </x:c>
      <x:c r="J2754" s="23" t="n">
        <x:v>1733</x:v>
      </x:c>
      <x:c r="K2754" s="24" t="n">
        <x:v>0.1817657241777265</x:v>
      </x:c>
      <x:c r="L2754" s="24" t="n">
        <x:v>0.006347374495095211</x:v>
      </x:c>
    </x:row>
    <x:row r="2755">
      <x:c r="G2755" t="str">
        <x:v>LAX-IND</x:v>
      </x:c>
      <x:c r="H2755" t="str">
        <x:v>LAX</x:v>
      </x:c>
      <x:c r="I2755" t="str">
        <x:v>IND</x:v>
      </x:c>
      <x:c r="J2755" s="23" t="n">
        <x:v>1992</x:v>
      </x:c>
      <x:c r="K2755" s="24" t="n">
        <x:v>0.1817269076305221</x:v>
      </x:c>
      <x:c r="L2755" s="24" t="n">
        <x:v>0.004518072289156626</x:v>
      </x:c>
    </x:row>
    <x:row r="2756">
      <x:c r="G2756" t="str">
        <x:v>OMA-LAS</x:v>
      </x:c>
      <x:c r="H2756" t="str">
        <x:v>OMA</x:v>
      </x:c>
      <x:c r="I2756" t="str">
        <x:v>LAS</x:v>
      </x:c>
      <x:c r="J2756" s="23" t="n">
        <x:v>3288</x:v>
      </x:c>
      <x:c r="K2756" s="24" t="n">
        <x:v>0.18156934306569342</x:v>
      </x:c>
      <x:c r="L2756" s="24" t="n">
        <x:v>0.006995133819951338</x:v>
      </x:c>
    </x:row>
    <x:row r="2757">
      <x:c r="G2757" t="str">
        <x:v>ATL-STL</x:v>
      </x:c>
      <x:c r="H2757" t="str">
        <x:v>ATL</x:v>
      </x:c>
      <x:c r="I2757" t="str">
        <x:v>STL</x:v>
      </x:c>
      <x:c r="J2757" s="23" t="n">
        <x:v>10503</x:v>
      </x:c>
      <x:c r="K2757" s="24" t="n">
        <x:v>0.18156717128439492</x:v>
      </x:c>
      <x:c r="L2757" s="24" t="n">
        <x:v>0.008664191183471389</x:v>
      </x:c>
    </x:row>
    <x:row r="2758">
      <x:c r="G2758" t="str">
        <x:v>LSE-ORD</x:v>
      </x:c>
      <x:c r="H2758" t="str">
        <x:v>LSE</x:v>
      </x:c>
      <x:c r="I2758" t="str">
        <x:v>ORD</x:v>
      </x:c>
      <x:c r="J2758" s="23" t="n">
        <x:v>1499</x:v>
      </x:c>
      <x:c r="K2758" s="24" t="n">
        <x:v>0.18145430286857905</x:v>
      </x:c>
      <x:c r="L2758" s="24" t="n">
        <x:v>0.02134756504336224</x:v>
      </x:c>
    </x:row>
    <x:row r="2759">
      <x:c r="G2759" t="str">
        <x:v>PHX-BOI</x:v>
      </x:c>
      <x:c r="H2759" t="str">
        <x:v>PHX</x:v>
      </x:c>
      <x:c r="I2759" t="str">
        <x:v>BOI</x:v>
      </x:c>
      <x:c r="J2759" s="23" t="n">
        <x:v>5193</x:v>
      </x:c>
      <x:c r="K2759" s="24" t="n">
        <x:v>0.18139803581744657</x:v>
      </x:c>
      <x:c r="L2759" s="24" t="n">
        <x:v>0.0013479684190256115</x:v>
      </x:c>
    </x:row>
    <x:row r="2760">
      <x:c r="G2760" t="str">
        <x:v>SFO-PSC</x:v>
      </x:c>
      <x:c r="H2760" t="str">
        <x:v>SFO</x:v>
      </x:c>
      <x:c r="I2760" t="str">
        <x:v>PSC</x:v>
      </x:c>
      <x:c r="J2760" s="23" t="n">
        <x:v>1776</x:v>
      </x:c>
      <x:c r="K2760" s="24" t="n">
        <x:v>0.18130630630630631</x:v>
      </x:c>
      <x:c r="L2760" s="24" t="n">
        <x:v>0.003941441441441441</x:v>
      </x:c>
    </x:row>
    <x:row r="2761">
      <x:c r="G2761" t="str">
        <x:v>FOD-ORD</x:v>
      </x:c>
      <x:c r="H2761" t="str">
        <x:v>FOD</x:v>
      </x:c>
      <x:c r="I2761" t="str">
        <x:v>ORD</x:v>
      </x:c>
      <x:c r="J2761" s="23" t="n">
        <x:v>1401</x:v>
      </x:c>
      <x:c r="K2761" s="24" t="n">
        <x:v>0.1812990720913633</x:v>
      </x:c>
      <x:c r="L2761" s="24" t="n">
        <x:v>0.028551034975017844</x:v>
      </x:c>
    </x:row>
    <x:row r="2762">
      <x:c r="G2762" t="str">
        <x:v>BUR-RNO</x:v>
      </x:c>
      <x:c r="H2762" t="str">
        <x:v>BUR</x:v>
      </x:c>
      <x:c r="I2762" t="str">
        <x:v>RNO</x:v>
      </x:c>
      <x:c r="J2762" s="23" t="n">
        <x:v>1208</x:v>
      </x:c>
      <x:c r="K2762" s="24" t="n">
        <x:v>0.18129139072847683</x:v>
      </x:c>
      <x:c r="L2762" s="24" t="n">
        <x:v>0.004966887417218543</x:v>
      </x:c>
    </x:row>
    <x:row r="2763">
      <x:c r="G2763" t="str">
        <x:v>EWR-PWM</x:v>
      </x:c>
      <x:c r="H2763" t="str">
        <x:v>EWR</x:v>
      </x:c>
      <x:c r="I2763" t="str">
        <x:v>PWM</x:v>
      </x:c>
      <x:c r="J2763" s="23" t="n">
        <x:v>3216</x:v>
      </x:c>
      <x:c r="K2763" s="24" t="n">
        <x:v>0.18128109452736318</x:v>
      </x:c>
      <x:c r="L2763" s="24" t="n">
        <x:v>0.03575870646766169</x:v>
      </x:c>
    </x:row>
    <x:row r="2764">
      <x:c r="G2764" t="str">
        <x:v>MEM-HOU</x:v>
      </x:c>
      <x:c r="H2764" t="str">
        <x:v>MEM</x:v>
      </x:c>
      <x:c r="I2764" t="str">
        <x:v>HOU</x:v>
      </x:c>
      <x:c r="J2764" s="23" t="n">
        <x:v>1997</x:v>
      </x:c>
      <x:c r="K2764" s="24" t="n">
        <x:v>0.1812719078617927</x:v>
      </x:c>
      <x:c r="L2764" s="24" t="n">
        <x:v>0.011016524787180772</x:v>
      </x:c>
    </x:row>
    <x:row r="2765">
      <x:c r="G2765" t="str">
        <x:v>SFO-ABQ</x:v>
      </x:c>
      <x:c r="H2765" t="str">
        <x:v>SFO</x:v>
      </x:c>
      <x:c r="I2765" t="str">
        <x:v>ABQ</x:v>
      </x:c>
      <x:c r="J2765" s="23" t="n">
        <x:v>1738</x:v>
      </x:c>
      <x:c r="K2765" s="24" t="n">
        <x:v>0.1812428078250863</x:v>
      </x:c>
      <x:c r="L2765" s="24" t="n">
        <x:v>0.006904487917146145</x:v>
      </x:c>
    </x:row>
    <x:row r="2766">
      <x:c r="G2766" t="str">
        <x:v>DTW-MBS</x:v>
      </x:c>
      <x:c r="H2766" t="str">
        <x:v>DTW</x:v>
      </x:c>
      <x:c r="I2766" t="str">
        <x:v>MBS</x:v>
      </x:c>
      <x:c r="J2766" s="23" t="n">
        <x:v>3289</x:v>
      </x:c>
      <x:c r="K2766" s="24" t="n">
        <x:v>0.1812100942535725</x:v>
      </x:c>
      <x:c r="L2766" s="24" t="n">
        <x:v>0.008817269686834904</x:v>
      </x:c>
    </x:row>
    <x:row r="2767">
      <x:c r="G2767" t="str">
        <x:v>EUG-LAX</x:v>
      </x:c>
      <x:c r="H2767" t="str">
        <x:v>EUG</x:v>
      </x:c>
      <x:c r="I2767" t="str">
        <x:v>LAX</x:v>
      </x:c>
      <x:c r="J2767" s="23" t="n">
        <x:v>1016</x:v>
      </x:c>
      <x:c r="K2767" s="24" t="n">
        <x:v>0.18110236220472442</x:v>
      </x:c>
      <x:c r="L2767" s="24" t="n">
        <x:v>0.007874015748031496</x:v>
      </x:c>
    </x:row>
    <x:row r="2768">
      <x:c r="G2768" t="str">
        <x:v>DFW-RAP</x:v>
      </x:c>
      <x:c r="H2768" t="str">
        <x:v>DFW</x:v>
      </x:c>
      <x:c r="I2768" t="str">
        <x:v>RAP</x:v>
      </x:c>
      <x:c r="J2768" s="23" t="n">
        <x:v>2955</x:v>
      </x:c>
      <x:c r="K2768" s="24" t="n">
        <x:v>0.18104906937394247</x:v>
      </x:c>
      <x:c r="L2768" s="24" t="n">
        <x:v>0.01455160744500846</x:v>
      </x:c>
    </x:row>
    <x:row r="2769">
      <x:c r="G2769" t="str">
        <x:v>ORD-SAV</x:v>
      </x:c>
      <x:c r="H2769" t="str">
        <x:v>ORD</x:v>
      </x:c>
      <x:c r="I2769" t="str">
        <x:v>SAV</x:v>
      </x:c>
      <x:c r="J2769" s="23" t="n">
        <x:v>3132</x:v>
      </x:c>
      <x:c r="K2769" s="24" t="n">
        <x:v>0.1810344827586207</x:v>
      </x:c>
      <x:c r="L2769" s="24" t="n">
        <x:v>0.012452107279693486</x:v>
      </x:c>
    </x:row>
    <x:row r="2770">
      <x:c r="G2770" t="str">
        <x:v>MKE-LAS</x:v>
      </x:c>
      <x:c r="H2770" t="str">
        <x:v>MKE</x:v>
      </x:c>
      <x:c r="I2770" t="str">
        <x:v>LAS</x:v>
      </x:c>
      <x:c r="J2770" s="23" t="n">
        <x:v>3790</x:v>
      </x:c>
      <x:c r="K2770" s="24" t="n">
        <x:v>0.18100263852242743</x:v>
      </x:c>
      <x:c r="L2770" s="24" t="n">
        <x:v>0.008707124010554089</x:v>
      </x:c>
    </x:row>
    <x:row r="2771">
      <x:c r="G2771" t="str">
        <x:v>BWI-GRR</x:v>
      </x:c>
      <x:c r="H2771" t="str">
        <x:v>BWI</x:v>
      </x:c>
      <x:c r="I2771" t="str">
        <x:v>GRR</x:v>
      </x:c>
      <x:c r="J2771" s="23" t="n">
        <x:v>1155</x:v>
      </x:c>
      <x:c r="K2771" s="24" t="n">
        <x:v>0.18095238095238095</x:v>
      </x:c>
      <x:c r="L2771" s="24" t="n">
        <x:v>0.004329004329004329</x:v>
      </x:c>
    </x:row>
    <x:row r="2772">
      <x:c r="G2772" t="str">
        <x:v>DCA-MDW</x:v>
      </x:c>
      <x:c r="H2772" t="str">
        <x:v>DCA</x:v>
      </x:c>
      <x:c r="I2772" t="str">
        <x:v>MDW</x:v>
      </x:c>
      <x:c r="J2772" s="23" t="n">
        <x:v>6330</x:v>
      </x:c>
      <x:c r="K2772" s="24" t="n">
        <x:v>0.18088467614533965</x:v>
      </x:c>
      <x:c r="L2772" s="24" t="n">
        <x:v>0.018167456556082148</x:v>
      </x:c>
    </x:row>
    <x:row r="2773">
      <x:c r="G2773" t="str">
        <x:v>PHL-PVD</x:v>
      </x:c>
      <x:c r="H2773" t="str">
        <x:v>PHL</x:v>
      </x:c>
      <x:c r="I2773" t="str">
        <x:v>PVD</x:v>
      </x:c>
      <x:c r="J2773" s="23" t="n">
        <x:v>2134</x:v>
      </x:c>
      <x:c r="K2773" s="24" t="n">
        <x:v>0.18088097469540768</x:v>
      </x:c>
      <x:c r="L2773" s="24" t="n">
        <x:v>0.016869728209934397</x:v>
      </x:c>
    </x:row>
    <x:row r="2774">
      <x:c r="G2774" t="str">
        <x:v>DTW-MDT</x:v>
      </x:c>
      <x:c r="H2774" t="str">
        <x:v>DTW</x:v>
      </x:c>
      <x:c r="I2774" t="str">
        <x:v>MDT</x:v>
      </x:c>
      <x:c r="J2774" s="23" t="n">
        <x:v>1316</x:v>
      </x:c>
      <x:c r="K2774" s="24" t="n">
        <x:v>0.18085106382978725</x:v>
      </x:c>
      <x:c r="L2774" s="24" t="n">
        <x:v>0.005319148936170213</x:v>
      </x:c>
    </x:row>
    <x:row r="2775">
      <x:c r="G2775" t="str">
        <x:v>MRY-SFO</x:v>
      </x:c>
      <x:c r="H2775" t="str">
        <x:v>MRY</x:v>
      </x:c>
      <x:c r="I2775" t="str">
        <x:v>SFO</x:v>
      </x:c>
      <x:c r="J2775" s="23" t="n">
        <x:v>1869</x:v>
      </x:c>
      <x:c r="K2775" s="24" t="n">
        <x:v>0.18084537185660782</x:v>
      </x:c>
      <x:c r="L2775" s="24" t="n">
        <x:v>0.014446227929373997</x:v>
      </x:c>
    </x:row>
    <x:row r="2776">
      <x:c r="G2776" t="str">
        <x:v>CLE-FLL</x:v>
      </x:c>
      <x:c r="H2776" t="str">
        <x:v>CLE</x:v>
      </x:c>
      <x:c r="I2776" t="str">
        <x:v>FLL</x:v>
      </x:c>
      <x:c r="J2776" s="23" t="n">
        <x:v>3362</x:v>
      </x:c>
      <x:c r="K2776" s="24" t="n">
        <x:v>0.18084473527662107</x:v>
      </x:c>
      <x:c r="L2776" s="24" t="n">
        <x:v>0.014277215942891136</x:v>
      </x:c>
    </x:row>
    <x:row r="2777">
      <x:c r="G2777" t="str">
        <x:v>EVV-DFW</x:v>
      </x:c>
      <x:c r="H2777" t="str">
        <x:v>EVV</x:v>
      </x:c>
      <x:c r="I2777" t="str">
        <x:v>DFW</x:v>
      </x:c>
      <x:c r="J2777" s="23" t="n">
        <x:v>2754</x:v>
      </x:c>
      <x:c r="K2777" s="24" t="n">
        <x:v>0.18082788671023964</x:v>
      </x:c>
      <x:c r="L2777" s="24" t="n">
        <x:v>0.014887436456063908</x:v>
      </x:c>
    </x:row>
    <x:row r="2778">
      <x:c r="G2778" t="str">
        <x:v>IAD-BDL</x:v>
      </x:c>
      <x:c r="H2778" t="str">
        <x:v>IAD</x:v>
      </x:c>
      <x:c r="I2778" t="str">
        <x:v>BDL</x:v>
      </x:c>
      <x:c r="J2778" s="23" t="n">
        <x:v>2251</x:v>
      </x:c>
      <x:c r="K2778" s="24" t="n">
        <x:v>0.1808085295424256</x:v>
      </x:c>
      <x:c r="L2778" s="24" t="n">
        <x:v>0.009329187027987561</x:v>
      </x:c>
    </x:row>
    <x:row r="2779">
      <x:c r="G2779" t="str">
        <x:v>STL-MSY</x:v>
      </x:c>
      <x:c r="H2779" t="str">
        <x:v>STL</x:v>
      </x:c>
      <x:c r="I2779" t="str">
        <x:v>MSY</x:v>
      </x:c>
      <x:c r="J2779" s="23" t="n">
        <x:v>2157</x:v>
      </x:c>
      <x:c r="K2779" s="24" t="n">
        <x:v>0.1808066759388039</x:v>
      </x:c>
      <x:c r="L2779" s="24" t="n">
        <x:v>0.00880853036624942</x:v>
      </x:c>
    </x:row>
    <x:row r="2780">
      <x:c r="G2780" t="str">
        <x:v>RSW-BWI</x:v>
      </x:c>
      <x:c r="H2780" t="str">
        <x:v>RSW</x:v>
      </x:c>
      <x:c r="I2780" t="str">
        <x:v>BWI</x:v>
      </x:c>
      <x:c r="J2780" s="23" t="n">
        <x:v>4370</x:v>
      </x:c>
      <x:c r="K2780" s="24" t="n">
        <x:v>0.18077803203661327</x:v>
      </x:c>
      <x:c r="L2780" s="24" t="n">
        <x:v>0.015331807780320367</x:v>
      </x:c>
    </x:row>
    <x:row r="2781">
      <x:c r="G2781" t="str">
        <x:v>MLU-DFW</x:v>
      </x:c>
      <x:c r="H2781" t="str">
        <x:v>MLU</x:v>
      </x:c>
      <x:c r="I2781" t="str">
        <x:v>DFW</x:v>
      </x:c>
      <x:c r="J2781" s="23" t="n">
        <x:v>3303</x:v>
      </x:c>
      <x:c r="K2781" s="24" t="n">
        <x:v>0.1807447774750227</x:v>
      </x:c>
      <x:c r="L2781" s="24" t="n">
        <x:v>0.02482591583409022</x:v>
      </x:c>
    </x:row>
    <x:row r="2782">
      <x:c r="G2782" t="str">
        <x:v>SAN-SEA</x:v>
      </x:c>
      <x:c r="H2782" t="str">
        <x:v>SAN</x:v>
      </x:c>
      <x:c r="I2782" t="str">
        <x:v>SEA</x:v>
      </x:c>
      <x:c r="J2782" s="23" t="n">
        <x:v>13839</x:v>
      </x:c>
      <x:c r="K2782" s="24" t="n">
        <x:v>0.1807211503721367</x:v>
      </x:c>
      <x:c r="L2782" s="24" t="n">
        <x:v>0.011922826793843485</x:v>
      </x:c>
    </x:row>
    <x:row r="2783">
      <x:c r="G2783" t="str">
        <x:v>PWM-DTW</x:v>
      </x:c>
      <x:c r="H2783" t="str">
        <x:v>PWM</x:v>
      </x:c>
      <x:c r="I2783" t="str">
        <x:v>DTW</x:v>
      </x:c>
      <x:c r="J2783" s="23" t="n">
        <x:v>1732</x:v>
      </x:c>
      <x:c r="K2783" s="24" t="n">
        <x:v>0.18071593533487298</x:v>
      </x:c>
      <x:c r="L2783" s="24" t="n">
        <x:v>0.009815242494226328</x:v>
      </x:c>
    </x:row>
    <x:row r="2784">
      <x:c r="G2784" t="str">
        <x:v>SAT-IAH</x:v>
      </x:c>
      <x:c r="H2784" t="str">
        <x:v>SAT</x:v>
      </x:c>
      <x:c r="I2784" t="str">
        <x:v>IAH</x:v>
      </x:c>
      <x:c r="J2784" s="23" t="n">
        <x:v>6774</x:v>
      </x:c>
      <x:c r="K2784" s="24" t="n">
        <x:v>0.18069087688219662</x:v>
      </x:c>
      <x:c r="L2784" s="24" t="n">
        <x:v>0.016533805727782697</x:v>
      </x:c>
    </x:row>
    <x:row r="2785">
      <x:c r="G2785" t="str">
        <x:v>LAX-CVG</x:v>
      </x:c>
      <x:c r="H2785" t="str">
        <x:v>LAX</x:v>
      </x:c>
      <x:c r="I2785" t="str">
        <x:v>CVG</x:v>
      </x:c>
      <x:c r="J2785" s="23" t="n">
        <x:v>1168</x:v>
      </x:c>
      <x:c r="K2785" s="24" t="n">
        <x:v>0.18065068493150685</x:v>
      </x:c>
      <x:c r="L2785" s="24" t="n">
        <x:v>0.010273972602739725</x:v>
      </x:c>
    </x:row>
    <x:row r="2786">
      <x:c r="G2786" t="str">
        <x:v>PHX-LGB</x:v>
      </x:c>
      <x:c r="H2786" t="str">
        <x:v>PHX</x:v>
      </x:c>
      <x:c r="I2786" t="str">
        <x:v>LGB</x:v>
      </x:c>
      <x:c r="J2786" s="23" t="n">
        <x:v>4185</x:v>
      </x:c>
      <x:c r="K2786" s="24" t="n">
        <x:v>0.18064516129032257</x:v>
      </x:c>
      <x:c r="L2786" s="24" t="n">
        <x:v>0.0047789725209080045</x:v>
      </x:c>
    </x:row>
    <x:row r="2787">
      <x:c r="G2787" t="str">
        <x:v>OGG-ITO</x:v>
      </x:c>
      <x:c r="H2787" t="str">
        <x:v>OGG</x:v>
      </x:c>
      <x:c r="I2787" t="str">
        <x:v>ITO</x:v>
      </x:c>
      <x:c r="J2787" s="23" t="n">
        <x:v>1263</x:v>
      </x:c>
      <x:c r="K2787" s="24" t="n">
        <x:v>0.18052256532066507</x:v>
      </x:c>
      <x:c r="L2787" s="24" t="n">
        <x:v>0.0023752969121140144</x:v>
      </x:c>
    </x:row>
    <x:row r="2788">
      <x:c r="G2788" t="str">
        <x:v>ATL-HPN</x:v>
      </x:c>
      <x:c r="H2788" t="str">
        <x:v>ATL</x:v>
      </x:c>
      <x:c r="I2788" t="str">
        <x:v>HPN</x:v>
      </x:c>
      <x:c r="J2788" s="23" t="n">
        <x:v>4460</x:v>
      </x:c>
      <x:c r="K2788" s="24" t="n">
        <x:v>0.1804932735426009</x:v>
      </x:c>
      <x:c r="L2788" s="24" t="n">
        <x:v>0.008520179372197309</x:v>
      </x:c>
    </x:row>
    <x:row r="2789">
      <x:c r="G2789" t="str">
        <x:v>BOS-ORF</x:v>
      </x:c>
      <x:c r="H2789" t="str">
        <x:v>BOS</x:v>
      </x:c>
      <x:c r="I2789" t="str">
        <x:v>ORF</x:v>
      </x:c>
      <x:c r="J2789" s="23" t="n">
        <x:v>1086</x:v>
      </x:c>
      <x:c r="K2789" s="24" t="n">
        <x:v>0.18047882136279927</x:v>
      </x:c>
      <x:c r="L2789" s="24" t="n">
        <x:v>0.01841620626151013</x:v>
      </x:c>
    </x:row>
    <x:row r="2790">
      <x:c r="G2790" t="str">
        <x:v>DAL-MAF</x:v>
      </x:c>
      <x:c r="H2790" t="str">
        <x:v>DAL</x:v>
      </x:c>
      <x:c r="I2790" t="str">
        <x:v>MAF</x:v>
      </x:c>
      <x:c r="J2790" s="23" t="n">
        <x:v>4423</x:v>
      </x:c>
      <x:c r="K2790" s="24" t="n">
        <x:v>0.1804205290526792</x:v>
      </x:c>
      <x:c r="L2790" s="24" t="n">
        <x:v>0.01627854397467782</x:v>
      </x:c>
    </x:row>
    <x:row r="2791">
      <x:c r="G2791" t="str">
        <x:v>PVU-SNA</x:v>
      </x:c>
      <x:c r="H2791" t="str">
        <x:v>PVU</x:v>
      </x:c>
      <x:c r="I2791" t="str">
        <x:v>SNA</x:v>
      </x:c>
      <x:c r="J2791" s="23" t="n">
        <x:v>1081</x:v>
      </x:c>
      <x:c r="K2791" s="24" t="n">
        <x:v>0.18038852913968548</x:v>
      </x:c>
      <x:c r="L2791" s="24" t="n">
        <x:v>0.004625346901017576</x:v>
      </x:c>
    </x:row>
    <x:row r="2792">
      <x:c r="G2792" t="str">
        <x:v>MSP-LGA</x:v>
      </x:c>
      <x:c r="H2792" t="str">
        <x:v>MSP</x:v>
      </x:c>
      <x:c r="I2792" t="str">
        <x:v>LGA</x:v>
      </x:c>
      <x:c r="J2792" s="23" t="n">
        <x:v>6859</x:v>
      </x:c>
      <x:c r="K2792" s="24" t="n">
        <x:v>0.18034698935704913</x:v>
      </x:c>
      <x:c r="L2792" s="24" t="n">
        <x:v>0.017203674004956992</x:v>
      </x:c>
    </x:row>
    <x:row r="2793">
      <x:c r="G2793" t="str">
        <x:v>BZN-ATL</x:v>
      </x:c>
      <x:c r="H2793" t="str">
        <x:v>BZN</x:v>
      </x:c>
      <x:c r="I2793" t="str">
        <x:v>ATL</x:v>
      </x:c>
      <x:c r="J2793" s="23" t="n">
        <x:v>1109</x:v>
      </x:c>
      <x:c r="K2793" s="24" t="n">
        <x:v>0.18034265103697025</x:v>
      </x:c>
      <x:c r="L2793" s="24" t="n">
        <x:v>0.011722272317403066</x:v>
      </x:c>
    </x:row>
    <x:row r="2794">
      <x:c r="G2794" t="str">
        <x:v>MEM-PHX</x:v>
      </x:c>
      <x:c r="H2794" t="str">
        <x:v>MEM</x:v>
      </x:c>
      <x:c r="I2794" t="str">
        <x:v>PHX</x:v>
      </x:c>
      <x:c r="J2794" s="23" t="n">
        <x:v>1403</x:v>
      </x:c>
      <x:c r="K2794" s="24" t="n">
        <x:v>0.18032786885245902</x:v>
      </x:c>
      <x:c r="L2794" s="24" t="n">
        <x:v>0.005702066999287242</x:v>
      </x:c>
    </x:row>
    <x:row r="2795">
      <x:c r="G2795" t="str">
        <x:v>DAL-VPS</x:v>
      </x:c>
      <x:c r="H2795" t="str">
        <x:v>DAL</x:v>
      </x:c>
      <x:c r="I2795" t="str">
        <x:v>VPS</x:v>
      </x:c>
      <x:c r="J2795" s="23" t="n">
        <x:v>1221</x:v>
      </x:c>
      <x:c r="K2795" s="24" t="n">
        <x:v>0.18018018018018017</x:v>
      </x:c>
      <x:c r="L2795" s="24" t="n">
        <x:v>0.007371007371007371</x:v>
      </x:c>
    </x:row>
    <x:row r="2796">
      <x:c r="G2796" t="str">
        <x:v>MKE-DEN</x:v>
      </x:c>
      <x:c r="H2796" t="str">
        <x:v>MKE</x:v>
      </x:c>
      <x:c r="I2796" t="str">
        <x:v>DEN</x:v>
      </x:c>
      <x:c r="J2796" s="23" t="n">
        <x:v>7799</x:v>
      </x:c>
      <x:c r="K2796" s="24" t="n">
        <x:v>0.1801513014489037</x:v>
      </x:c>
      <x:c r="L2796" s="24" t="n">
        <x:v>0.009616617515066034</x:v>
      </x:c>
    </x:row>
    <x:row r="2797">
      <x:c r="G2797" t="str">
        <x:v>TUS-LAS</x:v>
      </x:c>
      <x:c r="H2797" t="str">
        <x:v>TUS</x:v>
      </x:c>
      <x:c r="I2797" t="str">
        <x:v>LAS</x:v>
      </x:c>
      <x:c r="J2797" s="23" t="n">
        <x:v>3781</x:v>
      </x:c>
      <x:c r="K2797" s="24" t="n">
        <x:v>0.18011108172441154</x:v>
      </x:c>
      <x:c r="L2797" s="24" t="n">
        <x:v>0.0021158423697434543</x:v>
      </x:c>
    </x:row>
    <x:row r="2798">
      <x:c r="G2798" t="str">
        <x:v>DTW-MSN</x:v>
      </x:c>
      <x:c r="H2798" t="str">
        <x:v>DTW</x:v>
      </x:c>
      <x:c r="I2798" t="str">
        <x:v>MSN</x:v>
      </x:c>
      <x:c r="J2798" s="23" t="n">
        <x:v>3815</x:v>
      </x:c>
      <x:c r="K2798" s="24" t="n">
        <x:v>0.1800786369593709</x:v>
      </x:c>
      <x:c r="L2798" s="24" t="n">
        <x:v>0.004980340760157274</x:v>
      </x:c>
    </x:row>
    <x:row r="2799">
      <x:c r="G2799" t="str">
        <x:v>ATL-SGF</x:v>
      </x:c>
      <x:c r="H2799" t="str">
        <x:v>ATL</x:v>
      </x:c>
      <x:c r="I2799" t="str">
        <x:v>SGF</x:v>
      </x:c>
      <x:c r="J2799" s="23" t="n">
        <x:v>2727</x:v>
      </x:c>
      <x:c r="K2799" s="24" t="n">
        <x:v>0.18005133846718005</x:v>
      </x:c>
      <x:c r="L2799" s="24" t="n">
        <x:v>0.004767143381004767</x:v>
      </x:c>
    </x:row>
    <x:row r="2800">
      <x:c r="G2800" t="str">
        <x:v>DFW-MLI</x:v>
      </x:c>
      <x:c r="H2800" t="str">
        <x:v>DFW</x:v>
      </x:c>
      <x:c r="I2800" t="str">
        <x:v>MLI</x:v>
      </x:c>
      <x:c r="J2800" s="23" t="n">
        <x:v>2355</x:v>
      </x:c>
      <x:c r="K2800" s="24" t="n">
        <x:v>0.1800424628450106</x:v>
      </x:c>
      <x:c r="L2800" s="24" t="n">
        <x:v>0.016560509554140127</x:v>
      </x:c>
    </x:row>
    <x:row r="2801">
      <x:c r="G2801" t="str">
        <x:v>CID-PHX</x:v>
      </x:c>
      <x:c r="H2801" t="str">
        <x:v>CID</x:v>
      </x:c>
      <x:c r="I2801" t="str">
        <x:v>PHX</x:v>
      </x:c>
      <x:c r="J2801" s="23" t="n">
        <x:v>1750</x:v>
      </x:c>
      <x:c r="K2801" s="24" t="n">
        <x:v>0.18</x:v>
      </x:c>
      <x:c r="L2801" s="24" t="n">
        <x:v>0.013142857142857144</x:v>
      </x:c>
    </x:row>
    <x:row r="2802">
      <x:c r="G2802" t="str">
        <x:v>TPA-DTW</x:v>
      </x:c>
      <x:c r="H2802" t="str">
        <x:v>TPA</x:v>
      </x:c>
      <x:c r="I2802" t="str">
        <x:v>DTW</x:v>
      </x:c>
      <x:c r="J2802" s="23" t="n">
        <x:v>7123</x:v>
      </x:c>
      <x:c r="K2802" s="24" t="n">
        <x:v>0.17998034536010107</x:v>
      </x:c>
      <x:c r="L2802" s="24" t="n">
        <x:v>0.015162150779166082</x:v>
      </x:c>
    </x:row>
    <x:row r="2803">
      <x:c r="G2803" t="str">
        <x:v>LAX-RDU</x:v>
      </x:c>
      <x:c r="H2803" t="str">
        <x:v>LAX</x:v>
      </x:c>
      <x:c r="I2803" t="str">
        <x:v>RDU</x:v>
      </x:c>
      <x:c r="J2803" s="23" t="n">
        <x:v>2162</x:v>
      </x:c>
      <x:c r="K2803" s="24" t="n">
        <x:v>0.1799259944495837</x:v>
      </x:c>
      <x:c r="L2803" s="24" t="n">
        <x:v>0.004625346901017576</x:v>
      </x:c>
    </x:row>
    <x:row r="2804">
      <x:c r="G2804" t="str">
        <x:v>STL-CMH</x:v>
      </x:c>
      <x:c r="H2804" t="str">
        <x:v>STL</x:v>
      </x:c>
      <x:c r="I2804" t="str">
        <x:v>CMH</x:v>
      </x:c>
      <x:c r="J2804" s="23" t="n">
        <x:v>1962</x:v>
      </x:c>
      <x:c r="K2804" s="24" t="n">
        <x:v>0.1799184505606524</x:v>
      </x:c>
      <x:c r="L2804" s="24" t="n">
        <x:v>0.006625891946992864</x:v>
      </x:c>
    </x:row>
    <x:row r="2805">
      <x:c r="G2805" t="str">
        <x:v>MSP-BWI</x:v>
      </x:c>
      <x:c r="H2805" t="str">
        <x:v>MSP</x:v>
      </x:c>
      <x:c r="I2805" t="str">
        <x:v>BWI</x:v>
      </x:c>
      <x:c r="J2805" s="23" t="n">
        <x:v>4237</x:v>
      </x:c>
      <x:c r="K2805" s="24" t="n">
        <x:v>0.17984422940759973</x:v>
      </x:c>
      <x:c r="L2805" s="24" t="n">
        <x:v>0.0059004012272834555</x:v>
      </x:c>
    </x:row>
    <x:row r="2806">
      <x:c r="G2806" t="str">
        <x:v>ABQ-DEN</x:v>
      </x:c>
      <x:c r="H2806" t="str">
        <x:v>ABQ</x:v>
      </x:c>
      <x:c r="I2806" t="str">
        <x:v>DEN</x:v>
      </x:c>
      <x:c r="J2806" s="23" t="n">
        <x:v>8730</x:v>
      </x:c>
      <x:c r="K2806" s="24" t="n">
        <x:v>0.17983963344788087</x:v>
      </x:c>
      <x:c r="L2806" s="24" t="n">
        <x:v>0.011111111111111112</x:v>
      </x:c>
    </x:row>
    <x:row r="2807">
      <x:c r="G2807" t="str">
        <x:v>ATL-SAV</x:v>
      </x:c>
      <x:c r="H2807" t="str">
        <x:v>ATL</x:v>
      </x:c>
      <x:c r="I2807" t="str">
        <x:v>SAV</x:v>
      </x:c>
      <x:c r="J2807" s="23" t="n">
        <x:v>8265</x:v>
      </x:c>
      <x:c r="K2807" s="24" t="n">
        <x:v>0.17979431336963098</x:v>
      </x:c>
      <x:c r="L2807" s="24" t="n">
        <x:v>0.011978221415607986</x:v>
      </x:c>
    </x:row>
    <x:row r="2808">
      <x:c r="G2808" t="str">
        <x:v>SAT-HOU</x:v>
      </x:c>
      <x:c r="H2808" t="str">
        <x:v>SAT</x:v>
      </x:c>
      <x:c r="I2808" t="str">
        <x:v>HOU</x:v>
      </x:c>
      <x:c r="J2808" s="23" t="n">
        <x:v>4889</x:v>
      </x:c>
      <x:c r="K2808" s="24" t="n">
        <x:v>0.17979136837799142</x:v>
      </x:c>
      <x:c r="L2808" s="24" t="n">
        <x:v>0.0073634690120679075</x:v>
      </x:c>
    </x:row>
    <x:row r="2809">
      <x:c r="G2809" t="str">
        <x:v>BNA-SRQ</x:v>
      </x:c>
      <x:c r="H2809" t="str">
        <x:v>BNA</x:v>
      </x:c>
      <x:c r="I2809" t="str">
        <x:v>SRQ</x:v>
      </x:c>
      <x:c r="J2809" s="23" t="n">
        <x:v>2015</x:v>
      </x:c>
      <x:c r="K2809" s="24" t="n">
        <x:v>0.17965260545905706</x:v>
      </x:c>
      <x:c r="L2809" s="24" t="n">
        <x:v>0.014392059553349877</x:v>
      </x:c>
    </x:row>
    <x:row r="2810">
      <x:c r="G2810" t="str">
        <x:v>BHM-HOU</x:v>
      </x:c>
      <x:c r="H2810" t="str">
        <x:v>BHM</x:v>
      </x:c>
      <x:c r="I2810" t="str">
        <x:v>HOU</x:v>
      </x:c>
      <x:c r="J2810" s="23" t="n">
        <x:v>1553</x:v>
      </x:c>
      <x:c r="K2810" s="24" t="n">
        <x:v>0.17965228589826143</x:v>
      </x:c>
      <x:c r="L2810" s="24" t="n">
        <x:v>0.0077269800386349004</x:v>
      </x:c>
    </x:row>
    <x:row r="2811">
      <x:c r="G2811" t="str">
        <x:v>IMT-MSP</x:v>
      </x:c>
      <x:c r="H2811" t="str">
        <x:v>IMT</x:v>
      </x:c>
      <x:c r="I2811" t="str">
        <x:v>MSP</x:v>
      </x:c>
      <x:c r="J2811" s="23" t="n">
        <x:v>1080</x:v>
      </x:c>
      <x:c r="K2811" s="24" t="n">
        <x:v>0.17962962962962964</x:v>
      </x:c>
      <x:c r="L2811" s="24" t="n">
        <x:v>0.01574074074074074</x:v>
      </x:c>
    </x:row>
    <x:row r="2812">
      <x:c r="G2812" t="str">
        <x:v>COS-PHX</x:v>
      </x:c>
      <x:c r="H2812" t="str">
        <x:v>COS</x:v>
      </x:c>
      <x:c r="I2812" t="str">
        <x:v>PHX</x:v>
      </x:c>
      <x:c r="J2812" s="23" t="n">
        <x:v>2934</x:v>
      </x:c>
      <x:c r="K2812" s="24" t="n">
        <x:v>0.1796182685753238</x:v>
      </x:c>
      <x:c r="L2812" s="24" t="n">
        <x:v>0.00408997955010225</x:v>
      </x:c>
    </x:row>
    <x:row r="2813">
      <x:c r="G2813" t="str">
        <x:v>PDX-ORD</x:v>
      </x:c>
      <x:c r="H2813" t="str">
        <x:v>PDX</x:v>
      </x:c>
      <x:c r="I2813" t="str">
        <x:v>ORD</x:v>
      </x:c>
      <x:c r="J2813" s="23" t="n">
        <x:v>6728</x:v>
      </x:c>
      <x:c r="K2813" s="24" t="n">
        <x:v>0.17954815695600476</x:v>
      </x:c>
      <x:c r="L2813" s="24" t="n">
        <x:v>0.012633769322235434</x:v>
      </x:c>
    </x:row>
    <x:row r="2814">
      <x:c r="G2814" t="str">
        <x:v>MSP-FSD</x:v>
      </x:c>
      <x:c r="H2814" t="str">
        <x:v>MSP</x:v>
      </x:c>
      <x:c r="I2814" t="str">
        <x:v>FSD</x:v>
      </x:c>
      <x:c r="J2814" s="23" t="n">
        <x:v>3996</x:v>
      </x:c>
      <x:c r="K2814" s="24" t="n">
        <x:v>0.17942942942942944</x:v>
      </x:c>
      <x:c r="L2814" s="24" t="n">
        <x:v>0.01001001001001001</x:v>
      </x:c>
    </x:row>
    <x:row r="2815">
      <x:c r="G2815" t="str">
        <x:v>BNA-HOU</x:v>
      </x:c>
      <x:c r="H2815" t="str">
        <x:v>BNA</x:v>
      </x:c>
      <x:c r="I2815" t="str">
        <x:v>HOU</x:v>
      </x:c>
      <x:c r="J2815" s="23" t="n">
        <x:v>5202</x:v>
      </x:c>
      <x:c r="K2815" s="24" t="n">
        <x:v>0.17935409457900808</x:v>
      </x:c>
      <x:c r="L2815" s="24" t="n">
        <x:v>0.007881584006151481</x:v>
      </x:c>
    </x:row>
    <x:row r="2816">
      <x:c r="G2816" t="str">
        <x:v>MSP-CMH</x:v>
      </x:c>
      <x:c r="H2816" t="str">
        <x:v>MSP</x:v>
      </x:c>
      <x:c r="I2816" t="str">
        <x:v>CMH</x:v>
      </x:c>
      <x:c r="J2816" s="23" t="n">
        <x:v>3281</x:v>
      </x:c>
      <x:c r="K2816" s="24" t="n">
        <x:v>0.17921365437366657</x:v>
      </x:c>
      <x:c r="L2816" s="24" t="n">
        <x:v>0.008229198415117342</x:v>
      </x:c>
    </x:row>
    <x:row r="2817">
      <x:c r="G2817" t="str">
        <x:v>IND-AUS</x:v>
      </x:c>
      <x:c r="H2817" t="str">
        <x:v>IND</x:v>
      </x:c>
      <x:c r="I2817" t="str">
        <x:v>AUS</x:v>
      </x:c>
      <x:c r="J2817" s="23" t="n">
        <x:v>2590</x:v>
      </x:c>
      <x:c r="K2817" s="24" t="n">
        <x:v>0.17915057915057914</x:v>
      </x:c>
      <x:c r="L2817" s="24" t="n">
        <x:v>0.0034749034749034747</x:v>
      </x:c>
    </x:row>
    <x:row r="2818">
      <x:c r="G2818" t="str">
        <x:v>ATL-IND</x:v>
      </x:c>
      <x:c r="H2818" t="str">
        <x:v>ATL</x:v>
      </x:c>
      <x:c r="I2818" t="str">
        <x:v>IND</x:v>
      </x:c>
      <x:c r="J2818" s="23" t="n">
        <x:v>9959</x:v>
      </x:c>
      <x:c r="K2818" s="24" t="n">
        <x:v>0.1791344512501255</x:v>
      </x:c>
      <x:c r="L2818" s="24" t="n">
        <x:v>0.007229641530274124</x:v>
      </x:c>
    </x:row>
    <x:row r="2819">
      <x:c r="G2819" t="str">
        <x:v>LBF-DEN</x:v>
      </x:c>
      <x:c r="H2819" t="str">
        <x:v>LBF</x:v>
      </x:c>
      <x:c r="I2819" t="str">
        <x:v>DEN</x:v>
      </x:c>
      <x:c r="J2819" s="23" t="n">
        <x:v>1876</x:v>
      </x:c>
      <x:c r="K2819" s="24" t="n">
        <x:v>0.1791044776119403</x:v>
      </x:c>
      <x:c r="L2819" s="24" t="n">
        <x:v>0.03251599147121535</x:v>
      </x:c>
    </x:row>
    <x:row r="2820">
      <x:c r="G2820" t="str">
        <x:v>ATL-MSP</x:v>
      </x:c>
      <x:c r="H2820" t="str">
        <x:v>ATL</x:v>
      </x:c>
      <x:c r="I2820" t="str">
        <x:v>MSP</x:v>
      </x:c>
      <x:c r="J2820" s="23" t="n">
        <x:v>11036</x:v>
      </x:c>
      <x:c r="K2820" s="24" t="n">
        <x:v>0.17905038057267125</x:v>
      </x:c>
      <x:c r="L2820" s="24" t="n">
        <x:v>0.0053461399057629574</x:v>
      </x:c>
    </x:row>
    <x:row r="2821">
      <x:c r="G2821" t="str">
        <x:v>MHT-CLT</x:v>
      </x:c>
      <x:c r="H2821" t="str">
        <x:v>MHT</x:v>
      </x:c>
      <x:c r="I2821" t="str">
        <x:v>CLT</x:v>
      </x:c>
      <x:c r="J2821" s="23" t="n">
        <x:v>2984</x:v>
      </x:c>
      <x:c r="K2821" s="24" t="n">
        <x:v>0.1789544235924933</x:v>
      </x:c>
      <x:c r="L2821" s="24" t="n">
        <x:v>0.02613941018766756</x:v>
      </x:c>
    </x:row>
    <x:row r="2822">
      <x:c r="G2822" t="str">
        <x:v>OAK-BLI</x:v>
      </x:c>
      <x:c r="H2822" t="str">
        <x:v>OAK</x:v>
      </x:c>
      <x:c r="I2822" t="str">
        <x:v>BLI</x:v>
      </x:c>
      <x:c r="J2822" s="23" t="n">
        <x:v>1224</x:v>
      </x:c>
      <x:c r="K2822" s="24" t="n">
        <x:v>0.17892156862745098</x:v>
      </x:c>
      <x:c r="L2822" s="24" t="n">
        <x:v>0.0032679738562091504</x:v>
      </x:c>
    </x:row>
    <x:row r="2823">
      <x:c r="G2823" t="str">
        <x:v>LAX-TUS</x:v>
      </x:c>
      <x:c r="H2823" t="str">
        <x:v>LAX</x:v>
      </x:c>
      <x:c r="I2823" t="str">
        <x:v>TUS</x:v>
      </x:c>
      <x:c r="J2823" s="23" t="n">
        <x:v>7575</x:v>
      </x:c>
      <x:c r="K2823" s="24" t="n">
        <x:v>0.1788778877887789</x:v>
      </x:c>
      <x:c r="L2823" s="24" t="n">
        <x:v>0.0025082508250825085</x:v>
      </x:c>
    </x:row>
    <x:row r="2824">
      <x:c r="G2824" t="str">
        <x:v>BTV-EWR</x:v>
      </x:c>
      <x:c r="H2824" t="str">
        <x:v>BTV</x:v>
      </x:c>
      <x:c r="I2824" t="str">
        <x:v>EWR</x:v>
      </x:c>
      <x:c r="J2824" s="23" t="n">
        <x:v>2622</x:v>
      </x:c>
      <x:c r="K2824" s="24" t="n">
        <x:v>0.17887109077040428</x:v>
      </x:c>
      <x:c r="L2824" s="24" t="n">
        <x:v>0.04271548436308162</x:v>
      </x:c>
    </x:row>
    <x:row r="2825">
      <x:c r="G2825" t="str">
        <x:v>GEG-LAS</x:v>
      </x:c>
      <x:c r="H2825" t="str">
        <x:v>GEG</x:v>
      </x:c>
      <x:c r="I2825" t="str">
        <x:v>LAS</x:v>
      </x:c>
      <x:c r="J2825" s="23" t="n">
        <x:v>2231</x:v>
      </x:c>
      <x:c r="K2825" s="24" t="n">
        <x:v>0.17884356790676825</x:v>
      </x:c>
      <x:c r="L2825" s="24" t="n">
        <x:v>0.0022411474675033617</x:v>
      </x:c>
    </x:row>
    <x:row r="2826">
      <x:c r="G2826" t="str">
        <x:v>MSY-ATL</x:v>
      </x:c>
      <x:c r="H2826" t="str">
        <x:v>MSY</x:v>
      </x:c>
      <x:c r="I2826" t="str">
        <x:v>ATL</x:v>
      </x:c>
      <x:c r="J2826" s="23" t="n">
        <x:v>13530</x:v>
      </x:c>
      <x:c r="K2826" s="24" t="n">
        <x:v>0.1787878787878788</x:v>
      </x:c>
      <x:c r="L2826" s="24" t="n">
        <x:v>0.01204730229120473</x:v>
      </x:c>
    </x:row>
    <x:row r="2827">
      <x:c r="G2827" t="str">
        <x:v>CMH-RSW</x:v>
      </x:c>
      <x:c r="H2827" t="str">
        <x:v>CMH</x:v>
      </x:c>
      <x:c r="I2827" t="str">
        <x:v>RSW</x:v>
      </x:c>
      <x:c r="J2827" s="23" t="n">
        <x:v>1913</x:v>
      </x:c>
      <x:c r="K2827" s="24" t="n">
        <x:v>0.17877679038159958</x:v>
      </x:c>
      <x:c r="L2827" s="24" t="n">
        <x:v>0.00836382645060115</x:v>
      </x:c>
    </x:row>
    <x:row r="2828">
      <x:c r="G2828" t="str">
        <x:v>TLH-CLT</x:v>
      </x:c>
      <x:c r="H2828" t="str">
        <x:v>TLH</x:v>
      </x:c>
      <x:c r="I2828" t="str">
        <x:v>CLT</x:v>
      </x:c>
      <x:c r="J2828" s="23" t="n">
        <x:v>1986</x:v>
      </x:c>
      <x:c r="K2828" s="24" t="n">
        <x:v>0.17875125881168177</x:v>
      </x:c>
      <x:c r="L2828" s="24" t="n">
        <x:v>0.015609264853977844</x:v>
      </x:c>
    </x:row>
    <x:row r="2829">
      <x:c r="G2829" t="str">
        <x:v>STL-LGA</x:v>
      </x:c>
      <x:c r="H2829" t="str">
        <x:v>STL</x:v>
      </x:c>
      <x:c r="I2829" t="str">
        <x:v>LGA</x:v>
      </x:c>
      <x:c r="J2829" s="23" t="n">
        <x:v>10532</x:v>
      </x:c>
      <x:c r="K2829" s="24" t="n">
        <x:v>0.1786935055070262</x:v>
      </x:c>
      <x:c r="L2829" s="24" t="n">
        <x:v>0.025921002658564375</x:v>
      </x:c>
    </x:row>
    <x:row r="2830">
      <x:c r="G2830" t="str">
        <x:v>BDL-BNA</x:v>
      </x:c>
      <x:c r="H2830" t="str">
        <x:v>BDL</x:v>
      </x:c>
      <x:c r="I2830" t="str">
        <x:v>BNA</x:v>
      </x:c>
      <x:c r="J2830" s="23" t="n">
        <x:v>1131</x:v>
      </x:c>
      <x:c r="K2830" s="24" t="n">
        <x:v>0.1786030061892131</x:v>
      </x:c>
      <x:c r="L2830" s="24" t="n">
        <x:v>0.005305039787798408</x:v>
      </x:c>
    </x:row>
    <x:row r="2831">
      <x:c r="G2831" t="str">
        <x:v>RSW-CLE</x:v>
      </x:c>
      <x:c r="H2831" t="str">
        <x:v>RSW</x:v>
      </x:c>
      <x:c r="I2831" t="str">
        <x:v>CLE</x:v>
      </x:c>
      <x:c r="J2831" s="23" t="n">
        <x:v>2951</x:v>
      </x:c>
      <x:c r="K2831" s="24" t="n">
        <x:v>0.1785835310064385</x:v>
      </x:c>
      <x:c r="L2831" s="24" t="n">
        <x:v>0.018976618095560827</x:v>
      </x:c>
    </x:row>
    <x:row r="2832">
      <x:c r="G2832" t="str">
        <x:v>MCI-DAL</x:v>
      </x:c>
      <x:c r="H2832" t="str">
        <x:v>MCI</x:v>
      </x:c>
      <x:c r="I2832" t="str">
        <x:v>DAL</x:v>
      </x:c>
      <x:c r="J2832" s="23" t="n">
        <x:v>6132</x:v>
      </x:c>
      <x:c r="K2832" s="24" t="n">
        <x:v>0.17857142857142858</x:v>
      </x:c>
      <x:c r="L2832" s="24" t="n">
        <x:v>0.01532941943900848</x:v>
      </x:c>
    </x:row>
    <x:row r="2833">
      <x:c r="G2833" t="str">
        <x:v>SEA-LAX</x:v>
      </x:c>
      <x:c r="H2833" t="str">
        <x:v>SEA</x:v>
      </x:c>
      <x:c r="I2833" t="str">
        <x:v>LAX</x:v>
      </x:c>
      <x:c r="J2833" s="23" t="n">
        <x:v>22430</x:v>
      </x:c>
      <x:c r="K2833" s="24" t="n">
        <x:v>0.1785555060187249</x:v>
      </x:c>
      <x:c r="L2833" s="24" t="n">
        <x:v>0.008604547481052162</x:v>
      </x:c>
    </x:row>
    <x:row r="2834">
      <x:c r="G2834" t="str">
        <x:v>TUL-ORD</x:v>
      </x:c>
      <x:c r="H2834" t="str">
        <x:v>TUL</x:v>
      </x:c>
      <x:c r="I2834" t="str">
        <x:v>ORD</x:v>
      </x:c>
      <x:c r="J2834" s="23" t="n">
        <x:v>4968</x:v>
      </x:c>
      <x:c r="K2834" s="24" t="n">
        <x:v>0.1785426731078905</x:v>
      </x:c>
      <x:c r="L2834" s="24" t="n">
        <x:v>0.012278582930756845</x:v>
      </x:c>
    </x:row>
    <x:row r="2835">
      <x:c r="G2835" t="str">
        <x:v>IAD-DTW</x:v>
      </x:c>
      <x:c r="H2835" t="str">
        <x:v>IAD</x:v>
      </x:c>
      <x:c r="I2835" t="str">
        <x:v>DTW</x:v>
      </x:c>
      <x:c r="J2835" s="23" t="n">
        <x:v>3748</x:v>
      </x:c>
      <x:c r="K2835" s="24" t="n">
        <x:v>0.17849519743863393</x:v>
      </x:c>
      <x:c r="L2835" s="24" t="n">
        <x:v>0.005602988260405549</x:v>
      </x:c>
    </x:row>
    <x:row r="2836">
      <x:c r="G2836" t="str">
        <x:v>LGA-DTW</x:v>
      </x:c>
      <x:c r="H2836" t="str">
        <x:v>LGA</x:v>
      </x:c>
      <x:c r="I2836" t="str">
        <x:v>DTW</x:v>
      </x:c>
      <x:c r="J2836" s="23" t="n">
        <x:v>12522</x:v>
      </x:c>
      <x:c r="K2836" s="24" t="n">
        <x:v>0.17848586487781504</x:v>
      </x:c>
      <x:c r="L2836" s="24" t="n">
        <x:v>0.023398818080178886</x:v>
      </x:c>
    </x:row>
    <x:row r="2837">
      <x:c r="G2837" t="str">
        <x:v>BNA-BWI</x:v>
      </x:c>
      <x:c r="H2837" t="str">
        <x:v>BNA</x:v>
      </x:c>
      <x:c r="I2837" t="str">
        <x:v>BWI</x:v>
      </x:c>
      <x:c r="J2837" s="23" t="n">
        <x:v>5827</x:v>
      </x:c>
      <x:c r="K2837" s="24" t="n">
        <x:v>0.17847949201990732</x:v>
      </x:c>
      <x:c r="L2837" s="24" t="n">
        <x:v>0.013214347005320062</x:v>
      </x:c>
    </x:row>
    <x:row r="2838">
      <x:c r="G2838" t="str">
        <x:v>SJT-DFW</x:v>
      </x:c>
      <x:c r="H2838" t="str">
        <x:v>SJT</x:v>
      </x:c>
      <x:c r="I2838" t="str">
        <x:v>DFW</x:v>
      </x:c>
      <x:c r="J2838" s="23" t="n">
        <x:v>3301</x:v>
      </x:c>
      <x:c r="K2838" s="24" t="n">
        <x:v>0.17843077855195397</x:v>
      </x:c>
      <x:c r="L2838" s="24" t="n">
        <x:v>0.0293850348379279</x:v>
      </x:c>
    </x:row>
    <x:row r="2839">
      <x:c r="G2839" t="str">
        <x:v>SNA-DFW</x:v>
      </x:c>
      <x:c r="H2839" t="str">
        <x:v>SNA</x:v>
      </x:c>
      <x:c r="I2839" t="str">
        <x:v>DFW</x:v>
      </x:c>
      <x:c r="J2839" s="23" t="n">
        <x:v>9000</x:v>
      </x:c>
      <x:c r="K2839" s="24" t="n">
        <x:v>0.17833333333333334</x:v>
      </x:c>
      <x:c r="L2839" s="24" t="n">
        <x:v>0.020777777777777777</x:v>
      </x:c>
    </x:row>
    <x:row r="2840">
      <x:c r="G2840" t="str">
        <x:v>ATL-CMH</x:v>
      </x:c>
      <x:c r="H2840" t="str">
        <x:v>ATL</x:v>
      </x:c>
      <x:c r="I2840" t="str">
        <x:v>CMH</x:v>
      </x:c>
      <x:c r="J2840" s="23" t="n">
        <x:v>9415</x:v>
      </x:c>
      <x:c r="K2840" s="24" t="n">
        <x:v>0.17833244822092406</x:v>
      </x:c>
      <x:c r="L2840" s="24" t="n">
        <x:v>0.007434944237918215</x:v>
      </x:c>
    </x:row>
    <x:row r="2841">
      <x:c r="G2841" t="str">
        <x:v>DTW-CHS</x:v>
      </x:c>
      <x:c r="H2841" t="str">
        <x:v>DTW</x:v>
      </x:c>
      <x:c r="I2841" t="str">
        <x:v>CHS</x:v>
      </x:c>
      <x:c r="J2841" s="23" t="n">
        <x:v>1717</x:v>
      </x:c>
      <x:c r="K2841" s="24" t="n">
        <x:v>0.1782178217821782</x:v>
      </x:c>
      <x:c r="L2841" s="24" t="n">
        <x:v>0.013977868375072802</x:v>
      </x:c>
    </x:row>
    <x:row r="2842">
      <x:c r="G2842" t="str">
        <x:v>MSP-GEG</x:v>
      </x:c>
      <x:c r="H2842" t="str">
        <x:v>MSP</x:v>
      </x:c>
      <x:c r="I2842" t="str">
        <x:v>GEG</x:v>
      </x:c>
      <x:c r="J2842" s="23" t="n">
        <x:v>2380</x:v>
      </x:c>
      <x:c r="K2842" s="24" t="n">
        <x:v>0.1781512605042017</x:v>
      </x:c>
      <x:c r="L2842" s="24" t="n">
        <x:v>0.007563025210084034</x:v>
      </x:c>
    </x:row>
    <x:row r="2843">
      <x:c r="G2843" t="str">
        <x:v>SEA-SJC</x:v>
      </x:c>
      <x:c r="H2843" t="str">
        <x:v>SEA</x:v>
      </x:c>
      <x:c r="I2843" t="str">
        <x:v>SJC</x:v>
      </x:c>
      <x:c r="J2843" s="23" t="n">
        <x:v>13905</x:v>
      </x:c>
      <x:c r="K2843" s="24" t="n">
        <x:v>0.1781373606616325</x:v>
      </x:c>
      <x:c r="L2843" s="24" t="n">
        <x:v>0.007263574253865516</x:v>
      </x:c>
    </x:row>
    <x:row r="2844">
      <x:c r="G2844" t="str">
        <x:v>MSP-GRR</x:v>
      </x:c>
      <x:c r="H2844" t="str">
        <x:v>MSP</x:v>
      </x:c>
      <x:c r="I2844" t="str">
        <x:v>GRR</x:v>
      </x:c>
      <x:c r="J2844" s="23" t="n">
        <x:v>3885</x:v>
      </x:c>
      <x:c r="K2844" s="24" t="n">
        <x:v>0.17812097812097813</x:v>
      </x:c>
      <x:c r="L2844" s="24" t="n">
        <x:v>0.007464607464607464</x:v>
      </x:c>
    </x:row>
    <x:row r="2845">
      <x:c r="G2845" t="str">
        <x:v>BHM-DEN</x:v>
      </x:c>
      <x:c r="H2845" t="str">
        <x:v>BHM</x:v>
      </x:c>
      <x:c r="I2845" t="str">
        <x:v>DEN</x:v>
      </x:c>
      <x:c r="J2845" s="23" t="n">
        <x:v>3251</x:v>
      </x:c>
      <x:c r="K2845" s="24" t="n">
        <x:v>0.178099046447247</x:v>
      </x:c>
      <x:c r="L2845" s="24" t="n">
        <x:v>0.005536757920639803</x:v>
      </x:c>
    </x:row>
    <x:row r="2846">
      <x:c r="G2846" t="str">
        <x:v>MEM-MCO</x:v>
      </x:c>
      <x:c r="H2846" t="str">
        <x:v>MEM</x:v>
      </x:c>
      <x:c r="I2846" t="str">
        <x:v>MCO</x:v>
      </x:c>
      <x:c r="J2846" s="23" t="n">
        <x:v>2427</x:v>
      </x:c>
      <x:c r="K2846" s="24" t="n">
        <x:v>0.17799752781211373</x:v>
      </x:c>
      <x:c r="L2846" s="24" t="n">
        <x:v>0.016893283889575606</x:v>
      </x:c>
    </x:row>
    <x:row r="2847">
      <x:c r="G2847" t="str">
        <x:v>MSP-RST</x:v>
      </x:c>
      <x:c r="H2847" t="str">
        <x:v>MSP</x:v>
      </x:c>
      <x:c r="I2847" t="str">
        <x:v>RST</x:v>
      </x:c>
      <x:c r="J2847" s="23" t="n">
        <x:v>2062</x:v>
      </x:c>
      <x:c r="K2847" s="24" t="n">
        <x:v>0.17798254122211446</x:v>
      </x:c>
      <x:c r="L2847" s="24" t="n">
        <x:v>0.016488845780795344</x:v>
      </x:c>
    </x:row>
    <x:row r="2848">
      <x:c r="G2848" t="str">
        <x:v>LAS-DTW</x:v>
      </x:c>
      <x:c r="H2848" t="str">
        <x:v>LAS</x:v>
      </x:c>
      <x:c r="I2848" t="str">
        <x:v>DTW</x:v>
      </x:c>
      <x:c r="J2848" s="23" t="n">
        <x:v>9548</x:v>
      </x:c>
      <x:c r="K2848" s="24" t="n">
        <x:v>0.17794302471721826</x:v>
      </x:c>
      <x:c r="L2848" s="24" t="n">
        <x:v>0.006598240469208211</x:v>
      </x:c>
    </x:row>
    <x:row r="2849">
      <x:c r="G2849" t="str">
        <x:v>MOT-MSP</x:v>
      </x:c>
      <x:c r="H2849" t="str">
        <x:v>MOT</x:v>
      </x:c>
      <x:c r="I2849" t="str">
        <x:v>MSP</x:v>
      </x:c>
      <x:c r="J2849" s="23" t="n">
        <x:v>3918</x:v>
      </x:c>
      <x:c r="K2849" s="24" t="n">
        <x:v>0.17789688616641144</x:v>
      </x:c>
      <x:c r="L2849" s="24" t="n">
        <x:v>0.013527309851965288</x:v>
      </x:c>
    </x:row>
    <x:row r="2850">
      <x:c r="G2850" t="str">
        <x:v>MSP-OMA</x:v>
      </x:c>
      <x:c r="H2850" t="str">
        <x:v>MSP</x:v>
      </x:c>
      <x:c r="I2850" t="str">
        <x:v>OMA</x:v>
      </x:c>
      <x:c r="J2850" s="23" t="n">
        <x:v>4098</x:v>
      </x:c>
      <x:c r="K2850" s="24" t="n">
        <x:v>0.17789165446559296</x:v>
      </x:c>
      <x:c r="L2850" s="24" t="n">
        <x:v>0.007564665690580771</x:v>
      </x:c>
    </x:row>
    <x:row r="2851">
      <x:c r="G2851" t="str">
        <x:v>PNS-ORD</x:v>
      </x:c>
      <x:c r="H2851" t="str">
        <x:v>PNS</x:v>
      </x:c>
      <x:c r="I2851" t="str">
        <x:v>ORD</x:v>
      </x:c>
      <x:c r="J2851" s="23" t="n">
        <x:v>1305</x:v>
      </x:c>
      <x:c r="K2851" s="24" t="n">
        <x:v>0.17777777777777778</x:v>
      </x:c>
      <x:c r="L2851" s="24" t="n">
        <x:v>0.012260536398467433</x:v>
      </x:c>
    </x:row>
    <x:row r="2852">
      <x:c r="G2852" t="str">
        <x:v>PDX-DEN</x:v>
      </x:c>
      <x:c r="H2852" t="str">
        <x:v>PDX</x:v>
      </x:c>
      <x:c r="I2852" t="str">
        <x:v>DEN</x:v>
      </x:c>
      <x:c r="J2852" s="23" t="n">
        <x:v>13389</x:v>
      </x:c>
      <x:c r="K2852" s="24" t="n">
        <x:v>0.1777578609306147</x:v>
      </x:c>
      <x:c r="L2852" s="24" t="n">
        <x:v>0.009485398461423556</x:v>
      </x:c>
    </x:row>
    <x:row r="2853">
      <x:c r="G2853" t="str">
        <x:v>ALB-ATL</x:v>
      </x:c>
      <x:c r="H2853" t="str">
        <x:v>ALB</x:v>
      </x:c>
      <x:c r="I2853" t="str">
        <x:v>ATL</x:v>
      </x:c>
      <x:c r="J2853" s="23" t="n">
        <x:v>3055</x:v>
      </x:c>
      <x:c r="K2853" s="24" t="n">
        <x:v>0.17774140752864157</x:v>
      </x:c>
      <x:c r="L2853" s="24" t="n">
        <x:v>0.012438625204582651</x:v>
      </x:c>
    </x:row>
    <x:row r="2854">
      <x:c r="G2854" t="str">
        <x:v>BHM-PHL</x:v>
      </x:c>
      <x:c r="H2854" t="str">
        <x:v>BHM</x:v>
      </x:c>
      <x:c r="I2854" t="str">
        <x:v>PHL</x:v>
      </x:c>
      <x:c r="J2854" s="23" t="n">
        <x:v>1525</x:v>
      </x:c>
      <x:c r="K2854" s="24" t="n">
        <x:v>0.17770491803278687</x:v>
      </x:c>
      <x:c r="L2854" s="24" t="n">
        <x:v>0.018360655737704918</x:v>
      </x:c>
    </x:row>
    <x:row r="2855">
      <x:c r="G2855" t="str">
        <x:v>MSP-BDL</x:v>
      </x:c>
      <x:c r="H2855" t="str">
        <x:v>MSP</x:v>
      </x:c>
      <x:c r="I2855" t="str">
        <x:v>BDL</x:v>
      </x:c>
      <x:c r="J2855" s="23" t="n">
        <x:v>2589</x:v>
      </x:c>
      <x:c r="K2855" s="24" t="n">
        <x:v>0.1776747779065276</x:v>
      </x:c>
      <x:c r="L2855" s="24" t="n">
        <x:v>0.005021243723445346</x:v>
      </x:c>
    </x:row>
    <x:row r="2856">
      <x:c r="G2856" t="str">
        <x:v>SEA-MKE</x:v>
      </x:c>
      <x:c r="H2856" t="str">
        <x:v>SEA</x:v>
      </x:c>
      <x:c r="I2856" t="str">
        <x:v>MKE</x:v>
      </x:c>
      <x:c r="J2856" s="23" t="n">
        <x:v>1351</x:v>
      </x:c>
      <x:c r="K2856" s="24" t="n">
        <x:v>0.17764618800888232</x:v>
      </x:c>
      <x:c r="L2856" s="24" t="n">
        <x:v>0.0044411547002220575</x:v>
      </x:c>
    </x:row>
    <x:row r="2857">
      <x:c r="G2857" t="str">
        <x:v>BDL-DEN</x:v>
      </x:c>
      <x:c r="H2857" t="str">
        <x:v>BDL</x:v>
      </x:c>
      <x:c r="I2857" t="str">
        <x:v>DEN</x:v>
      </x:c>
      <x:c r="J2857" s="23" t="n">
        <x:v>2483</x:v>
      </x:c>
      <x:c r="K2857" s="24" t="n">
        <x:v>0.17760773258155457</x:v>
      </x:c>
      <x:c r="L2857" s="24" t="n">
        <x:v>0.010068465565847765</x:v>
      </x:c>
    </x:row>
    <x:row r="2858">
      <x:c r="G2858" t="str">
        <x:v>DTW-BWI</x:v>
      </x:c>
      <x:c r="H2858" t="str">
        <x:v>DTW</x:v>
      </x:c>
      <x:c r="I2858" t="str">
        <x:v>BWI</x:v>
      </x:c>
      <x:c r="J2858" s="23" t="n">
        <x:v>6163</x:v>
      </x:c>
      <x:c r="K2858" s="24" t="n">
        <x:v>0.1775109524582184</x:v>
      </x:c>
      <x:c r="L2858" s="24" t="n">
        <x:v>0.009897777056628266</x:v>
      </x:c>
    </x:row>
    <x:row r="2859">
      <x:c r="G2859" t="str">
        <x:v>MCI-EWR</x:v>
      </x:c>
      <x:c r="H2859" t="str">
        <x:v>MCI</x:v>
      </x:c>
      <x:c r="I2859" t="str">
        <x:v>EWR</x:v>
      </x:c>
      <x:c r="J2859" s="23" t="n">
        <x:v>1645</x:v>
      </x:c>
      <x:c r="K2859" s="24" t="n">
        <x:v>0.17750759878419453</x:v>
      </x:c>
      <x:c r="L2859" s="24" t="n">
        <x:v>0.034650455927051675</x:v>
      </x:c>
    </x:row>
    <x:row r="2860">
      <x:c r="G2860" t="str">
        <x:v>PHX-LIH</x:v>
      </x:c>
      <x:c r="H2860" t="str">
        <x:v>PHX</x:v>
      </x:c>
      <x:c r="I2860" t="str">
        <x:v>LIH</x:v>
      </x:c>
      <x:c r="J2860" s="23" t="n">
        <x:v>1155</x:v>
      </x:c>
      <x:c r="K2860" s="24" t="n">
        <x:v>0.1774891774891775</x:v>
      </x:c>
      <x:c r="L2860" s="24" t="n">
        <x:v>0.0008658008658008658</x:v>
      </x:c>
    </x:row>
    <x:row r="2861">
      <x:c r="G2861" t="str">
        <x:v>BNA-IAH</x:v>
      </x:c>
      <x:c r="H2861" t="str">
        <x:v>BNA</x:v>
      </x:c>
      <x:c r="I2861" t="str">
        <x:v>IAH</x:v>
      </x:c>
      <x:c r="J2861" s="23" t="n">
        <x:v>5731</x:v>
      </x:c>
      <x:c r="K2861" s="24" t="n">
        <x:v>0.1774559413714884</x:v>
      </x:c>
      <x:c r="L2861" s="24" t="n">
        <x:v>0.015529575990228582</x:v>
      </x:c>
    </x:row>
    <x:row r="2862">
      <x:c r="G2862" t="str">
        <x:v>MAF-LAS</x:v>
      </x:c>
      <x:c r="H2862" t="str">
        <x:v>MAF</x:v>
      </x:c>
      <x:c r="I2862" t="str">
        <x:v>LAS</x:v>
      </x:c>
      <x:c r="J2862" s="23" t="n">
        <x:v>1122</x:v>
      </x:c>
      <x:c r="K2862" s="24" t="n">
        <x:v>0.17736185383244207</x:v>
      </x:c>
      <x:c r="L2862" s="24" t="n">
        <x:v>0.006238859180035651</x:v>
      </x:c>
    </x:row>
    <x:row r="2863">
      <x:c r="G2863" t="str">
        <x:v>SNA-EWR</x:v>
      </x:c>
      <x:c r="H2863" t="str">
        <x:v>SNA</x:v>
      </x:c>
      <x:c r="I2863" t="str">
        <x:v>EWR</x:v>
      </x:c>
      <x:c r="J2863" s="23" t="n">
        <x:v>3265</x:v>
      </x:c>
      <x:c r="K2863" s="24" t="n">
        <x:v>0.1773353751914242</x:v>
      </x:c>
      <x:c r="L2863" s="24" t="n">
        <x:v>0.01807044410413476</x:v>
      </x:c>
    </x:row>
    <x:row r="2864">
      <x:c r="G2864" t="str">
        <x:v>AUS-DAL</x:v>
      </x:c>
      <x:c r="H2864" t="str">
        <x:v>AUS</x:v>
      </x:c>
      <x:c r="I2864" t="str">
        <x:v>DAL</x:v>
      </x:c>
      <x:c r="J2864" s="23" t="n">
        <x:v>7811</x:v>
      </x:c>
      <x:c r="K2864" s="24" t="n">
        <x:v>0.17731404429650494</x:v>
      </x:c>
      <x:c r="L2864" s="24" t="n">
        <x:v>0.017539367558571245</x:v>
      </x:c>
    </x:row>
    <x:row r="2865">
      <x:c r="G2865" t="str">
        <x:v>MSY-MDW</x:v>
      </x:c>
      <x:c r="H2865" t="str">
        <x:v>MSY</x:v>
      </x:c>
      <x:c r="I2865" t="str">
        <x:v>MDW</x:v>
      </x:c>
      <x:c r="J2865" s="23" t="n">
        <x:v>3041</x:v>
      </x:c>
      <x:c r="K2865" s="24" t="n">
        <x:v>0.17724432752384084</x:v>
      </x:c>
      <x:c r="L2865" s="24" t="n">
        <x:v>0.00887865833607366</x:v>
      </x:c>
    </x:row>
    <x:row r="2866">
      <x:c r="G2866" t="str">
        <x:v>IAD-JST</x:v>
      </x:c>
      <x:c r="H2866" t="str">
        <x:v>IAD</x:v>
      </x:c>
      <x:c r="I2866" t="str">
        <x:v>JST</x:v>
      </x:c>
      <x:c r="J2866" s="23" t="n">
        <x:v>1095</x:v>
      </x:c>
      <x:c r="K2866" s="24" t="n">
        <x:v>0.1771689497716895</x:v>
      </x:c>
      <x:c r="L2866" s="24" t="n">
        <x:v>0.023744292237442923</x:v>
      </x:c>
    </x:row>
    <x:row r="2867">
      <x:c r="G2867" t="str">
        <x:v>SAT-DEN</x:v>
      </x:c>
      <x:c r="H2867" t="str">
        <x:v>SAT</x:v>
      </x:c>
      <x:c r="I2867" t="str">
        <x:v>DEN</x:v>
      </x:c>
      <x:c r="J2867" s="23" t="n">
        <x:v>9259</x:v>
      </x:c>
      <x:c r="K2867" s="24" t="n">
        <x:v>0.17712495949886597</x:v>
      </x:c>
      <x:c r="L2867" s="24" t="n">
        <x:v>0.008208229830435253</x:v>
      </x:c>
    </x:row>
    <x:row r="2868">
      <x:c r="G2868" t="str">
        <x:v>FAI-SEA</x:v>
      </x:c>
      <x:c r="H2868" t="str">
        <x:v>FAI</x:v>
      </x:c>
      <x:c r="I2868" t="str">
        <x:v>SEA</x:v>
      </x:c>
      <x:c r="J2868" s="23" t="n">
        <x:v>6884</x:v>
      </x:c>
      <x:c r="K2868" s="24" t="n">
        <x:v>0.17707728065078443</x:v>
      </x:c>
      <x:c r="L2868" s="24" t="n">
        <x:v>0.008715862870424172</x:v>
      </x:c>
    </x:row>
    <x:row r="2869">
      <x:c r="G2869" t="str">
        <x:v>BWI-SFO</x:v>
      </x:c>
      <x:c r="H2869" t="str">
        <x:v>BWI</x:v>
      </x:c>
      <x:c r="I2869" t="str">
        <x:v>SFO</x:v>
      </x:c>
      <x:c r="J2869" s="23" t="n">
        <x:v>1932</x:v>
      </x:c>
      <x:c r="K2869" s="24" t="n">
        <x:v>0.17701863354037267</x:v>
      </x:c>
      <x:c r="L2869" s="24" t="n">
        <x:v>0.017598343685300208</x:v>
      </x:c>
    </x:row>
    <x:row r="2870">
      <x:c r="G2870" t="str">
        <x:v>CVG-SEA</x:v>
      </x:c>
      <x:c r="H2870" t="str">
        <x:v>CVG</x:v>
      </x:c>
      <x:c r="I2870" t="str">
        <x:v>SEA</x:v>
      </x:c>
      <x:c r="J2870" s="23" t="n">
        <x:v>2210</x:v>
      </x:c>
      <x:c r="K2870" s="24" t="n">
        <x:v>0.17692307692307693</x:v>
      </x:c>
      <x:c r="L2870" s="24" t="n">
        <x:v>0.011312217194570135</x:v>
      </x:c>
    </x:row>
    <x:row r="2871">
      <x:c r="G2871" t="str">
        <x:v>BOI-DEN</x:v>
      </x:c>
      <x:c r="H2871" t="str">
        <x:v>BOI</x:v>
      </x:c>
      <x:c r="I2871" t="str">
        <x:v>DEN</x:v>
      </x:c>
      <x:c r="J2871" s="23" t="n">
        <x:v>8080</x:v>
      </x:c>
      <x:c r="K2871" s="24" t="n">
        <x:v>0.17685643564356435</x:v>
      </x:c>
      <x:c r="L2871" s="24" t="n">
        <x:v>0.007425742574257425</x:v>
      </x:c>
    </x:row>
    <x:row r="2872">
      <x:c r="G2872" t="str">
        <x:v>IAD-MSY</x:v>
      </x:c>
      <x:c r="H2872" t="str">
        <x:v>IAD</x:v>
      </x:c>
      <x:c r="I2872" t="str">
        <x:v>MSY</x:v>
      </x:c>
      <x:c r="J2872" s="23" t="n">
        <x:v>1934</x:v>
      </x:c>
      <x:c r="K2872" s="24" t="n">
        <x:v>0.1768355739400207</x:v>
      </x:c>
      <x:c r="L2872" s="24" t="n">
        <x:v>0.012409513960703205</x:v>
      </x:c>
    </x:row>
    <x:row r="2873">
      <x:c r="G2873" t="str">
        <x:v>DEN-GSP</x:v>
      </x:c>
      <x:c r="H2873" t="str">
        <x:v>DEN</x:v>
      </x:c>
      <x:c r="I2873" t="str">
        <x:v>GSP</x:v>
      </x:c>
      <x:c r="J2873" s="23" t="n">
        <x:v>1131</x:v>
      </x:c>
      <x:c r="K2873" s="24" t="n">
        <x:v>0.1768346595932803</x:v>
      </x:c>
      <x:c r="L2873" s="24" t="n">
        <x:v>0.0035366931918656055</x:v>
      </x:c>
    </x:row>
    <x:row r="2874">
      <x:c r="G2874" t="str">
        <x:v>SFO-RNO</x:v>
      </x:c>
      <x:c r="H2874" t="str">
        <x:v>SFO</x:v>
      </x:c>
      <x:c r="I2874" t="str">
        <x:v>RNO</x:v>
      </x:c>
      <x:c r="J2874" s="23" t="n">
        <x:v>4609</x:v>
      </x:c>
      <x:c r="K2874" s="24" t="n">
        <x:v>0.17682794532436538</x:v>
      </x:c>
      <x:c r="L2874" s="24" t="n">
        <x:v>0.012150141028422651</x:v>
      </x:c>
    </x:row>
    <x:row r="2875">
      <x:c r="G2875" t="str">
        <x:v>SJC-GEG</x:v>
      </x:c>
      <x:c r="H2875" t="str">
        <x:v>SJC</x:v>
      </x:c>
      <x:c r="I2875" t="str">
        <x:v>GEG</x:v>
      </x:c>
      <x:c r="J2875" s="23" t="n">
        <x:v>1171</x:v>
      </x:c>
      <x:c r="K2875" s="24" t="n">
        <x:v>0.17677198975234842</x:v>
      </x:c>
      <x:c r="L2875" s="24" t="n">
        <x:v>0.0008539709649871904</x:v>
      </x:c>
    </x:row>
    <x:row r="2876">
      <x:c r="G2876" t="str">
        <x:v>CHS-EWR</x:v>
      </x:c>
      <x:c r="H2876" t="str">
        <x:v>CHS</x:v>
      </x:c>
      <x:c r="I2876" t="str">
        <x:v>EWR</x:v>
      </x:c>
      <x:c r="J2876" s="23" t="n">
        <x:v>4503</x:v>
      </x:c>
      <x:c r="K2876" s="24" t="n">
        <x:v>0.17677104152787032</x:v>
      </x:c>
      <x:c r="L2876" s="24" t="n">
        <x:v>0.031090384188318897</x:v>
      </x:c>
    </x:row>
    <x:row r="2877">
      <x:c r="G2877" t="str">
        <x:v>OAK-MDW</x:v>
      </x:c>
      <x:c r="H2877" t="str">
        <x:v>OAK</x:v>
      </x:c>
      <x:c r="I2877" t="str">
        <x:v>MDW</x:v>
      </x:c>
      <x:c r="J2877" s="23" t="n">
        <x:v>1782</x:v>
      </x:c>
      <x:c r="K2877" s="24" t="n">
        <x:v>0.17676767676767677</x:v>
      </x:c>
      <x:c r="L2877" s="24" t="n">
        <x:v>0.004489337822671156</x:v>
      </x:c>
    </x:row>
    <x:row r="2878">
      <x:c r="G2878" t="str">
        <x:v>DTW-MDW</x:v>
      </x:c>
      <x:c r="H2878" t="str">
        <x:v>DTW</x:v>
      </x:c>
      <x:c r="I2878" t="str">
        <x:v>MDW</x:v>
      </x:c>
      <x:c r="J2878" s="23" t="n">
        <x:v>6185</x:v>
      </x:c>
      <x:c r="K2878" s="24" t="n">
        <x:v>0.1767178658043654</x:v>
      </x:c>
      <x:c r="L2878" s="24" t="n">
        <x:v>0.010185933710590138</x:v>
      </x:c>
    </x:row>
    <x:row r="2879">
      <x:c r="G2879" t="str">
        <x:v>DFW-GJT</x:v>
      </x:c>
      <x:c r="H2879" t="str">
        <x:v>DFW</x:v>
      </x:c>
      <x:c r="I2879" t="str">
        <x:v>GJT</x:v>
      </x:c>
      <x:c r="J2879" s="23" t="n">
        <x:v>2869</x:v>
      </x:c>
      <x:c r="K2879" s="24" t="n">
        <x:v>0.17671662600209131</x:v>
      </x:c>
      <x:c r="L2879" s="24" t="n">
        <x:v>0.012199372603694667</x:v>
      </x:c>
    </x:row>
    <x:row r="2880">
      <x:c r="G2880" t="str">
        <x:v>MSP-RSW</x:v>
      </x:c>
      <x:c r="H2880" t="str">
        <x:v>MSP</x:v>
      </x:c>
      <x:c r="I2880" t="str">
        <x:v>RSW</x:v>
      </x:c>
      <x:c r="J2880" s="23" t="n">
        <x:v>3713</x:v>
      </x:c>
      <x:c r="K2880" s="24" t="n">
        <x:v>0.1766765418798815</x:v>
      </x:c>
      <x:c r="L2880" s="24" t="n">
        <x:v>0.01185025585779693</x:v>
      </x:c>
    </x:row>
    <x:row r="2881">
      <x:c r="G2881" t="str">
        <x:v>CLE-DEN</x:v>
      </x:c>
      <x:c r="H2881" t="str">
        <x:v>CLE</x:v>
      </x:c>
      <x:c r="I2881" t="str">
        <x:v>DEN</x:v>
      </x:c>
      <x:c r="J2881" s="23" t="n">
        <x:v>5522</x:v>
      </x:c>
      <x:c r="K2881" s="24" t="n">
        <x:v>0.1765664614270192</x:v>
      </x:c>
      <x:c r="L2881" s="24" t="n">
        <x:v>0.005251720391162622</x:v>
      </x:c>
    </x:row>
    <x:row r="2882">
      <x:c r="G2882" t="str">
        <x:v>ATL-BQK</x:v>
      </x:c>
      <x:c r="H2882" t="str">
        <x:v>ATL</x:v>
      </x:c>
      <x:c r="I2882" t="str">
        <x:v>BQK</x:v>
      </x:c>
      <x:c r="J2882" s="23" t="n">
        <x:v>1524</x:v>
      </x:c>
      <x:c r="K2882" s="24" t="n">
        <x:v>0.17650918635170604</x:v>
      </x:c>
      <x:c r="L2882" s="24" t="n">
        <x:v>0.0026246719160104987</x:v>
      </x:c>
    </x:row>
    <x:row r="2883">
      <x:c r="G2883" t="str">
        <x:v>DFW-MHK</x:v>
      </x:c>
      <x:c r="H2883" t="str">
        <x:v>DFW</x:v>
      </x:c>
      <x:c r="I2883" t="str">
        <x:v>MHK</x:v>
      </x:c>
      <x:c r="J2883" s="23" t="n">
        <x:v>2670</x:v>
      </x:c>
      <x:c r="K2883" s="24" t="n">
        <x:v>0.17640449438202246</x:v>
      </x:c>
      <x:c r="L2883" s="24" t="n">
        <x:v>0.025842696629213482</x:v>
      </x:c>
    </x:row>
    <x:row r="2884">
      <x:c r="G2884" t="str">
        <x:v>DTW-PHL</x:v>
      </x:c>
      <x:c r="H2884" t="str">
        <x:v>DTW</x:v>
      </x:c>
      <x:c r="I2884" t="str">
        <x:v>PHL</x:v>
      </x:c>
      <x:c r="J2884" s="23" t="n">
        <x:v>8977</x:v>
      </x:c>
      <x:c r="K2884" s="24" t="n">
        <x:v>0.176339534365601</x:v>
      </x:c>
      <x:c r="L2884" s="24" t="n">
        <x:v>0.016820764175114182</x:v>
      </x:c>
    </x:row>
    <x:row r="2885">
      <x:c r="G2885" t="str">
        <x:v>MSP-BZN</x:v>
      </x:c>
      <x:c r="H2885" t="str">
        <x:v>MSP</x:v>
      </x:c>
      <x:c r="I2885" t="str">
        <x:v>BZN</x:v>
      </x:c>
      <x:c r="J2885" s="23" t="n">
        <x:v>2433</x:v>
      </x:c>
      <x:c r="K2885" s="24" t="n">
        <x:v>0.17632552404438964</x:v>
      </x:c>
      <x:c r="L2885" s="24" t="n">
        <x:v>0.005754212905877518</x:v>
      </x:c>
    </x:row>
    <x:row r="2886">
      <x:c r="G2886" t="str">
        <x:v>BOS-LGA</x:v>
      </x:c>
      <x:c r="H2886" t="str">
        <x:v>BOS</x:v>
      </x:c>
      <x:c r="I2886" t="str">
        <x:v>LGA</x:v>
      </x:c>
      <x:c r="J2886" s="23" t="n">
        <x:v>23014</x:v>
      </x:c>
      <x:c r="K2886" s="24" t="n">
        <x:v>0.17624054923090293</x:v>
      </x:c>
      <x:c r="L2886" s="24" t="n">
        <x:v>0.0329364734509429</x:v>
      </x:c>
    </x:row>
    <x:row r="2887">
      <x:c r="G2887" t="str">
        <x:v>ATL-MKE</x:v>
      </x:c>
      <x:c r="H2887" t="str">
        <x:v>ATL</x:v>
      </x:c>
      <x:c r="I2887" t="str">
        <x:v>MKE</x:v>
      </x:c>
      <x:c r="J2887" s="23" t="n">
        <x:v>7155</x:v>
      </x:c>
      <x:c r="K2887" s="24" t="n">
        <x:v>0.17624039133473096</x:v>
      </x:c>
      <x:c r="L2887" s="24" t="n">
        <x:v>0.010482180293501049</x:v>
      </x:c>
    </x:row>
    <x:row r="2888">
      <x:c r="G2888" t="str">
        <x:v>ACY-TPA</x:v>
      </x:c>
      <x:c r="H2888" t="str">
        <x:v>ACY</x:v>
      </x:c>
      <x:c r="I2888" t="str">
        <x:v>TPA</x:v>
      </x:c>
      <x:c r="J2888" s="23" t="n">
        <x:v>1203</x:v>
      </x:c>
      <x:c r="K2888" s="24" t="n">
        <x:v>0.17622610141313383</x:v>
      </x:c>
      <x:c r="L2888" s="24" t="n">
        <x:v>0.025768911055694097</x:v>
      </x:c>
    </x:row>
    <x:row r="2889">
      <x:c r="G2889" t="str">
        <x:v>MSY-STL</x:v>
      </x:c>
      <x:c r="H2889" t="str">
        <x:v>MSY</x:v>
      </x:c>
      <x:c r="I2889" t="str">
        <x:v>STL</x:v>
      </x:c>
      <x:c r="J2889" s="23" t="n">
        <x:v>2162</x:v>
      </x:c>
      <x:c r="K2889" s="24" t="n">
        <x:v>0.17622571692876965</x:v>
      </x:c>
      <x:c r="L2889" s="24" t="n">
        <x:v>0.00971322849213691</x:v>
      </x:c>
    </x:row>
    <x:row r="2890">
      <x:c r="G2890" t="str">
        <x:v>PHL-DTW</x:v>
      </x:c>
      <x:c r="H2890" t="str">
        <x:v>PHL</x:v>
      </x:c>
      <x:c r="I2890" t="str">
        <x:v>DTW</x:v>
      </x:c>
      <x:c r="J2890" s="23" t="n">
        <x:v>8978</x:v>
      </x:c>
      <x:c r="K2890" s="24" t="n">
        <x:v>0.1762085096903542</x:v>
      </x:c>
      <x:c r="L2890" s="24" t="n">
        <x:v>0.0170416573847182</x:v>
      </x:c>
    </x:row>
    <x:row r="2891">
      <x:c r="G2891" t="str">
        <x:v>IAD-LAS</x:v>
      </x:c>
      <x:c r="H2891" t="str">
        <x:v>IAD</x:v>
      </x:c>
      <x:c r="I2891" t="str">
        <x:v>LAS</x:v>
      </x:c>
      <x:c r="J2891" s="23" t="n">
        <x:v>2997</x:v>
      </x:c>
      <x:c r="K2891" s="24" t="n">
        <x:v>0.17617617617617617</x:v>
      </x:c>
      <x:c r="L2891" s="24" t="n">
        <x:v>0.006006006006006006</x:v>
      </x:c>
    </x:row>
    <x:row r="2892">
      <x:c r="G2892" t="str">
        <x:v>MDW-BNA</x:v>
      </x:c>
      <x:c r="H2892" t="str">
        <x:v>MDW</x:v>
      </x:c>
      <x:c r="I2892" t="str">
        <x:v>BNA</x:v>
      </x:c>
      <x:c r="J2892" s="23" t="n">
        <x:v>6019</x:v>
      </x:c>
      <x:c r="K2892" s="24" t="n">
        <x:v>0.1761089882040206</x:v>
      </x:c>
      <x:c r="L2892" s="24" t="n">
        <x:v>0.011463698288752284</x:v>
      </x:c>
    </x:row>
    <x:row r="2893">
      <x:c r="G2893" t="str">
        <x:v>ROC-ATL</x:v>
      </x:c>
      <x:c r="H2893" t="str">
        <x:v>ROC</x:v>
      </x:c>
      <x:c r="I2893" t="str">
        <x:v>ATL</x:v>
      </x:c>
      <x:c r="J2893" s="23" t="n">
        <x:v>3056</x:v>
      </x:c>
      <x:c r="K2893" s="24" t="n">
        <x:v>0.17604712041884818</x:v>
      </x:c>
      <x:c r="L2893" s="24" t="n">
        <x:v>0.014397905759162303</x:v>
      </x:c>
    </x:row>
    <x:row r="2894">
      <x:c r="G2894" t="str">
        <x:v>MDW-STL</x:v>
      </x:c>
      <x:c r="H2894" t="str">
        <x:v>MDW</x:v>
      </x:c>
      <x:c r="I2894" t="str">
        <x:v>STL</x:v>
      </x:c>
      <x:c r="J2894" s="23" t="n">
        <x:v>5853</x:v>
      </x:c>
      <x:c r="K2894" s="24" t="n">
        <x:v>0.17597813087305655</x:v>
      </x:c>
      <x:c r="L2894" s="24" t="n">
        <x:v>0.011617973688706646</x:v>
      </x:c>
    </x:row>
    <x:row r="2895">
      <x:c r="G2895" t="str">
        <x:v>SMF-BOI</x:v>
      </x:c>
      <x:c r="H2895" t="str">
        <x:v>SMF</x:v>
      </x:c>
      <x:c r="I2895" t="str">
        <x:v>BOI</x:v>
      </x:c>
      <x:c r="J2895" s="23" t="n">
        <x:v>2609</x:v>
      </x:c>
      <x:c r="K2895" s="24" t="n">
        <x:v>0.17592947489459562</x:v>
      </x:c>
      <x:c r="L2895" s="24" t="n">
        <x:v>0.0019164430816404753</x:v>
      </x:c>
    </x:row>
    <x:row r="2896">
      <x:c r="G2896" t="str">
        <x:v>LGA-OMA</x:v>
      </x:c>
      <x:c r="H2896" t="str">
        <x:v>LGA</x:v>
      </x:c>
      <x:c r="I2896" t="str">
        <x:v>OMA</x:v>
      </x:c>
      <x:c r="J2896" s="23" t="n">
        <x:v>2991</x:v>
      </x:c>
      <x:c r="K2896" s="24" t="n">
        <x:v>0.17586091608157806</x:v>
      </x:c>
      <x:c r="L2896" s="24" t="n">
        <x:v>0.034770979605483116</x:v>
      </x:c>
    </x:row>
    <x:row r="2897">
      <x:c r="G2897" t="str">
        <x:v>MSY-EWR</x:v>
      </x:c>
      <x:c r="H2897" t="str">
        <x:v>MSY</x:v>
      </x:c>
      <x:c r="I2897" t="str">
        <x:v>EWR</x:v>
      </x:c>
      <x:c r="J2897" s="23" t="n">
        <x:v>4124</x:v>
      </x:c>
      <x:c r="K2897" s="24" t="n">
        <x:v>0.17580019398642094</x:v>
      </x:c>
      <x:c r="L2897" s="24" t="n">
        <x:v>0.02133850630455868</x:v>
      </x:c>
    </x:row>
    <x:row r="2898">
      <x:c r="G2898" t="str">
        <x:v>JAX-STL</x:v>
      </x:c>
      <x:c r="H2898" t="str">
        <x:v>JAX</x:v>
      </x:c>
      <x:c r="I2898" t="str">
        <x:v>STL</x:v>
      </x:c>
      <x:c r="J2898" s="23" t="n">
        <x:v>1206</x:v>
      </x:c>
      <x:c r="K2898" s="24" t="n">
        <x:v>0.175787728026534</x:v>
      </x:c>
      <x:c r="L2898" s="24" t="n">
        <x:v>0.0041459369817578775</x:v>
      </x:c>
    </x:row>
    <x:row r="2899">
      <x:c r="G2899" t="str">
        <x:v>TUL-LAX</x:v>
      </x:c>
      <x:c r="H2899" t="str">
        <x:v>TUL</x:v>
      </x:c>
      <x:c r="I2899" t="str">
        <x:v>LAX</x:v>
      </x:c>
      <x:c r="J2899" s="23" t="n">
        <x:v>1371</x:v>
      </x:c>
      <x:c r="K2899" s="24" t="n">
        <x:v>0.17578409919766594</x:v>
      </x:c>
      <x:c r="L2899" s="24" t="n">
        <x:v>0.0014587892049598833</x:v>
      </x:c>
    </x:row>
    <x:row r="2900">
      <x:c r="G2900" t="str">
        <x:v>LAX-ORD</x:v>
      </x:c>
      <x:c r="H2900" t="str">
        <x:v>LAX</x:v>
      </x:c>
      <x:c r="I2900" t="str">
        <x:v>ORD</x:v>
      </x:c>
      <x:c r="J2900" s="23" t="n">
        <x:v>20442</x:v>
      </x:c>
      <x:c r="K2900" s="24" t="n">
        <x:v>0.17571666177477743</x:v>
      </x:c>
      <x:c r="L2900" s="24" t="n">
        <x:v>0.012229723119068584</x:v>
      </x:c>
    </x:row>
    <x:row r="2901">
      <x:c r="G2901" t="str">
        <x:v>SFO-RDM</x:v>
      </x:c>
      <x:c r="H2901" t="str">
        <x:v>SFO</x:v>
      </x:c>
      <x:c r="I2901" t="str">
        <x:v>RDM</x:v>
      </x:c>
      <x:c r="J2901" s="23" t="n">
        <x:v>3455</x:v>
      </x:c>
      <x:c r="K2901" s="24" t="n">
        <x:v>0.17568740955137482</x:v>
      </x:c>
      <x:c r="L2901" s="24" t="n">
        <x:v>0.013892908827785818</x:v>
      </x:c>
    </x:row>
    <x:row r="2902">
      <x:c r="G2902" t="str">
        <x:v>PIT-CLT</x:v>
      </x:c>
      <x:c r="H2902" t="str">
        <x:v>PIT</x:v>
      </x:c>
      <x:c r="I2902" t="str">
        <x:v>CLT</x:v>
      </x:c>
      <x:c r="J2902" s="23" t="n">
        <x:v>5698</x:v>
      </x:c>
      <x:c r="K2902" s="24" t="n">
        <x:v>0.17567567567567569</x:v>
      </x:c>
      <x:c r="L2902" s="24" t="n">
        <x:v>0.008073008073008073</x:v>
      </x:c>
    </x:row>
    <x:row r="2903">
      <x:c r="G2903" t="str">
        <x:v>BUR-DEN</x:v>
      </x:c>
      <x:c r="H2903" t="str">
        <x:v>BUR</x:v>
      </x:c>
      <x:c r="I2903" t="str">
        <x:v>DEN</x:v>
      </x:c>
      <x:c r="J2903" s="23" t="n">
        <x:v>6093</x:v>
      </x:c>
      <x:c r="K2903" s="24" t="n">
        <x:v>0.17561135729525684</x:v>
      </x:c>
      <x:c r="L2903" s="24" t="n">
        <x:v>0.010667979648777285</x:v>
      </x:c>
    </x:row>
    <x:row r="2904">
      <x:c r="G2904" t="str">
        <x:v>SLC-SAT</x:v>
      </x:c>
      <x:c r="H2904" t="str">
        <x:v>SLC</x:v>
      </x:c>
      <x:c r="I2904" t="str">
        <x:v>SAT</x:v>
      </x:c>
      <x:c r="J2904" s="23" t="n">
        <x:v>3058</x:v>
      </x:c>
      <x:c r="K2904" s="24" t="n">
        <x:v>0.17560497056899935</x:v>
      </x:c>
      <x:c r="L2904" s="24" t="n">
        <x:v>0.005886200130804447</x:v>
      </x:c>
    </x:row>
    <x:row r="2905">
      <x:c r="G2905" t="str">
        <x:v>SBP-PHX</x:v>
      </x:c>
      <x:c r="H2905" t="str">
        <x:v>SBP</x:v>
      </x:c>
      <x:c r="I2905" t="str">
        <x:v>PHX</x:v>
      </x:c>
      <x:c r="J2905" s="23" t="n">
        <x:v>3463</x:v>
      </x:c>
      <x:c r="K2905" s="24" t="n">
        <x:v>0.1755703147559919</x:v>
      </x:c>
      <x:c r="L2905" s="24" t="n">
        <x:v>0.005486572336124747</x:v>
      </x:c>
    </x:row>
    <x:row r="2906">
      <x:c r="G2906" t="str">
        <x:v>SPS-DFW</x:v>
      </x:c>
      <x:c r="H2906" t="str">
        <x:v>SPS</x:v>
      </x:c>
      <x:c r="I2906" t="str">
        <x:v>DFW</x:v>
      </x:c>
      <x:c r="J2906" s="23" t="n">
        <x:v>2176</x:v>
      </x:c>
      <x:c r="K2906" s="24" t="n">
        <x:v>0.17555147058823528</x:v>
      </x:c>
      <x:c r="L2906" s="24" t="n">
        <x:v>0.02803308823529412</x:v>
      </x:c>
    </x:row>
    <x:row r="2907">
      <x:c r="G2907" t="str">
        <x:v>AUS-HRL</x:v>
      </x:c>
      <x:c r="H2907" t="str">
        <x:v>AUS</x:v>
      </x:c>
      <x:c r="I2907" t="str">
        <x:v>HRL</x:v>
      </x:c>
      <x:c r="J2907" s="23" t="n">
        <x:v>2142</x:v>
      </x:c>
      <x:c r="K2907" s="24" t="n">
        <x:v>0.17553688141923435</x:v>
      </x:c>
      <x:c r="L2907" s="24" t="n">
        <x:v>0.011671335200746966</x:v>
      </x:c>
    </x:row>
    <x:row r="2908">
      <x:c r="G2908" t="str">
        <x:v>AVL-LGA</x:v>
      </x:c>
      <x:c r="H2908" t="str">
        <x:v>AVL</x:v>
      </x:c>
      <x:c r="I2908" t="str">
        <x:v>LGA</x:v>
      </x:c>
      <x:c r="J2908" s="23" t="n">
        <x:v>2444</x:v>
      </x:c>
      <x:c r="K2908" s="24" t="n">
        <x:v>0.17553191489361702</x:v>
      </x:c>
      <x:c r="L2908" s="24" t="n">
        <x:v>0.03273322422258593</x:v>
      </x:c>
    </x:row>
    <x:row r="2909">
      <x:c r="G2909" t="str">
        <x:v>HOU-DAL</x:v>
      </x:c>
      <x:c r="H2909" t="str">
        <x:v>HOU</x:v>
      </x:c>
      <x:c r="I2909" t="str">
        <x:v>DAL</x:v>
      </x:c>
      <x:c r="J2909" s="23" t="n">
        <x:v>12369</x:v>
      </x:c>
      <x:c r="K2909" s="24" t="n">
        <x:v>0.17551944377071713</x:v>
      </x:c>
      <x:c r="L2909" s="24" t="n">
        <x:v>0.021909612741531248</x:v>
      </x:c>
    </x:row>
    <x:row r="2910">
      <x:c r="G2910" t="str">
        <x:v>OAK-PDX</x:v>
      </x:c>
      <x:c r="H2910" t="str">
        <x:v>OAK</x:v>
      </x:c>
      <x:c r="I2910" t="str">
        <x:v>PDX</x:v>
      </x:c>
      <x:c r="J2910" s="23" t="n">
        <x:v>5669</x:v>
      </x:c>
      <x:c r="K2910" s="24" t="n">
        <x:v>0.17551596401481742</x:v>
      </x:c>
      <x:c r="L2910" s="24" t="n">
        <x:v>0.0051155406597283475</x:v>
      </x:c>
    </x:row>
    <x:row r="2911">
      <x:c r="G2911" t="str">
        <x:v>MIA-PNS</x:v>
      </x:c>
      <x:c r="H2911" t="str">
        <x:v>MIA</x:v>
      </x:c>
      <x:c r="I2911" t="str">
        <x:v>PNS</x:v>
      </x:c>
      <x:c r="J2911" s="23" t="n">
        <x:v>3339</x:v>
      </x:c>
      <x:c r="K2911" s="24" t="n">
        <x:v>0.1755016471997604</x:v>
      </x:c>
      <x:c r="L2911" s="24" t="n">
        <x:v>0.016172506738544475</x:v>
      </x:c>
    </x:row>
    <x:row r="2912">
      <x:c r="G2912" t="str">
        <x:v>LAX-JAC</x:v>
      </x:c>
      <x:c r="H2912" t="str">
        <x:v>LAX</x:v>
      </x:c>
      <x:c r="I2912" t="str">
        <x:v>JAC</x:v>
      </x:c>
      <x:c r="J2912" s="23" t="n">
        <x:v>1551</x:v>
      </x:c>
      <x:c r="K2912" s="24" t="n">
        <x:v>0.17537072856221791</x:v>
      </x:c>
      <x:c r="L2912" s="24" t="n">
        <x:v>0.0070921985815602835</x:v>
      </x:c>
    </x:row>
    <x:row r="2913">
      <x:c r="G2913" t="str">
        <x:v>LAX-STS</x:v>
      </x:c>
      <x:c r="H2913" t="str">
        <x:v>LAX</x:v>
      </x:c>
      <x:c r="I2913" t="str">
        <x:v>STS</x:v>
      </x:c>
      <x:c r="J2913" s="23" t="n">
        <x:v>1916</x:v>
      </x:c>
      <x:c r="K2913" s="24" t="n">
        <x:v>0.17536534446764093</x:v>
      </x:c>
      <x:c r="L2913" s="24" t="n">
        <x:v>0.010438413361169102</x:v>
      </x:c>
    </x:row>
    <x:row r="2914">
      <x:c r="G2914" t="str">
        <x:v>ORD-CHS</x:v>
      </x:c>
      <x:c r="H2914" t="str">
        <x:v>ORD</x:v>
      </x:c>
      <x:c r="I2914" t="str">
        <x:v>CHS</x:v>
      </x:c>
      <x:c r="J2914" s="23" t="n">
        <x:v>4351</x:v>
      </x:c>
      <x:c r="K2914" s="24" t="n">
        <x:v>0.1753619857504022</x:v>
      </x:c>
      <x:c r="L2914" s="24" t="n">
        <x:v>0.013100436681222707</x:v>
      </x:c>
    </x:row>
    <x:row r="2915">
      <x:c r="G2915" t="str">
        <x:v>MEI-IAH</x:v>
      </x:c>
      <x:c r="H2915" t="str">
        <x:v>MEI</x:v>
      </x:c>
      <x:c r="I2915" t="str">
        <x:v>IAH</x:v>
      </x:c>
      <x:c r="J2915" s="23" t="n">
        <x:v>1768</x:v>
      </x:c>
      <x:c r="K2915" s="24" t="n">
        <x:v>0.1753393665158371</x:v>
      </x:c>
      <x:c r="L2915" s="24" t="n">
        <x:v>0.01809954751131222</x:v>
      </x:c>
    </x:row>
    <x:row r="2916">
      <x:c r="G2916" t="str">
        <x:v>PIT-IAH</x:v>
      </x:c>
      <x:c r="H2916" t="str">
        <x:v>PIT</x:v>
      </x:c>
      <x:c r="I2916" t="str">
        <x:v>IAH</x:v>
      </x:c>
      <x:c r="J2916" s="23" t="n">
        <x:v>1962</x:v>
      </x:c>
      <x:c r="K2916" s="24" t="n">
        <x:v>0.17533129459734964</x:v>
      </x:c>
      <x:c r="L2916" s="24" t="n">
        <x:v>0.0163098878695209</x:v>
      </x:c>
    </x:row>
    <x:row r="2917">
      <x:c r="G2917" t="str">
        <x:v>CLE-RSW</x:v>
      </x:c>
      <x:c r="H2917" t="str">
        <x:v>CLE</x:v>
      </x:c>
      <x:c r="I2917" t="str">
        <x:v>RSW</x:v>
      </x:c>
      <x:c r="J2917" s="23" t="n">
        <x:v>2949</x:v>
      </x:c>
      <x:c r="K2917" s="24" t="n">
        <x:v>0.17531366564937267</x:v>
      </x:c>
      <x:c r="L2917" s="24" t="n">
        <x:v>0.019667683960664633</x:v>
      </x:c>
    </x:row>
    <x:row r="2918">
      <x:c r="G2918" t="str">
        <x:v>FAT-SEA</x:v>
      </x:c>
      <x:c r="H2918" t="str">
        <x:v>FAT</x:v>
      </x:c>
      <x:c r="I2918" t="str">
        <x:v>SEA</x:v>
      </x:c>
      <x:c r="J2918" s="23" t="n">
        <x:v>2670</x:v>
      </x:c>
      <x:c r="K2918" s="24" t="n">
        <x:v>0.1752808988764045</x:v>
      </x:c>
      <x:c r="L2918" s="24" t="n">
        <x:v>0.008614232209737827</x:v>
      </x:c>
    </x:row>
    <x:row r="2919">
      <x:c r="G2919" t="str">
        <x:v>IND-PHL</x:v>
      </x:c>
      <x:c r="H2919" t="str">
        <x:v>IND</x:v>
      </x:c>
      <x:c r="I2919" t="str">
        <x:v>PHL</x:v>
      </x:c>
      <x:c r="J2919" s="23" t="n">
        <x:v>4382</x:v>
      </x:c>
      <x:c r="K2919" s="24" t="n">
        <x:v>0.17526243724326793</x:v>
      </x:c>
      <x:c r="L2919" s="24" t="n">
        <x:v>0.013692377909630305</x:v>
      </x:c>
    </x:row>
    <x:row r="2920">
      <x:c r="G2920" t="str">
        <x:v>KOA-SJC</x:v>
      </x:c>
      <x:c r="H2920" t="str">
        <x:v>KOA</x:v>
      </x:c>
      <x:c r="I2920" t="str">
        <x:v>SJC</x:v>
      </x:c>
      <x:c r="J2920" s="23" t="n">
        <x:v>1130</x:v>
      </x:c>
      <x:c r="K2920" s="24" t="n">
        <x:v>0.1752212389380531</x:v>
      </x:c>
      <x:c r="L2920" s="24" t="n">
        <x:v>0.010619469026548672</x:v>
      </x:c>
    </x:row>
    <x:row r="2921">
      <x:c r="G2921" t="str">
        <x:v>HPN-RSW</x:v>
      </x:c>
      <x:c r="H2921" t="str">
        <x:v>HPN</x:v>
      </x:c>
      <x:c r="I2921" t="str">
        <x:v>RSW</x:v>
      </x:c>
      <x:c r="J2921" s="23" t="n">
        <x:v>1524</x:v>
      </x:c>
      <x:c r="K2921" s="24" t="n">
        <x:v>0.17519685039370078</x:v>
      </x:c>
      <x:c r="L2921" s="24" t="n">
        <x:v>0.010498687664041995</x:v>
      </x:c>
    </x:row>
    <x:row r="2922">
      <x:c r="G2922" t="str">
        <x:v>DTW-RIC</x:v>
      </x:c>
      <x:c r="H2922" t="str">
        <x:v>DTW</x:v>
      </x:c>
      <x:c r="I2922" t="str">
        <x:v>RIC</x:v>
      </x:c>
      <x:c r="J2922" s="23" t="n">
        <x:v>2717</x:v>
      </x:c>
      <x:c r="K2922" s="24" t="n">
        <x:v>0.17519322782480679</x:v>
      </x:c>
      <x:c r="L2922" s="24" t="n">
        <x:v>0.006993006993006993</x:v>
      </x:c>
    </x:row>
    <x:row r="2923">
      <x:c r="G2923" t="str">
        <x:v>CLE-ORD</x:v>
      </x:c>
      <x:c r="H2923" t="str">
        <x:v>CLE</x:v>
      </x:c>
      <x:c r="I2923" t="str">
        <x:v>ORD</x:v>
      </x:c>
      <x:c r="J2923" s="23" t="n">
        <x:v>10413</x:v>
      </x:c>
      <x:c r="K2923" s="24" t="n">
        <x:v>0.17516565831172573</x:v>
      </x:c>
      <x:c r="L2923" s="24" t="n">
        <x:v>0.018246422740804763</x:v>
      </x:c>
    </x:row>
    <x:row r="2924">
      <x:c r="G2924" t="str">
        <x:v>SMF-AUS</x:v>
      </x:c>
      <x:c r="H2924" t="str">
        <x:v>SMF</x:v>
      </x:c>
      <x:c r="I2924" t="str">
        <x:v>AUS</x:v>
      </x:c>
      <x:c r="J2924" s="23" t="n">
        <x:v>1782</x:v>
      </x:c>
      <x:c r="K2924" s="24" t="n">
        <x:v>0.1750841750841751</x:v>
      </x:c>
      <x:c r="L2924" s="24" t="n">
        <x:v>0.002244668911335578</x:v>
      </x:c>
    </x:row>
    <x:row r="2925">
      <x:c r="G2925" t="str">
        <x:v>ATL-BNA</x:v>
      </x:c>
      <x:c r="H2925" t="str">
        <x:v>ATL</x:v>
      </x:c>
      <x:c r="I2925" t="str">
        <x:v>BNA</x:v>
      </x:c>
      <x:c r="J2925" s="23" t="n">
        <x:v>11642</x:v>
      </x:c>
      <x:c r="K2925" s="24" t="n">
        <x:v>0.17505583233121458</x:v>
      </x:c>
      <x:c r="L2925" s="24" t="n">
        <x:v>0.008074214052568288</x:v>
      </x:c>
    </x:row>
    <x:row r="2926">
      <x:c r="G2926" t="str">
        <x:v>SLC-PHX</x:v>
      </x:c>
      <x:c r="H2926" t="str">
        <x:v>SLC</x:v>
      </x:c>
      <x:c r="I2926" t="str">
        <x:v>PHX</x:v>
      </x:c>
      <x:c r="J2926" s="23" t="n">
        <x:v>16791</x:v>
      </x:c>
      <x:c r="K2926" s="24" t="n">
        <x:v>0.17503424453576322</x:v>
      </x:c>
      <x:c r="L2926" s="24" t="n">
        <x:v>0.0047644571496635105</x:v>
      </x:c>
    </x:row>
    <x:row r="2927">
      <x:c r="G2927" t="str">
        <x:v>HOU-BNA</x:v>
      </x:c>
      <x:c r="H2927" t="str">
        <x:v>HOU</x:v>
      </x:c>
      <x:c r="I2927" t="str">
        <x:v>BNA</x:v>
      </x:c>
      <x:c r="J2927" s="23" t="n">
        <x:v>5251</x:v>
      </x:c>
      <x:c r="K2927" s="24" t="n">
        <x:v>0.1750142829937155</x:v>
      </x:c>
      <x:c r="L2927" s="24" t="n">
        <x:v>0.007998476480670348</x:v>
      </x:c>
    </x:row>
    <x:row r="2928">
      <x:c r="G2928" t="str">
        <x:v>PHX-SNA</x:v>
      </x:c>
      <x:c r="H2928" t="str">
        <x:v>PHX</x:v>
      </x:c>
      <x:c r="I2928" t="str">
        <x:v>SNA</x:v>
      </x:c>
      <x:c r="J2928" s="23" t="n">
        <x:v>13058</x:v>
      </x:c>
      <x:c r="K2928" s="24" t="n">
        <x:v>0.1749885127890948</x:v>
      </x:c>
      <x:c r="L2928" s="24" t="n">
        <x:v>0.00559044264052688</x:v>
      </x:c>
    </x:row>
    <x:row r="2929">
      <x:c r="G2929" t="str">
        <x:v>SEA-SBA</x:v>
      </x:c>
      <x:c r="H2929" t="str">
        <x:v>SEA</x:v>
      </x:c>
      <x:c r="I2929" t="str">
        <x:v>SBA</x:v>
      </x:c>
      <x:c r="J2929" s="23" t="n">
        <x:v>1172</x:v>
      </x:c>
      <x:c r="K2929" s="24" t="n">
        <x:v>0.17491467576791808</x:v>
      </x:c>
      <x:c r="L2929" s="24" t="n">
        <x:v>0.007679180887372013</x:v>
      </x:c>
    </x:row>
    <x:row r="2930">
      <x:c r="G2930" t="str">
        <x:v>SFO-KOA</x:v>
      </x:c>
      <x:c r="H2930" t="str">
        <x:v>SFO</x:v>
      </x:c>
      <x:c r="I2930" t="str">
        <x:v>KOA</x:v>
      </x:c>
      <x:c r="J2930" s="23" t="n">
        <x:v>2333</x:v>
      </x:c>
      <x:c r="K2930" s="24" t="n">
        <x:v>0.17488212601800257</x:v>
      </x:c>
      <x:c r="L2930" s="24" t="n">
        <x:v>0.0021431633090441492</x:v>
      </x:c>
    </x:row>
    <x:row r="2931">
      <x:c r="G2931" t="str">
        <x:v>DAY-CLT</x:v>
      </x:c>
      <x:c r="H2931" t="str">
        <x:v>DAY</x:v>
      </x:c>
      <x:c r="I2931" t="str">
        <x:v>CLT</x:v>
      </x:c>
      <x:c r="J2931" s="23" t="n">
        <x:v>3957</x:v>
      </x:c>
      <x:c r="K2931" s="24" t="n">
        <x:v>0.17487995956532726</x:v>
      </x:c>
      <x:c r="L2931" s="24" t="n">
        <x:v>0.006065200909780136</x:v>
      </x:c>
    </x:row>
    <x:row r="2932">
      <x:c r="G2932" t="str">
        <x:v>LAN-DTW</x:v>
      </x:c>
      <x:c r="H2932" t="str">
        <x:v>LAN</x:v>
      </x:c>
      <x:c r="I2932" t="str">
        <x:v>DTW</x:v>
      </x:c>
      <x:c r="J2932" s="23" t="n">
        <x:v>2741</x:v>
      </x:c>
      <x:c r="K2932" s="24" t="n">
        <x:v>0.17475373951112733</x:v>
      </x:c>
      <x:c r="L2932" s="24" t="n">
        <x:v>0.008391098139365194</x:v>
      </x:c>
    </x:row>
    <x:row r="2933">
      <x:c r="G2933" t="str">
        <x:v>LGA-CLE</x:v>
      </x:c>
      <x:c r="H2933" t="str">
        <x:v>LGA</x:v>
      </x:c>
      <x:c r="I2933" t="str">
        <x:v>CLE</x:v>
      </x:c>
      <x:c r="J2933" s="23" t="n">
        <x:v>7247</x:v>
      </x:c>
      <x:c r="K2933" s="24" t="n">
        <x:v>0.17469297640402925</x:v>
      </x:c>
      <x:c r="L2933" s="24" t="n">
        <x:v>0.03394508072305782</x:v>
      </x:c>
    </x:row>
    <x:row r="2934">
      <x:c r="G2934" t="str">
        <x:v>PDX-BUR</x:v>
      </x:c>
      <x:c r="H2934" t="str">
        <x:v>PDX</x:v>
      </x:c>
      <x:c r="I2934" t="str">
        <x:v>BUR</x:v>
      </x:c>
      <x:c r="J2934" s="23" t="n">
        <x:v>3161</x:v>
      </x:c>
      <x:c r="K2934" s="24" t="n">
        <x:v>0.17462828218918064</x:v>
      </x:c>
      <x:c r="L2934" s="24" t="n">
        <x:v>0.010756089844985764</x:v>
      </x:c>
    </x:row>
    <x:row r="2935">
      <x:c r="G2935" t="str">
        <x:v>PHX-PSP</x:v>
      </x:c>
      <x:c r="H2935" t="str">
        <x:v>PHX</x:v>
      </x:c>
      <x:c r="I2935" t="str">
        <x:v>PSP</x:v>
      </x:c>
      <x:c r="J2935" s="23" t="n">
        <x:v>4669</x:v>
      </x:c>
      <x:c r="K2935" s="24" t="n">
        <x:v>0.17455557935318056</x:v>
      </x:c>
      <x:c r="L2935" s="24" t="n">
        <x:v>0.0049261083743842365</x:v>
      </x:c>
    </x:row>
    <x:row r="2936">
      <x:c r="G2936" t="str">
        <x:v>DTW-MSY</x:v>
      </x:c>
      <x:c r="H2936" t="str">
        <x:v>DTW</x:v>
      </x:c>
      <x:c r="I2936" t="str">
        <x:v>MSY</x:v>
      </x:c>
      <x:c r="J2936" s="23" t="n">
        <x:v>2408</x:v>
      </x:c>
      <x:c r="K2936" s="24" t="n">
        <x:v>0.1744186046511628</x:v>
      </x:c>
      <x:c r="L2936" s="24" t="n">
        <x:v>0.014534883720930232</x:v>
      </x:c>
    </x:row>
    <x:row r="2937">
      <x:c r="G2937" t="str">
        <x:v>DTW-MSP</x:v>
      </x:c>
      <x:c r="H2937" t="str">
        <x:v>DTW</x:v>
      </x:c>
      <x:c r="I2937" t="str">
        <x:v>MSP</x:v>
      </x:c>
      <x:c r="J2937" s="23" t="n">
        <x:v>6663</x:v>
      </x:c>
      <x:c r="K2937" s="24" t="n">
        <x:v>0.17439591775476512</x:v>
      </x:c>
      <x:c r="L2937" s="24" t="n">
        <x:v>0.0048026414527990394</x:v>
      </x:c>
    </x:row>
    <x:row r="2938">
      <x:c r="G2938" t="str">
        <x:v>ATL-PNS</x:v>
      </x:c>
      <x:c r="H2938" t="str">
        <x:v>ATL</x:v>
      </x:c>
      <x:c r="I2938" t="str">
        <x:v>PNS</x:v>
      </x:c>
      <x:c r="J2938" s="23" t="n">
        <x:v>7675</x:v>
      </x:c>
      <x:c r="K2938" s="24" t="n">
        <x:v>0.17433224755700324</x:v>
      </x:c>
      <x:c r="L2938" s="24" t="n">
        <x:v>0.011986970684039087</x:v>
      </x:c>
    </x:row>
    <x:row r="2939">
      <x:c r="G2939" t="str">
        <x:v>RDU-PHX</x:v>
      </x:c>
      <x:c r="H2939" t="str">
        <x:v>RDU</x:v>
      </x:c>
      <x:c r="I2939" t="str">
        <x:v>PHX</x:v>
      </x:c>
      <x:c r="J2939" s="23" t="n">
        <x:v>1635</x:v>
      </x:c>
      <x:c r="K2939" s="24" t="n">
        <x:v>0.1743119266055046</x:v>
      </x:c>
      <x:c r="L2939" s="24" t="n">
        <x:v>0.003669724770642202</x:v>
      </x:c>
    </x:row>
    <x:row r="2940">
      <x:c r="G2940" t="str">
        <x:v>VPS-BLV</x:v>
      </x:c>
      <x:c r="H2940" t="str">
        <x:v>VPS</x:v>
      </x:c>
      <x:c r="I2940" t="str">
        <x:v>BLV</x:v>
      </x:c>
      <x:c r="J2940" s="23" t="n">
        <x:v>1062</x:v>
      </x:c>
      <x:c r="K2940" s="24" t="n">
        <x:v>0.17419962335216574</x:v>
      </x:c>
      <x:c r="L2940" s="24" t="n">
        <x:v>0.0160075329566855</x:v>
      </x:c>
    </x:row>
    <x:row r="2941">
      <x:c r="G2941" t="str">
        <x:v>LAX-DEN</x:v>
      </x:c>
      <x:c r="H2941" t="str">
        <x:v>LAX</x:v>
      </x:c>
      <x:c r="I2941" t="str">
        <x:v>DEN</x:v>
      </x:c>
      <x:c r="J2941" s="23" t="n">
        <x:v>22790</x:v>
      </x:c>
      <x:c r="K2941" s="24" t="n">
        <x:v>0.17419921017990347</x:v>
      </x:c>
      <x:c r="L2941" s="24" t="n">
        <x:v>0.009565598946906537</x:v>
      </x:c>
    </x:row>
    <x:row r="2942">
      <x:c r="G2942" t="str">
        <x:v>DSM-PHX</x:v>
      </x:c>
      <x:c r="H2942" t="str">
        <x:v>DSM</x:v>
      </x:c>
      <x:c r="I2942" t="str">
        <x:v>PHX</x:v>
      </x:c>
      <x:c r="J2942" s="23" t="n">
        <x:v>2704</x:v>
      </x:c>
      <x:c r="K2942" s="24" t="n">
        <x:v>0.17418639053254437</x:v>
      </x:c>
      <x:c r="L2942" s="24" t="n">
        <x:v>0.008875739644970414</x:v>
      </x:c>
    </x:row>
    <x:row r="2943">
      <x:c r="G2943" t="str">
        <x:v>LGA-GSP</x:v>
      </x:c>
      <x:c r="H2943" t="str">
        <x:v>LGA</x:v>
      </x:c>
      <x:c r="I2943" t="str">
        <x:v>GSP</x:v>
      </x:c>
      <x:c r="J2943" s="23" t="n">
        <x:v>3979</x:v>
      </x:c>
      <x:c r="K2943" s="24" t="n">
        <x:v>0.17416436290525258</x:v>
      </x:c>
      <x:c r="L2943" s="24" t="n">
        <x:v>0.039205830610706205</x:v>
      </x:c>
    </x:row>
    <x:row r="2944">
      <x:c r="G2944" t="str">
        <x:v>SFO-EUG</x:v>
      </x:c>
      <x:c r="H2944" t="str">
        <x:v>SFO</x:v>
      </x:c>
      <x:c r="I2944" t="str">
        <x:v>EUG</x:v>
      </x:c>
      <x:c r="J2944" s="23" t="n">
        <x:v>2872</x:v>
      </x:c>
      <x:c r="K2944" s="24" t="n">
        <x:v>0.17409470752089137</x:v>
      </x:c>
      <x:c r="L2944" s="24" t="n">
        <x:v>0.010445682451253482</x:v>
      </x:c>
    </x:row>
    <x:row r="2945">
      <x:c r="G2945" t="str">
        <x:v>PIT-DAL</x:v>
      </x:c>
      <x:c r="H2945" t="str">
        <x:v>PIT</x:v>
      </x:c>
      <x:c r="I2945" t="str">
        <x:v>DAL</x:v>
      </x:c>
      <x:c r="J2945" s="23" t="n">
        <x:v>1080</x:v>
      </x:c>
      <x:c r="K2945" s="24" t="n">
        <x:v>0.17407407407407408</x:v>
      </x:c>
      <x:c r="L2945" s="24" t="n">
        <x:v>0.006481481481481481</x:v>
      </x:c>
    </x:row>
    <x:row r="2946">
      <x:c r="G2946" t="str">
        <x:v>GTF-DEN</x:v>
      </x:c>
      <x:c r="H2946" t="str">
        <x:v>GTF</x:v>
      </x:c>
      <x:c r="I2946" t="str">
        <x:v>DEN</x:v>
      </x:c>
      <x:c r="J2946" s="23" t="n">
        <x:v>2189</x:v>
      </x:c>
      <x:c r="K2946" s="24" t="n">
        <x:v>0.17405207857469163</x:v>
      </x:c>
      <x:c r="L2946" s="24" t="n">
        <x:v>0.013248058474189127</x:v>
      </x:c>
    </x:row>
    <x:row r="2947">
      <x:c r="G2947" t="str">
        <x:v>TPA-IAD</x:v>
      </x:c>
      <x:c r="H2947" t="str">
        <x:v>TPA</x:v>
      </x:c>
      <x:c r="I2947" t="str">
        <x:v>IAD</x:v>
      </x:c>
      <x:c r="J2947" s="23" t="n">
        <x:v>3753</x:v>
      </x:c>
      <x:c r="K2947" s="24" t="n">
        <x:v>0.173994138022915</x:v>
      </x:c>
      <x:c r="L2947" s="24" t="n">
        <x:v>0.015454303224087397</x:v>
      </x:c>
    </x:row>
    <x:row r="2948">
      <x:c r="G2948" t="str">
        <x:v>IAH-SNA</x:v>
      </x:c>
      <x:c r="H2948" t="str">
        <x:v>IAH</x:v>
      </x:c>
      <x:c r="I2948" t="str">
        <x:v>SNA</x:v>
      </x:c>
      <x:c r="J2948" s="23" t="n">
        <x:v>3811</x:v>
      </x:c>
      <x:c r="K2948" s="24" t="n">
        <x:v>0.1739700865914458</x:v>
      </x:c>
      <x:c r="L2948" s="24" t="n">
        <x:v>0.010495932826029914</x:v>
      </x:c>
    </x:row>
    <x:row r="2949">
      <x:c r="G2949" t="str">
        <x:v>HOU-MAF</x:v>
      </x:c>
      <x:c r="H2949" t="str">
        <x:v>HOU</x:v>
      </x:c>
      <x:c r="I2949" t="str">
        <x:v>MAF</x:v>
      </x:c>
      <x:c r="J2949" s="23" t="n">
        <x:v>3869</x:v>
      </x:c>
      <x:c r="K2949" s="24" t="n">
        <x:v>0.17394675626776945</x:v>
      </x:c>
      <x:c r="L2949" s="24" t="n">
        <x:v>0.00697854742827604</x:v>
      </x:c>
    </x:row>
    <x:row r="2950">
      <x:c r="G2950" t="str">
        <x:v>LAX-ANC</x:v>
      </x:c>
      <x:c r="H2950" t="str">
        <x:v>LAX</x:v>
      </x:c>
      <x:c r="I2950" t="str">
        <x:v>ANC</x:v>
      </x:c>
      <x:c r="J2950" s="23" t="n">
        <x:v>1058</x:v>
      </x:c>
      <x:c r="K2950" s="24" t="n">
        <x:v>0.17391304347826086</x:v>
      </x:c>
      <x:c r="L2950" s="24" t="n">
        <x:v>0.006616257088846881</x:v>
      </x:c>
    </x:row>
    <x:row r="2951">
      <x:c r="G2951" t="str">
        <x:v>BOI-ORD</x:v>
      </x:c>
      <x:c r="H2951" t="str">
        <x:v>BOI</x:v>
      </x:c>
      <x:c r="I2951" t="str">
        <x:v>ORD</x:v>
      </x:c>
      <x:c r="J2951" s="23" t="n">
        <x:v>1955</x:v>
      </x:c>
      <x:c r="K2951" s="24" t="n">
        <x:v>0.17391304347826086</x:v>
      </x:c>
      <x:c r="L2951" s="24" t="n">
        <x:v>0.004603580562659846</x:v>
      </x:c>
    </x:row>
    <x:row r="2952">
      <x:c r="G2952" t="str">
        <x:v>ONT-DEN</x:v>
      </x:c>
      <x:c r="H2952" t="str">
        <x:v>ONT</x:v>
      </x:c>
      <x:c r="I2952" t="str">
        <x:v>DEN</x:v>
      </x:c>
      <x:c r="J2952" s="23" t="n">
        <x:v>8442</x:v>
      </x:c>
      <x:c r="K2952" s="24" t="n">
        <x:v>0.17389244254915898</x:v>
      </x:c>
      <x:c r="L2952" s="24" t="n">
        <x:v>0.008765695332859511</x:v>
      </x:c>
    </x:row>
    <x:row r="2953">
      <x:c r="G2953" t="str">
        <x:v>CLT-TLH</x:v>
      </x:c>
      <x:c r="H2953" t="str">
        <x:v>CLT</x:v>
      </x:c>
      <x:c r="I2953" t="str">
        <x:v>TLH</x:v>
      </x:c>
      <x:c r="J2953" s="23" t="n">
        <x:v>1990</x:v>
      </x:c>
      <x:c r="K2953" s="24" t="n">
        <x:v>0.17386934673366833</x:v>
      </x:c>
      <x:c r="L2953" s="24" t="n">
        <x:v>0.015577889447236181</x:v>
      </x:c>
    </x:row>
    <x:row r="2954">
      <x:c r="G2954" t="str">
        <x:v>FLL-MSP</x:v>
      </x:c>
      <x:c r="H2954" t="str">
        <x:v>FLL</x:v>
      </x:c>
      <x:c r="I2954" t="str">
        <x:v>MSP</x:v>
      </x:c>
      <x:c r="J2954" s="23" t="n">
        <x:v>2124</x:v>
      </x:c>
      <x:c r="K2954" s="24" t="n">
        <x:v>0.17372881355932204</x:v>
      </x:c>
      <x:c r="L2954" s="24" t="n">
        <x:v>0.009887005649717515</x:v>
      </x:c>
    </x:row>
    <x:row r="2955">
      <x:c r="G2955" t="str">
        <x:v>SFO-AUS</x:v>
      </x:c>
      <x:c r="H2955" t="str">
        <x:v>SFO</x:v>
      </x:c>
      <x:c r="I2955" t="str">
        <x:v>AUS</x:v>
      </x:c>
      <x:c r="J2955" s="23" t="n">
        <x:v>6684</x:v>
      </x:c>
      <x:c r="K2955" s="24" t="n">
        <x:v>0.1736983842010772</x:v>
      </x:c>
      <x:c r="L2955" s="24" t="n">
        <x:v>0.011220825852782765</x:v>
      </x:c>
    </x:row>
    <x:row r="2956">
      <x:c r="G2956" t="str">
        <x:v>MSP-STL</x:v>
      </x:c>
      <x:c r="H2956" t="str">
        <x:v>MSP</x:v>
      </x:c>
      <x:c r="I2956" t="str">
        <x:v>STL</x:v>
      </x:c>
      <x:c r="J2956" s="23" t="n">
        <x:v>5793</x:v>
      </x:c>
      <x:c r="K2956" s="24" t="n">
        <x:v>0.17365786293802865</x:v>
      </x:c>
      <x:c r="L2956" s="24" t="n">
        <x:v>0.009148972898325565</x:v>
      </x:c>
    </x:row>
    <x:row r="2957">
      <x:c r="G2957" t="str">
        <x:v>MSP-MCI</x:v>
      </x:c>
      <x:c r="H2957" t="str">
        <x:v>MSP</x:v>
      </x:c>
      <x:c r="I2957" t="str">
        <x:v>MCI</x:v>
      </x:c>
      <x:c r="J2957" s="23" t="n">
        <x:v>4325</x:v>
      </x:c>
      <x:c r="K2957" s="24" t="n">
        <x:v>0.17364161849710982</x:v>
      </x:c>
      <x:c r="L2957" s="24" t="n">
        <x:v>0.009942196531791908</x:v>
      </x:c>
    </x:row>
    <x:row r="2958">
      <x:c r="G2958" t="str">
        <x:v>ATL-CHS</x:v>
      </x:c>
      <x:c r="H2958" t="str">
        <x:v>ATL</x:v>
      </x:c>
      <x:c r="I2958" t="str">
        <x:v>CHS</x:v>
      </x:c>
      <x:c r="J2958" s="23" t="n">
        <x:v>8570</x:v>
      </x:c>
      <x:c r="K2958" s="24" t="n">
        <x:v>0.17362893815635938</x:v>
      </x:c>
      <x:c r="L2958" s="24" t="n">
        <x:v>0.010385064177362895</x:v>
      </x:c>
    </x:row>
    <x:row r="2959">
      <x:c r="G2959" t="str">
        <x:v>ATL-MEM</x:v>
      </x:c>
      <x:c r="H2959" t="str">
        <x:v>ATL</x:v>
      </x:c>
      <x:c r="I2959" t="str">
        <x:v>MEM</x:v>
      </x:c>
      <x:c r="J2959" s="23" t="n">
        <x:v>10160</x:v>
      </x:c>
      <x:c r="K2959" s="24" t="n">
        <x:v>0.1736220472440945</x:v>
      </x:c>
      <x:c r="L2959" s="24" t="n">
        <x:v>0.010728346456692914</x:v>
      </x:c>
    </x:row>
    <x:row r="2960">
      <x:c r="G2960" t="str">
        <x:v>MSP-MEM</x:v>
      </x:c>
      <x:c r="H2960" t="str">
        <x:v>MSP</x:v>
      </x:c>
      <x:c r="I2960" t="str">
        <x:v>MEM</x:v>
      </x:c>
      <x:c r="J2960" s="23" t="n">
        <x:v>2627</x:v>
      </x:c>
      <x:c r="K2960" s="24" t="n">
        <x:v>0.17358203273696232</x:v>
      </x:c>
      <x:c r="L2960" s="24" t="n">
        <x:v>0.0098972211648268</x:v>
      </x:c>
    </x:row>
    <x:row r="2961">
      <x:c r="G2961" t="str">
        <x:v>LGA-IND</x:v>
      </x:c>
      <x:c r="H2961" t="str">
        <x:v>LGA</x:v>
      </x:c>
      <x:c r="I2961" t="str">
        <x:v>IND</x:v>
      </x:c>
      <x:c r="J2961" s="23" t="n">
        <x:v>7917</x:v>
      </x:c>
      <x:c r="K2961" s="24" t="n">
        <x:v>0.1735505873436908</x:v>
      </x:c>
      <x:c r="L2961" s="24" t="n">
        <x:v>0.028293545534924844</x:v>
      </x:c>
    </x:row>
    <x:row r="2962">
      <x:c r="G2962" t="str">
        <x:v>LGA-ILM</x:v>
      </x:c>
      <x:c r="H2962" t="str">
        <x:v>LGA</x:v>
      </x:c>
      <x:c r="I2962" t="str">
        <x:v>ILM</x:v>
      </x:c>
      <x:c r="J2962" s="23" t="n">
        <x:v>4420</x:v>
      </x:c>
      <x:c r="K2962" s="24" t="n">
        <x:v>0.17352941176470588</x:v>
      </x:c>
      <x:c r="L2962" s="24" t="n">
        <x:v>0.04208144796380091</x:v>
      </x:c>
    </x:row>
    <x:row r="2963">
      <x:c r="G2963" t="str">
        <x:v>COS-DAL</x:v>
      </x:c>
      <x:c r="H2963" t="str">
        <x:v>COS</x:v>
      </x:c>
      <x:c r="I2963" t="str">
        <x:v>DAL</x:v>
      </x:c>
      <x:c r="J2963" s="23" t="n">
        <x:v>2756</x:v>
      </x:c>
      <x:c r="K2963" s="24" t="n">
        <x:v>0.1734397677793904</x:v>
      </x:c>
      <x:c r="L2963" s="24" t="n">
        <x:v>0.008708272859216255</x:v>
      </x:c>
    </x:row>
    <x:row r="2964">
      <x:c r="G2964" t="str">
        <x:v>BWI-MSP</x:v>
      </x:c>
      <x:c r="H2964" t="str">
        <x:v>BWI</x:v>
      </x:c>
      <x:c r="I2964" t="str">
        <x:v>MSP</x:v>
      </x:c>
      <x:c r="J2964" s="23" t="n">
        <x:v>4233</x:v>
      </x:c>
      <x:c r="K2964" s="24" t="n">
        <x:v>0.17339948027403732</x:v>
      </x:c>
      <x:c r="L2964" s="24" t="n">
        <x:v>0.007323411292227734</x:v>
      </x:c>
    </x:row>
    <x:row r="2965">
      <x:c r="G2965" t="str">
        <x:v>LGB-HNL</x:v>
      </x:c>
      <x:c r="H2965" t="str">
        <x:v>LGB</x:v>
      </x:c>
      <x:c r="I2965" t="str">
        <x:v>HNL</x:v>
      </x:c>
      <x:c r="J2965" s="23" t="n">
        <x:v>2180</x:v>
      </x:c>
      <x:c r="K2965" s="24" t="n">
        <x:v>0.17339449541284405</x:v>
      </x:c>
      <x:c r="L2965" s="24" t="n">
        <x:v>0.005045871559633028</x:v>
      </x:c>
    </x:row>
    <x:row r="2966">
      <x:c r="G2966" t="str">
        <x:v>SDF-DEN</x:v>
      </x:c>
      <x:c r="H2966" t="str">
        <x:v>SDF</x:v>
      </x:c>
      <x:c r="I2966" t="str">
        <x:v>DEN</x:v>
      </x:c>
      <x:c r="J2966" s="23" t="n">
        <x:v>3288</x:v>
      </x:c>
      <x:c r="K2966" s="24" t="n">
        <x:v>0.17335766423357665</x:v>
      </x:c>
      <x:c r="L2966" s="24" t="n">
        <x:v>0.007907542579075427</x:v>
      </x:c>
    </x:row>
    <x:row r="2967">
      <x:c r="G2967" t="str">
        <x:v>BOS-MSP</x:v>
      </x:c>
      <x:c r="H2967" t="str">
        <x:v>BOS</x:v>
      </x:c>
      <x:c r="I2967" t="str">
        <x:v>MSP</x:v>
      </x:c>
      <x:c r="J2967" s="23" t="n">
        <x:v>6317</x:v>
      </x:c>
      <x:c r="K2967" s="24" t="n">
        <x:v>0.17334177615956942</x:v>
      </x:c>
      <x:c r="L2967" s="24" t="n">
        <x:v>0.006490422668988444</x:v>
      </x:c>
    </x:row>
    <x:row r="2968">
      <x:c r="G2968" t="str">
        <x:v>LAX-BWI</x:v>
      </x:c>
      <x:c r="H2968" t="str">
        <x:v>LAX</x:v>
      </x:c>
      <x:c r="I2968" t="str">
        <x:v>BWI</x:v>
      </x:c>
      <x:c r="J2968" s="23" t="n">
        <x:v>5073</x:v>
      </x:c>
      <x:c r="K2968" s="24" t="n">
        <x:v>0.1732702542874039</x:v>
      </x:c>
      <x:c r="L2968" s="24" t="n">
        <x:v>0.008870490833826138</x:v>
      </x:c>
    </x:row>
    <x:row r="2969">
      <x:c r="G2969" t="str">
        <x:v>PHL-DCA</x:v>
      </x:c>
      <x:c r="H2969" t="str">
        <x:v>PHL</x:v>
      </x:c>
      <x:c r="I2969" t="str">
        <x:v>DCA</x:v>
      </x:c>
      <x:c r="J2969" s="23" t="n">
        <x:v>3850</x:v>
      </x:c>
      <x:c r="K2969" s="24" t="n">
        <x:v>0.17324675324675326</x:v>
      </x:c>
      <x:c r="L2969" s="24" t="n">
        <x:v>0.015844155844155845</x:v>
      </x:c>
    </x:row>
    <x:row r="2970">
      <x:c r="G2970" t="str">
        <x:v>JAX-ORD</x:v>
      </x:c>
      <x:c r="H2970" t="str">
        <x:v>JAX</x:v>
      </x:c>
      <x:c r="I2970" t="str">
        <x:v>ORD</x:v>
      </x:c>
      <x:c r="J2970" s="23" t="n">
        <x:v>4889</x:v>
      </x:c>
      <x:c r="K2970" s="24" t="n">
        <x:v>0.1732460625894866</x:v>
      </x:c>
      <x:c r="L2970" s="24" t="n">
        <x:v>0.013908774800572715</x:v>
      </x:c>
    </x:row>
    <x:row r="2971">
      <x:c r="G2971" t="str">
        <x:v>GRR-MDW</x:v>
      </x:c>
      <x:c r="H2971" t="str">
        <x:v>GRR</x:v>
      </x:c>
      <x:c r="I2971" t="str">
        <x:v>MDW</x:v>
      </x:c>
      <x:c r="J2971" s="23" t="n">
        <x:v>2875</x:v>
      </x:c>
      <x:c r="K2971" s="24" t="n">
        <x:v>0.17321739130434782</x:v>
      </x:c>
      <x:c r="L2971" s="24" t="n">
        <x:v>0.006608695652173913</x:v>
      </x:c>
    </x:row>
    <x:row r="2972">
      <x:c r="G2972" t="str">
        <x:v>DFW-FAR</x:v>
      </x:c>
      <x:c r="H2972" t="str">
        <x:v>DFW</x:v>
      </x:c>
      <x:c r="I2972" t="str">
        <x:v>FAR</x:v>
      </x:c>
      <x:c r="J2972" s="23" t="n">
        <x:v>2731</x:v>
      </x:c>
      <x:c r="K2972" s="24" t="n">
        <x:v>0.17319663127059684</x:v>
      </x:c>
      <x:c r="L2972" s="24" t="n">
        <x:v>0.012083485902599781</x:v>
      </x:c>
    </x:row>
    <x:row r="2973">
      <x:c r="G2973" t="str">
        <x:v>DTW-AZO</x:v>
      </x:c>
      <x:c r="H2973" t="str">
        <x:v>DTW</x:v>
      </x:c>
      <x:c r="I2973" t="str">
        <x:v>AZO</x:v>
      </x:c>
      <x:c r="J2973" s="23" t="n">
        <x:v>2818</x:v>
      </x:c>
      <x:c r="K2973" s="24" t="n">
        <x:v>0.17317246273953157</x:v>
      </x:c>
      <x:c r="L2973" s="24" t="n">
        <x:v>0.01312987934705465</x:v>
      </x:c>
    </x:row>
    <x:row r="2974">
      <x:c r="G2974" t="str">
        <x:v>AUS-STL</x:v>
      </x:c>
      <x:c r="H2974" t="str">
        <x:v>AUS</x:v>
      </x:c>
      <x:c r="I2974" t="str">
        <x:v>STL</x:v>
      </x:c>
      <x:c r="J2974" s="23" t="n">
        <x:v>2974</x:v>
      </x:c>
      <x:c r="K2974" s="24" t="n">
        <x:v>0.17316745124411567</x:v>
      </x:c>
      <x:c r="L2974" s="24" t="n">
        <x:v>0.006724949562878279</x:v>
      </x:c>
    </x:row>
    <x:row r="2975">
      <x:c r="G2975" t="str">
        <x:v>DCA-PIT</x:v>
      </x:c>
      <x:c r="H2975" t="str">
        <x:v>DCA</x:v>
      </x:c>
      <x:c r="I2975" t="str">
        <x:v>PIT</x:v>
      </x:c>
      <x:c r="J2975" s="23" t="n">
        <x:v>5055</x:v>
      </x:c>
      <x:c r="K2975" s="24" t="n">
        <x:v>0.17309594460929772</x:v>
      </x:c>
      <x:c r="L2975" s="24" t="n">
        <x:v>0.02156280909990109</x:v>
      </x:c>
    </x:row>
    <x:row r="2976">
      <x:c r="G2976" t="str">
        <x:v>ATW-DTW</x:v>
      </x:c>
      <x:c r="H2976" t="str">
        <x:v>ATW</x:v>
      </x:c>
      <x:c r="I2976" t="str">
        <x:v>DTW</x:v>
      </x:c>
      <x:c r="J2976" s="23" t="n">
        <x:v>2600</x:v>
      </x:c>
      <x:c r="K2976" s="24" t="n">
        <x:v>0.17307692307692307</x:v>
      </x:c>
      <x:c r="L2976" s="24" t="n">
        <x:v>0.009230769230769232</x:v>
      </x:c>
    </x:row>
    <x:row r="2977">
      <x:c r="G2977" t="str">
        <x:v>SJU-DTW</x:v>
      </x:c>
      <x:c r="H2977" t="str">
        <x:v>SJU</x:v>
      </x:c>
      <x:c r="I2977" t="str">
        <x:v>DTW</x:v>
      </x:c>
      <x:c r="J2977" s="23" t="n">
        <x:v>1144</x:v>
      </x:c>
      <x:c r="K2977" s="24" t="n">
        <x:v>0.17307692307692307</x:v>
      </x:c>
      <x:c r="L2977" s="24" t="n">
        <x:v>0.006118881118881119</x:v>
      </x:c>
    </x:row>
    <x:row r="2978">
      <x:c r="G2978" t="str">
        <x:v>MSP-BNA</x:v>
      </x:c>
      <x:c r="H2978" t="str">
        <x:v>MSP</x:v>
      </x:c>
      <x:c r="I2978" t="str">
        <x:v>BNA</x:v>
      </x:c>
      <x:c r="J2978" s="23" t="n">
        <x:v>4883</x:v>
      </x:c>
      <x:c r="K2978" s="24" t="n">
        <x:v>0.17304935490477166</x:v>
      </x:c>
      <x:c r="L2978" s="24" t="n">
        <x:v>0.007986893303297153</x:v>
      </x:c>
    </x:row>
    <x:row r="2979">
      <x:c r="G2979" t="str">
        <x:v>SDF-DCA</x:v>
      </x:c>
      <x:c r="H2979" t="str">
        <x:v>SDF</x:v>
      </x:c>
      <x:c r="I2979" t="str">
        <x:v>DCA</x:v>
      </x:c>
      <x:c r="J2979" s="23" t="n">
        <x:v>3196</x:v>
      </x:c>
      <x:c r="K2979" s="24" t="n">
        <x:v>0.1730287859824781</x:v>
      </x:c>
      <x:c r="L2979" s="24" t="n">
        <x:v>0.029411764705882353</x:v>
      </x:c>
    </x:row>
    <x:row r="2980">
      <x:c r="G2980" t="str">
        <x:v>DFW-CRP</x:v>
      </x:c>
      <x:c r="H2980" t="str">
        <x:v>DFW</x:v>
      </x:c>
      <x:c r="I2980" t="str">
        <x:v>CRP</x:v>
      </x:c>
      <x:c r="J2980" s="23" t="n">
        <x:v>7110</x:v>
      </x:c>
      <x:c r="K2980" s="24" t="n">
        <x:v>0.1729957805907173</x:v>
      </x:c>
      <x:c r="L2980" s="24" t="n">
        <x:v>0.01828410689170183</x:v>
      </x:c>
    </x:row>
    <x:row r="2981">
      <x:c r="G2981" t="str">
        <x:v>ABQ-SFO</x:v>
      </x:c>
      <x:c r="H2981" t="str">
        <x:v>ABQ</x:v>
      </x:c>
      <x:c r="I2981" t="str">
        <x:v>SFO</x:v>
      </x:c>
      <x:c r="J2981" s="23" t="n">
        <x:v>1740</x:v>
      </x:c>
      <x:c r="K2981" s="24" t="n">
        <x:v>0.17298850574712643</x:v>
      </x:c>
      <x:c r="L2981" s="24" t="n">
        <x:v>0.008045977011494253</x:v>
      </x:c>
    </x:row>
    <x:row r="2982">
      <x:c r="G2982" t="str">
        <x:v>PBI-ATL</x:v>
      </x:c>
      <x:c r="H2982" t="str">
        <x:v>PBI</x:v>
      </x:c>
      <x:c r="I2982" t="str">
        <x:v>ATL</x:v>
      </x:c>
      <x:c r="J2982" s="23" t="n">
        <x:v>12095</x:v>
      </x:c>
      <x:c r="K2982" s="24" t="n">
        <x:v>0.172964034725093</x:v>
      </x:c>
      <x:c r="L2982" s="24" t="n">
        <x:v>0.011078958247209591</x:v>
      </x:c>
    </x:row>
    <x:row r="2983">
      <x:c r="G2983" t="str">
        <x:v>DFW-CMI</x:v>
      </x:c>
      <x:c r="H2983" t="str">
        <x:v>DFW</x:v>
      </x:c>
      <x:c r="I2983" t="str">
        <x:v>CMI</x:v>
      </x:c>
      <x:c r="J2983" s="23" t="n">
        <x:v>2181</x:v>
      </x:c>
      <x:c r="K2983" s="24" t="n">
        <x:v>0.17285648784961027</x:v>
      </x:c>
      <x:c r="L2983" s="24" t="n">
        <x:v>0.013755158184319119</x:v>
      </x:c>
    </x:row>
    <x:row r="2984">
      <x:c r="G2984" t="str">
        <x:v>DEN-SHR</x:v>
      </x:c>
      <x:c r="H2984" t="str">
        <x:v>DEN</x:v>
      </x:c>
      <x:c r="I2984" t="str">
        <x:v>SHR</x:v>
      </x:c>
      <x:c r="J2984" s="23" t="n">
        <x:v>2106</x:v>
      </x:c>
      <x:c r="K2984" s="24" t="n">
        <x:v>0.1728395061728395</x:v>
      </x:c>
      <x:c r="L2984" s="24" t="n">
        <x:v>0.014245014245014245</x:v>
      </x:c>
    </x:row>
    <x:row r="2985">
      <x:c r="G2985" t="str">
        <x:v>SYR-DEN</x:v>
      </x:c>
      <x:c r="H2985" t="str">
        <x:v>SYR</x:v>
      </x:c>
      <x:c r="I2985" t="str">
        <x:v>DEN</x:v>
      </x:c>
      <x:c r="J2985" s="23" t="n">
        <x:v>1308</x:v>
      </x:c>
      <x:c r="K2985" s="24" t="n">
        <x:v>0.172782874617737</x:v>
      </x:c>
      <x:c r="L2985" s="24" t="n">
        <x:v>0.011467889908256881</x:v>
      </x:c>
    </x:row>
    <x:row r="2986">
      <x:c r="G2986" t="str">
        <x:v>MSY-IAH</x:v>
      </x:c>
      <x:c r="H2986" t="str">
        <x:v>MSY</x:v>
      </x:c>
      <x:c r="I2986" t="str">
        <x:v>IAH</x:v>
      </x:c>
      <x:c r="J2986" s="23" t="n">
        <x:v>9278</x:v>
      </x:c>
      <x:c r="K2986" s="24" t="n">
        <x:v>0.17277430480707048</x:v>
      </x:c>
      <x:c r="L2986" s="24" t="n">
        <x:v>0.018538478120284543</x:v>
      </x:c>
    </x:row>
    <x:row r="2987">
      <x:c r="G2987" t="str">
        <x:v>SNA-PHX</x:v>
      </x:c>
      <x:c r="H2987" t="str">
        <x:v>SNA</x:v>
      </x:c>
      <x:c r="I2987" t="str">
        <x:v>PHX</x:v>
      </x:c>
      <x:c r="J2987" s="23" t="n">
        <x:v>13059</x:v>
      </x:c>
      <x:c r="K2987" s="24" t="n">
        <x:v>0.17275442223753734</x:v>
      </x:c>
      <x:c r="L2987" s="24" t="n">
        <x:v>0.008117007427827552</x:v>
      </x:c>
    </x:row>
    <x:row r="2988">
      <x:c r="G2988" t="str">
        <x:v>EWR-IND</x:v>
      </x:c>
      <x:c r="H2988" t="str">
        <x:v>EWR</x:v>
      </x:c>
      <x:c r="I2988" t="str">
        <x:v>IND</x:v>
      </x:c>
      <x:c r="J2988" s="23" t="n">
        <x:v>6710</x:v>
      </x:c>
      <x:c r="K2988" s="24" t="n">
        <x:v>0.17272727272727273</x:v>
      </x:c>
      <x:c r="L2988" s="24" t="n">
        <x:v>0.04068554396423249</x:v>
      </x:c>
    </x:row>
    <x:row r="2989">
      <x:c r="G2989" t="str">
        <x:v>DTW-SYR</x:v>
      </x:c>
      <x:c r="H2989" t="str">
        <x:v>DTW</x:v>
      </x:c>
      <x:c r="I2989" t="str">
        <x:v>SYR</x:v>
      </x:c>
      <x:c r="J2989" s="23" t="n">
        <x:v>3231</x:v>
      </x:c>
      <x:c r="K2989" s="24" t="n">
        <x:v>0.17270194986072424</x:v>
      </x:c>
      <x:c r="L2989" s="24" t="n">
        <x:v>0.005261528938409161</x:v>
      </x:c>
    </x:row>
    <x:row r="2990">
      <x:c r="G2990" t="str">
        <x:v>ROC-MDW</x:v>
      </x:c>
      <x:c r="H2990" t="str">
        <x:v>ROC</x:v>
      </x:c>
      <x:c r="I2990" t="str">
        <x:v>MDW</x:v>
      </x:c>
      <x:c r="J2990" s="23" t="n">
        <x:v>1164</x:v>
      </x:c>
      <x:c r="K2990" s="24" t="n">
        <x:v>0.17268041237113402</x:v>
      </x:c>
      <x:c r="L2990" s="24" t="n">
        <x:v>0.011168384879725086</x:v>
      </x:c>
    </x:row>
    <x:row r="2991">
      <x:c r="G2991" t="str">
        <x:v>HPN-ATL</x:v>
      </x:c>
      <x:c r="H2991" t="str">
        <x:v>HPN</x:v>
      </x:c>
      <x:c r="I2991" t="str">
        <x:v>ATL</x:v>
      </x:c>
      <x:c r="J2991" s="23" t="n">
        <x:v>4461</x:v>
      </x:c>
      <x:c r="K2991" s="24" t="n">
        <x:v>0.17260703878054248</x:v>
      </x:c>
      <x:c r="L2991" s="24" t="n">
        <x:v>0.010759919300605245</x:v>
      </x:c>
    </x:row>
    <x:row r="2992">
      <x:c r="G2992" t="str">
        <x:v>JST-IAD</x:v>
      </x:c>
      <x:c r="H2992" t="str">
        <x:v>JST</x:v>
      </x:c>
      <x:c r="I2992" t="str">
        <x:v>IAD</x:v>
      </x:c>
      <x:c r="J2992" s="23" t="n">
        <x:v>1095</x:v>
      </x:c>
      <x:c r="K2992" s="24" t="n">
        <x:v>0.1726027397260274</x:v>
      </x:c>
      <x:c r="L2992" s="24" t="n">
        <x:v>0.0228310502283105</x:v>
      </x:c>
    </x:row>
    <x:row r="2993">
      <x:c r="G2993" t="str">
        <x:v>PIT-DCA</x:v>
      </x:c>
      <x:c r="H2993" t="str">
        <x:v>PIT</x:v>
      </x:c>
      <x:c r="I2993" t="str">
        <x:v>DCA</x:v>
      </x:c>
      <x:c r="J2993" s="23" t="n">
        <x:v>5053</x:v>
      </x:c>
      <x:c r="K2993" s="24" t="n">
        <x:v>0.17257075004947556</x:v>
      </x:c>
      <x:c r="L2993" s="24" t="n">
        <x:v>0.017811201266574313</x:v>
      </x:c>
    </x:row>
    <x:row r="2994">
      <x:c r="G2994" t="str">
        <x:v>JAX-IAD</x:v>
      </x:c>
      <x:c r="H2994" t="str">
        <x:v>JAX</x:v>
      </x:c>
      <x:c r="I2994" t="str">
        <x:v>IAD</x:v>
      </x:c>
      <x:c r="J2994" s="23" t="n">
        <x:v>2243</x:v>
      </x:c>
      <x:c r="K2994" s="24" t="n">
        <x:v>0.17253678109674542</x:v>
      </x:c>
      <x:c r="L2994" s="24" t="n">
        <x:v>0.012929112795363353</x:v>
      </x:c>
    </x:row>
    <x:row r="2995">
      <x:c r="G2995" t="str">
        <x:v>TPA-LAX</x:v>
      </x:c>
      <x:c r="H2995" t="str">
        <x:v>TPA</x:v>
      </x:c>
      <x:c r="I2995" t="str">
        <x:v>LAX</x:v>
      </x:c>
      <x:c r="J2995" s="23" t="n">
        <x:v>3240</x:v>
      </x:c>
      <x:c r="K2995" s="24" t="n">
        <x:v>0.17253086419753086</x:v>
      </x:c>
      <x:c r="L2995" s="24" t="n">
        <x:v>0.012345679012345678</x:v>
      </x:c>
    </x:row>
    <x:row r="2996">
      <x:c r="G2996" t="str">
        <x:v>IND-BOS</x:v>
      </x:c>
      <x:c r="H2996" t="str">
        <x:v>IND</x:v>
      </x:c>
      <x:c r="I2996" t="str">
        <x:v>BOS</x:v>
      </x:c>
      <x:c r="J2996" s="23" t="n">
        <x:v>5774</x:v>
      </x:c>
      <x:c r="K2996" s="24" t="n">
        <x:v>0.17249740214755802</x:v>
      </x:c>
      <x:c r="L2996" s="24" t="n">
        <x:v>0.012642881884308971</x:v>
      </x:c>
    </x:row>
    <x:row r="2997">
      <x:c r="G2997" t="str">
        <x:v>JFK-PIT</x:v>
      </x:c>
      <x:c r="H2997" t="str">
        <x:v>JFK</x:v>
      </x:c>
      <x:c r="I2997" t="str">
        <x:v>PIT</x:v>
      </x:c>
      <x:c r="J2997" s="23" t="n">
        <x:v>5360</x:v>
      </x:c>
      <x:c r="K2997" s="24" t="n">
        <x:v>0.17238805970149254</x:v>
      </x:c>
      <x:c r="L2997" s="24" t="n">
        <x:v>0.03507462686567164</x:v>
      </x:c>
    </x:row>
    <x:row r="2998">
      <x:c r="G2998" t="str">
        <x:v>RSW-CLT</x:v>
      </x:c>
      <x:c r="H2998" t="str">
        <x:v>RSW</x:v>
      </x:c>
      <x:c r="I2998" t="str">
        <x:v>CLT</x:v>
      </x:c>
      <x:c r="J2998" s="23" t="n">
        <x:v>5656</x:v>
      </x:c>
      <x:c r="K2998" s="24" t="n">
        <x:v>0.17238330975954738</x:v>
      </x:c>
      <x:c r="L2998" s="24" t="n">
        <x:v>0.015381895332390382</x:v>
      </x:c>
    </x:row>
    <x:row r="2999">
      <x:c r="G2999" t="str">
        <x:v>LGA-STL</x:v>
      </x:c>
      <x:c r="H2999" t="str">
        <x:v>LGA</x:v>
      </x:c>
      <x:c r="I2999" t="str">
        <x:v>STL</x:v>
      </x:c>
      <x:c r="J2999" s="23" t="n">
        <x:v>10537</x:v>
      </x:c>
      <x:c r="K2999" s="24" t="n">
        <x:v>0.1723450697541995</x:v>
      </x:c>
      <x:c r="L2999" s="24" t="n">
        <x:v>0.026667932048970295</x:v>
      </x:c>
    </x:row>
    <x:row r="3000">
      <x:c r="G3000" t="str">
        <x:v>CAE-CLT</x:v>
      </x:c>
      <x:c r="H3000" t="str">
        <x:v>CAE</x:v>
      </x:c>
      <x:c r="I3000" t="str">
        <x:v>CLT</x:v>
      </x:c>
      <x:c r="J3000" s="23" t="n">
        <x:v>2971</x:v>
      </x:c>
      <x:c r="K3000" s="24" t="n">
        <x:v>0.1723325479636486</x:v>
      </x:c>
      <x:c r="L3000" s="24" t="n">
        <x:v>0.013463480309660047</x:v>
      </x:c>
    </x:row>
    <x:row r="3001">
      <x:c r="G3001" t="str">
        <x:v>SNA-DEN</x:v>
      </x:c>
      <x:c r="H3001" t="str">
        <x:v>SNA</x:v>
      </x:c>
      <x:c r="I3001" t="str">
        <x:v>DEN</x:v>
      </x:c>
      <x:c r="J3001" s="23" t="n">
        <x:v>11096</x:v>
      </x:c>
      <x:c r="K3001" s="24" t="n">
        <x:v>0.17231434751261715</x:v>
      </x:c>
      <x:c r="L3001" s="24" t="n">
        <x:v>0.008651766402307137</x:v>
      </x:c>
    </x:row>
    <x:row r="3002">
      <x:c r="G3002" t="str">
        <x:v>DFW-CLL</x:v>
      </x:c>
      <x:c r="H3002" t="str">
        <x:v>DFW</x:v>
      </x:c>
      <x:c r="I3002" t="str">
        <x:v>CLL</x:v>
      </x:c>
      <x:c r="J3002" s="23" t="n">
        <x:v>3420</x:v>
      </x:c>
      <x:c r="K3002" s="24" t="n">
        <x:v>0.17222222222222222</x:v>
      </x:c>
      <x:c r="L3002" s="24" t="n">
        <x:v>0.026023391812865497</x:v>
      </x:c>
    </x:row>
    <x:row r="3003">
      <x:c r="G3003" t="str">
        <x:v>SLC-CLT</x:v>
      </x:c>
      <x:c r="H3003" t="str">
        <x:v>SLC</x:v>
      </x:c>
      <x:c r="I3003" t="str">
        <x:v>CLT</x:v>
      </x:c>
      <x:c r="J3003" s="23" t="n">
        <x:v>2799</x:v>
      </x:c>
      <x:c r="K3003" s="24" t="n">
        <x:v>0.17220435869953554</x:v>
      </x:c>
      <x:c r="L3003" s="24" t="n">
        <x:v>0.007859949982136478</x:v>
      </x:c>
    </x:row>
    <x:row r="3004">
      <x:c r="G3004" t="str">
        <x:v>SYR-EWR</x:v>
      </x:c>
      <x:c r="H3004" t="str">
        <x:v>SYR</x:v>
      </x:c>
      <x:c r="I3004" t="str">
        <x:v>EWR</x:v>
      </x:c>
      <x:c r="J3004" s="23" t="n">
        <x:v>1899</x:v>
      </x:c>
      <x:c r="K3004" s="24" t="n">
        <x:v>0.1721958925750395</x:v>
      </x:c>
      <x:c r="L3004" s="24" t="n">
        <x:v>0.037914691943127965</x:v>
      </x:c>
    </x:row>
    <x:row r="3005">
      <x:c r="G3005" t="str">
        <x:v>ATL-TUS</x:v>
      </x:c>
      <x:c r="H3005" t="str">
        <x:v>ATL</x:v>
      </x:c>
      <x:c r="I3005" t="str">
        <x:v>TUS</x:v>
      </x:c>
      <x:c r="J3005" s="23" t="n">
        <x:v>2393</x:v>
      </x:c>
      <x:c r="K3005" s="24" t="n">
        <x:v>0.17216882574174677</x:v>
      </x:c>
      <x:c r="L3005" s="24" t="n">
        <x:v>0.008357709987463435</x:v>
      </x:c>
    </x:row>
    <x:row r="3006">
      <x:c r="G3006" t="str">
        <x:v>CLT-STT</x:v>
      </x:c>
      <x:c r="H3006" t="str">
        <x:v>CLT</x:v>
      </x:c>
      <x:c r="I3006" t="str">
        <x:v>STT</x:v>
      </x:c>
      <x:c r="J3006" s="23" t="n">
        <x:v>1679</x:v>
      </x:c>
      <x:c r="K3006" s="24" t="n">
        <x:v>0.17212626563430614</x:v>
      </x:c>
      <x:c r="L3006" s="24" t="n">
        <x:v>0.004764740917212627</x:v>
      </x:c>
    </x:row>
    <x:row r="3007">
      <x:c r="G3007" t="str">
        <x:v>BFF-DEN</x:v>
      </x:c>
      <x:c r="H3007" t="str">
        <x:v>BFF</x:v>
      </x:c>
      <x:c r="I3007" t="str">
        <x:v>DEN</x:v>
      </x:c>
      <x:c r="J3007" s="23" t="n">
        <x:v>1860</x:v>
      </x:c>
      <x:c r="K3007" s="24" t="n">
        <x:v>0.17204301075268819</x:v>
      </x:c>
      <x:c r="L3007" s="24" t="n">
        <x:v>0.02795698924731183</x:v>
      </x:c>
    </x:row>
    <x:row r="3008">
      <x:c r="G3008" t="str">
        <x:v>OKC-PHX</x:v>
      </x:c>
      <x:c r="H3008" t="str">
        <x:v>OKC</x:v>
      </x:c>
      <x:c r="I3008" t="str">
        <x:v>PHX</x:v>
      </x:c>
      <x:c r="J3008" s="23" t="n">
        <x:v>5371</x:v>
      </x:c>
      <x:c r="K3008" s="24" t="n">
        <x:v>0.17203500279277603</x:v>
      </x:c>
      <x:c r="L3008" s="24" t="n">
        <x:v>0.0033513312232358963</x:v>
      </x:c>
    </x:row>
    <x:row r="3009">
      <x:c r="G3009" t="str">
        <x:v>DEN-SUN</x:v>
      </x:c>
      <x:c r="H3009" t="str">
        <x:v>DEN</x:v>
      </x:c>
      <x:c r="I3009" t="str">
        <x:v>SUN</x:v>
      </x:c>
      <x:c r="J3009" s="23" t="n">
        <x:v>1657</x:v>
      </x:c>
      <x:c r="K3009" s="24" t="n">
        <x:v>0.171997585998793</x:v>
      </x:c>
      <x:c r="L3009" s="24" t="n">
        <x:v>0.009052504526252263</x:v>
      </x:c>
    </x:row>
    <x:row r="3010">
      <x:c r="G3010" t="str">
        <x:v>DTW-MEM</x:v>
      </x:c>
      <x:c r="H3010" t="str">
        <x:v>DTW</x:v>
      </x:c>
      <x:c r="I3010" t="str">
        <x:v>MEM</x:v>
      </x:c>
      <x:c r="J3010" s="23" t="n">
        <x:v>2442</x:v>
      </x:c>
      <x:c r="K3010" s="24" t="n">
        <x:v>0.171990171990172</x:v>
      </x:c>
      <x:c r="L3010" s="24" t="n">
        <x:v>0.007780507780507781</x:v>
      </x:c>
    </x:row>
    <x:row r="3011">
      <x:c r="G3011" t="str">
        <x:v>IAD-ORF</x:v>
      </x:c>
      <x:c r="H3011" t="str">
        <x:v>IAD</x:v>
      </x:c>
      <x:c r="I3011" t="str">
        <x:v>ORF</x:v>
      </x:c>
      <x:c r="J3011" s="23" t="n">
        <x:v>1908</x:v>
      </x:c>
      <x:c r="K3011" s="24" t="n">
        <x:v>0.1719077568134172</x:v>
      </x:c>
      <x:c r="L3011" s="24" t="n">
        <x:v>0.01781970649895178</x:v>
      </x:c>
    </x:row>
    <x:row r="3012">
      <x:c r="G3012" t="str">
        <x:v>MEM-MIA</x:v>
      </x:c>
      <x:c r="H3012" t="str">
        <x:v>MEM</x:v>
      </x:c>
      <x:c r="I3012" t="str">
        <x:v>MIA</x:v>
      </x:c>
      <x:c r="J3012" s="23" t="n">
        <x:v>1280</x:v>
      </x:c>
      <x:c r="K3012" s="24" t="n">
        <x:v>0.171875</x:v>
      </x:c>
      <x:c r="L3012" s="24" t="n">
        <x:v>0.0125</x:v>
      </x:c>
    </x:row>
    <x:row r="3013">
      <x:c r="G3013" t="str">
        <x:v>DEN-GUC</x:v>
      </x:c>
      <x:c r="H3013" t="str">
        <x:v>DEN</x:v>
      </x:c>
      <x:c r="I3013" t="str">
        <x:v>GUC</x:v>
      </x:c>
      <x:c r="J3013" s="23" t="n">
        <x:v>2310</x:v>
      </x:c>
      <x:c r="K3013" s="24" t="n">
        <x:v>0.17186147186147185</x:v>
      </x:c>
      <x:c r="L3013" s="24" t="n">
        <x:v>0.018614718614718615</x:v>
      </x:c>
    </x:row>
    <x:row r="3014">
      <x:c r="G3014" t="str">
        <x:v>IAD-SAT</x:v>
      </x:c>
      <x:c r="H3014" t="str">
        <x:v>IAD</x:v>
      </x:c>
      <x:c r="I3014" t="str">
        <x:v>SAT</x:v>
      </x:c>
      <x:c r="J3014" s="23" t="n">
        <x:v>1961</x:v>
      </x:c>
      <x:c r="K3014" s="24" t="n">
        <x:v>0.17185109637939827</x:v>
      </x:c>
      <x:c r="L3014" s="24" t="n">
        <x:v>0.010198878123406425</x:v>
      </x:c>
    </x:row>
    <x:row r="3015">
      <x:c r="G3015" t="str">
        <x:v>ABE-SFB</x:v>
      </x:c>
      <x:c r="H3015" t="str">
        <x:v>ABE</x:v>
      </x:c>
      <x:c r="I3015" t="str">
        <x:v>SFB</x:v>
      </x:c>
      <x:c r="J3015" s="23" t="n">
        <x:v>1932</x:v>
      </x:c>
      <x:c r="K3015" s="24" t="n">
        <x:v>0.17184265010351968</x:v>
      </x:c>
      <x:c r="L3015" s="24" t="n">
        <x:v>0.006211180124223602</x:v>
      </x:c>
    </x:row>
    <x:row r="3016">
      <x:c r="G3016" t="str">
        <x:v>TUS-DEN</x:v>
      </x:c>
      <x:c r="H3016" t="str">
        <x:v>TUS</x:v>
      </x:c>
      <x:c r="I3016" t="str">
        <x:v>DEN</x:v>
      </x:c>
      <x:c r="J3016" s="23" t="n">
        <x:v>7533</x:v>
      </x:c>
      <x:c r="K3016" s="24" t="n">
        <x:v>0.1717775122793044</x:v>
      </x:c>
      <x:c r="L3016" s="24" t="n">
        <x:v>0.00796495420151334</x:v>
      </x:c>
    </x:row>
    <x:row r="3017">
      <x:c r="G3017" t="str">
        <x:v>MYR-BNA</x:v>
      </x:c>
      <x:c r="H3017" t="str">
        <x:v>MYR</x:v>
      </x:c>
      <x:c r="I3017" t="str">
        <x:v>BNA</x:v>
      </x:c>
      <x:c r="J3017" s="23" t="n">
        <x:v>1910</x:v>
      </x:c>
      <x:c r="K3017" s="24" t="n">
        <x:v>0.17172774869109947</x:v>
      </x:c>
      <x:c r="L3017" s="24" t="n">
        <x:v>0.007329842931937173</x:v>
      </x:c>
    </x:row>
    <x:row r="3018">
      <x:c r="G3018" t="str">
        <x:v>ABQ-PHX</x:v>
      </x:c>
      <x:c r="H3018" t="str">
        <x:v>ABQ</x:v>
      </x:c>
      <x:c r="I3018" t="str">
        <x:v>PHX</x:v>
      </x:c>
      <x:c r="J3018" s="23" t="n">
        <x:v>9621</x:v>
      </x:c>
      <x:c r="K3018" s="24" t="n">
        <x:v>0.17170772268994908</x:v>
      </x:c>
      <x:c r="L3018" s="24" t="n">
        <x:v>0.0038457540796175034</x:v>
      </x:c>
    </x:row>
    <x:row r="3019">
      <x:c r="G3019" t="str">
        <x:v>ANC-LAX</x:v>
      </x:c>
      <x:c r="H3019" t="str">
        <x:v>ANC</x:v>
      </x:c>
      <x:c r="I3019" t="str">
        <x:v>LAX</x:v>
      </x:c>
      <x:c r="J3019" s="23" t="n">
        <x:v>1060</x:v>
      </x:c>
      <x:c r="K3019" s="24" t="n">
        <x:v>0.17169811320754716</x:v>
      </x:c>
      <x:c r="L3019" s="24" t="n">
        <x:v>0.0047169811320754715</x:v>
      </x:c>
    </x:row>
    <x:row r="3020">
      <x:c r="G3020" t="str">
        <x:v>MDT-CLT</x:v>
      </x:c>
      <x:c r="H3020" t="str">
        <x:v>MDT</x:v>
      </x:c>
      <x:c r="I3020" t="str">
        <x:v>CLT</x:v>
      </x:c>
      <x:c r="J3020" s="23" t="n">
        <x:v>3396</x:v>
      </x:c>
      <x:c r="K3020" s="24" t="n">
        <x:v>0.17167255594817432</x:v>
      </x:c>
      <x:c r="L3020" s="24" t="n">
        <x:v>0.009128386336866903</x:v>
      </x:c>
    </x:row>
    <x:row r="3021">
      <x:c r="G3021" t="str">
        <x:v>MYR-CLT</x:v>
      </x:c>
      <x:c r="H3021" t="str">
        <x:v>MYR</x:v>
      </x:c>
      <x:c r="I3021" t="str">
        <x:v>CLT</x:v>
      </x:c>
      <x:c r="J3021" s="23" t="n">
        <x:v>7457</x:v>
      </x:c>
      <x:c r="K3021" s="24" t="n">
        <x:v>0.17165079790800591</x:v>
      </x:c>
      <x:c r="L3021" s="24" t="n">
        <x:v>0.016494568861472443</x:v>
      </x:c>
    </x:row>
    <x:row r="3022">
      <x:c r="G3022" t="str">
        <x:v>ATL-MYR</x:v>
      </x:c>
      <x:c r="H3022" t="str">
        <x:v>ATL</x:v>
      </x:c>
      <x:c r="I3022" t="str">
        <x:v>MYR</x:v>
      </x:c>
      <x:c r="J3022" s="23" t="n">
        <x:v>4300</x:v>
      </x:c>
      <x:c r="K3022" s="24" t="n">
        <x:v>0.17162790697674418</x:v>
      </x:c>
      <x:c r="L3022" s="24" t="n">
        <x:v>0.007906976744186046</x:v>
      </x:c>
    </x:row>
    <x:row r="3023">
      <x:c r="G3023" t="str">
        <x:v>JAX-BWI</x:v>
      </x:c>
      <x:c r="H3023" t="str">
        <x:v>JAX</x:v>
      </x:c>
      <x:c r="I3023" t="str">
        <x:v>BWI</x:v>
      </x:c>
      <x:c r="J3023" s="23" t="n">
        <x:v>4231</x:v>
      </x:c>
      <x:c r="K3023" s="24" t="n">
        <x:v>0.17159064051051762</x:v>
      </x:c>
      <x:c r="L3023" s="24" t="n">
        <x:v>0.01229023871425195</x:v>
      </x:c>
    </x:row>
    <x:row r="3024">
      <x:c r="G3024" t="str">
        <x:v>SFO-PHL</x:v>
      </x:c>
      <x:c r="H3024" t="str">
        <x:v>SFO</x:v>
      </x:c>
      <x:c r="I3024" t="str">
        <x:v>PHL</x:v>
      </x:c>
      <x:c r="J3024" s="23" t="n">
        <x:v>4575</x:v>
      </x:c>
      <x:c r="K3024" s="24" t="n">
        <x:v>0.17158469945355193</x:v>
      </x:c>
      <x:c r="L3024" s="24" t="n">
        <x:v>0.008306010928961749</x:v>
      </x:c>
    </x:row>
    <x:row r="3025">
      <x:c r="G3025" t="str">
        <x:v>CLT-FAY</x:v>
      </x:c>
      <x:c r="H3025" t="str">
        <x:v>CLT</x:v>
      </x:c>
      <x:c r="I3025" t="str">
        <x:v>FAY</x:v>
      </x:c>
      <x:c r="J3025" s="23" t="n">
        <x:v>1026</x:v>
      </x:c>
      <x:c r="K3025" s="24" t="n">
        <x:v>0.17153996101364521</x:v>
      </x:c>
      <x:c r="L3025" s="24" t="n">
        <x:v>0.011695906432748537</x:v>
      </x:c>
    </x:row>
    <x:row r="3026">
      <x:c r="G3026" t="str">
        <x:v>ATL-PIT</x:v>
      </x:c>
      <x:c r="H3026" t="str">
        <x:v>ATL</x:v>
      </x:c>
      <x:c r="I3026" t="str">
        <x:v>PIT</x:v>
      </x:c>
      <x:c r="J3026" s="23" t="n">
        <x:v>8422</x:v>
      </x:c>
      <x:c r="K3026" s="24" t="n">
        <x:v>0.17145571123248635</x:v>
      </x:c>
      <x:c r="L3026" s="24" t="n">
        <x:v>0.009498931370220851</x:v>
      </x:c>
    </x:row>
    <x:row r="3027">
      <x:c r="G3027" t="str">
        <x:v>DEN-RIW</x:v>
      </x:c>
      <x:c r="H3027" t="str">
        <x:v>DEN</x:v>
      </x:c>
      <x:c r="I3027" t="str">
        <x:v>RIW</x:v>
      </x:c>
      <x:c r="J3027" s="23" t="n">
        <x:v>1785</x:v>
      </x:c>
      <x:c r="K3027" s="24" t="n">
        <x:v>0.17142857142857143</x:v>
      </x:c>
      <x:c r="L3027" s="24" t="n">
        <x:v>0.011764705882352941</x:v>
      </x:c>
    </x:row>
    <x:row r="3028">
      <x:c r="G3028" t="str">
        <x:v>JFK-CLT</x:v>
      </x:c>
      <x:c r="H3028" t="str">
        <x:v>JFK</x:v>
      </x:c>
      <x:c r="I3028" t="str">
        <x:v>CLT</x:v>
      </x:c>
      <x:c r="J3028" s="23" t="n">
        <x:v>9238</x:v>
      </x:c>
      <x:c r="K3028" s="24" t="n">
        <x:v>0.1713574366746049</x:v>
      </x:c>
      <x:c r="L3028" s="24" t="n">
        <x:v>0.01980948257198528</x:v>
      </x:c>
    </x:row>
    <x:row r="3029">
      <x:c r="G3029" t="str">
        <x:v>OAK-PSP</x:v>
      </x:c>
      <x:c r="H3029" t="str">
        <x:v>OAK</x:v>
      </x:c>
      <x:c r="I3029" t="str">
        <x:v>PSP</x:v>
      </x:c>
      <x:c r="J3029" s="23" t="n">
        <x:v>1640</x:v>
      </x:c>
      <x:c r="K3029" s="24" t="n">
        <x:v>0.17134146341463416</x:v>
      </x:c>
      <x:c r="L3029" s="24" t="n">
        <x:v>0.001829268292682927</x:v>
      </x:c>
    </x:row>
    <x:row r="3030">
      <x:c r="G3030" t="str">
        <x:v>BHM-MDW</x:v>
      </x:c>
      <x:c r="H3030" t="str">
        <x:v>BHM</x:v>
      </x:c>
      <x:c r="I3030" t="str">
        <x:v>MDW</x:v>
      </x:c>
      <x:c r="J3030" s="23" t="n">
        <x:v>1821</x:v>
      </x:c>
      <x:c r="K3030" s="24" t="n">
        <x:v>0.171334431630972</x:v>
      </x:c>
      <x:c r="L3030" s="24" t="n">
        <x:v>0.009335529928610654</x:v>
      </x:c>
    </x:row>
    <x:row r="3031">
      <x:c r="G3031" t="str">
        <x:v>MKE-PHX</x:v>
      </x:c>
      <x:c r="H3031" t="str">
        <x:v>MKE</x:v>
      </x:c>
      <x:c r="I3031" t="str">
        <x:v>PHX</x:v>
      </x:c>
      <x:c r="J3031" s="23" t="n">
        <x:v>4134</x:v>
      </x:c>
      <x:c r="K3031" s="24" t="n">
        <x:v>0.17126269956458637</x:v>
      </x:c>
      <x:c r="L3031" s="24" t="n">
        <x:v>0.006531204644412192</x:v>
      </x:c>
    </x:row>
    <x:row r="3032">
      <x:c r="G3032" t="str">
        <x:v>MEM-MDW</x:v>
      </x:c>
      <x:c r="H3032" t="str">
        <x:v>MEM</x:v>
      </x:c>
      <x:c r="I3032" t="str">
        <x:v>MDW</x:v>
      </x:c>
      <x:c r="J3032" s="23" t="n">
        <x:v>1992</x:v>
      </x:c>
      <x:c r="K3032" s="24" t="n">
        <x:v>0.17118473895582328</x:v>
      </x:c>
      <x:c r="L3032" s="24" t="n">
        <x:v>0.012550200803212851</x:v>
      </x:c>
    </x:row>
    <x:row r="3033">
      <x:c r="G3033" t="str">
        <x:v>VPS-DAL</x:v>
      </x:c>
      <x:c r="H3033" t="str">
        <x:v>VPS</x:v>
      </x:c>
      <x:c r="I3033" t="str">
        <x:v>DAL</x:v>
      </x:c>
      <x:c r="J3033" s="23" t="n">
        <x:v>1221</x:v>
      </x:c>
      <x:c r="K3033" s="24" t="n">
        <x:v>0.17117117117117117</x:v>
      </x:c>
      <x:c r="L3033" s="24" t="n">
        <x:v>0.009828009828009828</x:v>
      </x:c>
    </x:row>
    <x:row r="3034">
      <x:c r="G3034" t="str">
        <x:v>SEA-FAT</x:v>
      </x:c>
      <x:c r="H3034" t="str">
        <x:v>SEA</x:v>
      </x:c>
      <x:c r="I3034" t="str">
        <x:v>FAT</x:v>
      </x:c>
      <x:c r="J3034" s="23" t="n">
        <x:v>2670</x:v>
      </x:c>
      <x:c r="K3034" s="24" t="n">
        <x:v>0.1711610486891386</x:v>
      </x:c>
      <x:c r="L3034" s="24" t="n">
        <x:v>0.006367041198501872</x:v>
      </x:c>
    </x:row>
    <x:row r="3035">
      <x:c r="G3035" t="str">
        <x:v>DCA-IAH</x:v>
      </x:c>
      <x:c r="H3035" t="str">
        <x:v>DCA</x:v>
      </x:c>
      <x:c r="I3035" t="str">
        <x:v>IAH</x:v>
      </x:c>
      <x:c r="J3035" s="23" t="n">
        <x:v>6894</x:v>
      </x:c>
      <x:c r="K3035" s="24" t="n">
        <x:v>0.17101827676240208</x:v>
      </x:c>
      <x:c r="L3035" s="24" t="n">
        <x:v>0.015665796344647518</x:v>
      </x:c>
    </x:row>
    <x:row r="3036">
      <x:c r="G3036" t="str">
        <x:v>FWA-MSP</x:v>
      </x:c>
      <x:c r="H3036" t="str">
        <x:v>FWA</x:v>
      </x:c>
      <x:c r="I3036" t="str">
        <x:v>MSP</x:v>
      </x:c>
      <x:c r="J3036" s="23" t="n">
        <x:v>1094</x:v>
      </x:c>
      <x:c r="K3036" s="24" t="n">
        <x:v>0.17093235831809872</x:v>
      </x:c>
      <x:c r="L3036" s="24" t="n">
        <x:v>0.008226691042047532</x:v>
      </x:c>
    </x:row>
    <x:row r="3037">
      <x:c r="G3037" t="str">
        <x:v>LGB-DEN</x:v>
      </x:c>
      <x:c r="H3037" t="str">
        <x:v>LGB</x:v>
      </x:c>
      <x:c r="I3037" t="str">
        <x:v>DEN</x:v>
      </x:c>
      <x:c r="J3037" s="23" t="n">
        <x:v>3212</x:v>
      </x:c>
      <x:c r="K3037" s="24" t="n">
        <x:v>0.17092154420921543</x:v>
      </x:c>
      <x:c r="L3037" s="24" t="n">
        <x:v>0.00809464508094645</x:v>
      </x:c>
    </x:row>
    <x:row r="3038">
      <x:c r="G3038" t="str">
        <x:v>DFW-SPS</x:v>
      </x:c>
      <x:c r="H3038" t="str">
        <x:v>DFW</x:v>
      </x:c>
      <x:c r="I3038" t="str">
        <x:v>SPS</x:v>
      </x:c>
      <x:c r="J3038" s="23" t="n">
        <x:v>2177</x:v>
      </x:c>
      <x:c r="K3038" s="24" t="n">
        <x:v>0.17087735415709693</x:v>
      </x:c>
      <x:c r="L3038" s="24" t="n">
        <x:v>0.028938906752411574</x:v>
      </x:c>
    </x:row>
    <x:row r="3039">
      <x:c r="G3039" t="str">
        <x:v>OKC-HOU</x:v>
      </x:c>
      <x:c r="H3039" t="str">
        <x:v>OKC</x:v>
      </x:c>
      <x:c r="I3039" t="str">
        <x:v>HOU</x:v>
      </x:c>
      <x:c r="J3039" s="23" t="n">
        <x:v>3974</x:v>
      </x:c>
      <x:c r="K3039" s="24" t="n">
        <x:v>0.1708605938600906</x:v>
      </x:c>
      <x:c r="L3039" s="24" t="n">
        <x:v>0.00805234021137393</x:v>
      </x:c>
    </x:row>
    <x:row r="3040">
      <x:c r="G3040" t="str">
        <x:v>GEG-DEN</x:v>
      </x:c>
      <x:c r="H3040" t="str">
        <x:v>GEG</x:v>
      </x:c>
      <x:c r="I3040" t="str">
        <x:v>DEN</x:v>
      </x:c>
      <x:c r="J3040" s="23" t="n">
        <x:v>5803</x:v>
      </x:c>
      <x:c r="K3040" s="24" t="n">
        <x:v>0.170773737721868</x:v>
      </x:c>
      <x:c r="L3040" s="24" t="n">
        <x:v>0.007409960365328278</x:v>
      </x:c>
    </x:row>
    <x:row r="3041">
      <x:c r="G3041" t="str">
        <x:v>TYS-DEN</x:v>
      </x:c>
      <x:c r="H3041" t="str">
        <x:v>TYS</x:v>
      </x:c>
      <x:c r="I3041" t="str">
        <x:v>DEN</x:v>
      </x:c>
      <x:c r="J3041" s="23" t="n">
        <x:v>2806</x:v>
      </x:c>
      <x:c r="K3041" s="24" t="n">
        <x:v>0.1707056307911618</x:v>
      </x:c>
      <x:c r="L3041" s="24" t="n">
        <x:v>0.006414825374198147</x:v>
      </x:c>
    </x:row>
    <x:row r="3042">
      <x:c r="G3042" t="str">
        <x:v>SNA-DAL</x:v>
      </x:c>
      <x:c r="H3042" t="str">
        <x:v>SNA</x:v>
      </x:c>
      <x:c r="I3042" t="str">
        <x:v>DAL</x:v>
      </x:c>
      <x:c r="J3042" s="23" t="n">
        <x:v>1102</x:v>
      </x:c>
      <x:c r="K3042" s="24" t="n">
        <x:v>0.1705989110707804</x:v>
      </x:c>
      <x:c r="L3042" s="24" t="n">
        <x:v>0.008166969147005444</x:v>
      </x:c>
    </x:row>
    <x:row r="3043">
      <x:c r="G3043" t="str">
        <x:v>SLC-LAX</x:v>
      </x:c>
      <x:c r="H3043" t="str">
        <x:v>SLC</x:v>
      </x:c>
      <x:c r="I3043" t="str">
        <x:v>LAX</x:v>
      </x:c>
      <x:c r="J3043" s="23" t="n">
        <x:v>13014</x:v>
      </x:c>
      <x:c r="K3043" s="24" t="n">
        <x:v>0.17058552328261872</x:v>
      </x:c>
      <x:c r="L3043" s="24" t="n">
        <x:v>0.004764100199784847</x:v>
      </x:c>
    </x:row>
    <x:row r="3044">
      <x:c r="G3044" t="str">
        <x:v>MCI-LGA</x:v>
      </x:c>
      <x:c r="H3044" t="str">
        <x:v>MCI</x:v>
      </x:c>
      <x:c r="I3044" t="str">
        <x:v>LGA</x:v>
      </x:c>
      <x:c r="J3044" s="23" t="n">
        <x:v>5956</x:v>
      </x:c>
      <x:c r="K3044" s="24" t="n">
        <x:v>0.17058428475486903</x:v>
      </x:c>
      <x:c r="L3044" s="24" t="n">
        <x:v>0.02921423774345198</x:v>
      </x:c>
    </x:row>
    <x:row r="3045">
      <x:c r="G3045" t="str">
        <x:v>ATL-LFT</x:v>
      </x:c>
      <x:c r="H3045" t="str">
        <x:v>ATL</x:v>
      </x:c>
      <x:c r="I3045" t="str">
        <x:v>LFT</x:v>
      </x:c>
      <x:c r="J3045" s="23" t="n">
        <x:v>2293</x:v>
      </x:c>
      <x:c r="K3045" s="24" t="n">
        <x:v>0.1705189707806367</x:v>
      </x:c>
      <x:c r="L3045" s="24" t="n">
        <x:v>0.006105538595726123</x:v>
      </x:c>
    </x:row>
    <x:row r="3046">
      <x:c r="G3046" t="str">
        <x:v>DFW-AEX</x:v>
      </x:c>
      <x:c r="H3046" t="str">
        <x:v>DFW</x:v>
      </x:c>
      <x:c r="I3046" t="str">
        <x:v>AEX</x:v>
      </x:c>
      <x:c r="J3046" s="23" t="n">
        <x:v>3255</x:v>
      </x:c>
      <x:c r="K3046" s="24" t="n">
        <x:v>0.17050691244239632</x:v>
      </x:c>
      <x:c r="L3046" s="24" t="n">
        <x:v>0.031029185867895544</x:v>
      </x:c>
    </x:row>
    <x:row r="3047">
      <x:c r="G3047" t="str">
        <x:v>PHX-LBB</x:v>
      </x:c>
      <x:c r="H3047" t="str">
        <x:v>PHX</x:v>
      </x:c>
      <x:c r="I3047" t="str">
        <x:v>LBB</x:v>
      </x:c>
      <x:c r="J3047" s="23" t="n">
        <x:v>1097</x:v>
      </x:c>
      <x:c r="K3047" s="24" t="n">
        <x:v>0.17046490428441202</x:v>
      </x:c>
      <x:c r="L3047" s="24" t="n">
        <x:v>0.0036463081130355514</x:v>
      </x:c>
    </x:row>
    <x:row r="3048">
      <x:c r="G3048" t="str">
        <x:v>ATL-GRR</x:v>
      </x:c>
      <x:c r="H3048" t="str">
        <x:v>ATL</x:v>
      </x:c>
      <x:c r="I3048" t="str">
        <x:v>GRR</x:v>
      </x:c>
      <x:c r="J3048" s="23" t="n">
        <x:v>4156</x:v>
      </x:c>
      <x:c r="K3048" s="24" t="n">
        <x:v>0.17035611164581327</x:v>
      </x:c>
      <x:c r="L3048" s="24" t="n">
        <x:v>0.01010587102983638</x:v>
      </x:c>
    </x:row>
    <x:row r="3049">
      <x:c r="G3049" t="str">
        <x:v>MSY-MCI</x:v>
      </x:c>
      <x:c r="H3049" t="str">
        <x:v>MSY</x:v>
      </x:c>
      <x:c r="I3049" t="str">
        <x:v>MCI</x:v>
      </x:c>
      <x:c r="J3049" s="23" t="n">
        <x:v>1180</x:v>
      </x:c>
      <x:c r="K3049" s="24" t="n">
        <x:v>0.17033898305084746</x:v>
      </x:c>
      <x:c r="L3049" s="24" t="n">
        <x:v>0.005932203389830509</x:v>
      </x:c>
    </x:row>
    <x:row r="3050">
      <x:c r="G3050" t="str">
        <x:v>RNO-DEN</x:v>
      </x:c>
      <x:c r="H3050" t="str">
        <x:v>RNO</x:v>
      </x:c>
      <x:c r="I3050" t="str">
        <x:v>DEN</x:v>
      </x:c>
      <x:c r="J3050" s="23" t="n">
        <x:v>7417</x:v>
      </x:c>
      <x:c r="K3050" s="24" t="n">
        <x:v>0.17028448159633275</x:v>
      </x:c>
      <x:c r="L3050" s="24" t="n">
        <x:v>0.007415397060806256</x:v>
      </x:c>
    </x:row>
    <x:row r="3051">
      <x:c r="G3051" t="str">
        <x:v>JFK-STT</x:v>
      </x:c>
      <x:c r="H3051" t="str">
        <x:v>JFK</x:v>
      </x:c>
      <x:c r="I3051" t="str">
        <x:v>STT</x:v>
      </x:c>
      <x:c r="J3051" s="23" t="n">
        <x:v>1615</x:v>
      </x:c>
      <x:c r="K3051" s="24" t="n">
        <x:v>0.17027863777089783</x:v>
      </x:c>
      <x:c r="L3051" s="24" t="n">
        <x:v>0.0030959752321981426</x:v>
      </x:c>
    </x:row>
    <x:row r="3052">
      <x:c r="G3052" t="str">
        <x:v>SMF-SEA</x:v>
      </x:c>
      <x:c r="H3052" t="str">
        <x:v>SMF</x:v>
      </x:c>
      <x:c r="I3052" t="str">
        <x:v>SEA</x:v>
      </x:c>
      <x:c r="J3052" s="23" t="n">
        <x:v>12454</x:v>
      </x:c>
      <x:c r="K3052" s="24" t="n">
        <x:v>0.17022643327444997</x:v>
      </x:c>
      <x:c r="L3052" s="24" t="n">
        <x:v>0.0034527059579251645</x:v>
      </x:c>
    </x:row>
    <x:row r="3053">
      <x:c r="G3053" t="str">
        <x:v>JNU-PSG</x:v>
      </x:c>
      <x:c r="H3053" t="str">
        <x:v>JNU</x:v>
      </x:c>
      <x:c r="I3053" t="str">
        <x:v>PSG</x:v>
      </x:c>
      <x:c r="J3053" s="23" t="n">
        <x:v>1087</x:v>
      </x:c>
      <x:c r="K3053" s="24" t="n">
        <x:v>0.1701931922723091</x:v>
      </x:c>
      <x:c r="L3053" s="24" t="n">
        <x:v>0.007359705611775529</x:v>
      </x:c>
    </x:row>
    <x:row r="3054">
      <x:c r="G3054" t="str">
        <x:v>LGA-MEM</x:v>
      </x:c>
      <x:c r="H3054" t="str">
        <x:v>LGA</x:v>
      </x:c>
      <x:c r="I3054" t="str">
        <x:v>MEM</x:v>
      </x:c>
      <x:c r="J3054" s="23" t="n">
        <x:v>4043</x:v>
      </x:c>
      <x:c r="K3054" s="24" t="n">
        <x:v>0.1701706653475142</x:v>
      </x:c>
      <x:c r="L3054" s="24" t="n">
        <x:v>0.034627751669552315</x:v>
      </x:c>
    </x:row>
    <x:row r="3055">
      <x:c r="G3055" t="str">
        <x:v>PIT-SFO</x:v>
      </x:c>
      <x:c r="H3055" t="str">
        <x:v>PIT</x:v>
      </x:c>
      <x:c r="I3055" t="str">
        <x:v>SFO</x:v>
      </x:c>
      <x:c r="J3055" s="23" t="n">
        <x:v>1634</x:v>
      </x:c>
      <x:c r="K3055" s="24" t="n">
        <x:v>0.1701346389228886</x:v>
      </x:c>
      <x:c r="L3055" s="24" t="n">
        <x:v>0.0073439412484700125</x:v>
      </x:c>
    </x:row>
    <x:row r="3056">
      <x:c r="G3056" t="str">
        <x:v>PVD-ATL</x:v>
      </x:c>
      <x:c r="H3056" t="str">
        <x:v>PVD</x:v>
      </x:c>
      <x:c r="I3056" t="str">
        <x:v>ATL</x:v>
      </x:c>
      <x:c r="J3056" s="23" t="n">
        <x:v>3033</x:v>
      </x:c>
      <x:c r="K3056" s="24" t="n">
        <x:v>0.17012858555885263</x:v>
      </x:c>
      <x:c r="L3056" s="24" t="n">
        <x:v>0.012199142762940983</x:v>
      </x:c>
    </x:row>
    <x:row r="3057">
      <x:c r="G3057" t="str">
        <x:v>SUN-DEN</x:v>
      </x:c>
      <x:c r="H3057" t="str">
        <x:v>SUN</x:v>
      </x:c>
      <x:c r="I3057" t="str">
        <x:v>DEN</x:v>
      </x:c>
      <x:c r="J3057" s="23" t="n">
        <x:v>1658</x:v>
      </x:c>
      <x:c r="K3057" s="24" t="n">
        <x:v>0.1700844390832328</x:v>
      </x:c>
      <x:c r="L3057" s="24" t="n">
        <x:v>0.013872135102533172</x:v>
      </x:c>
    </x:row>
    <x:row r="3058">
      <x:c r="G3058" t="str">
        <x:v>RSW-ACY</x:v>
      </x:c>
      <x:c r="H3058" t="str">
        <x:v>RSW</x:v>
      </x:c>
      <x:c r="I3058" t="str">
        <x:v>ACY</x:v>
      </x:c>
      <x:c r="J3058" s="23" t="n">
        <x:v>1229</x:v>
      </x:c>
      <x:c r="K3058" s="24" t="n">
        <x:v>0.17005695687550854</x:v>
      </x:c>
      <x:c r="L3058" s="24" t="n">
        <x:v>0.015459723352318959</x:v>
      </x:c>
    </x:row>
    <x:row r="3059">
      <x:c r="G3059" t="str">
        <x:v>SAN-PDX</x:v>
      </x:c>
      <x:c r="H3059" t="str">
        <x:v>SAN</x:v>
      </x:c>
      <x:c r="I3059" t="str">
        <x:v>PDX</x:v>
      </x:c>
      <x:c r="J3059" s="23" t="n">
        <x:v>5029</x:v>
      </x:c>
      <x:c r="K3059" s="24" t="n">
        <x:v>0.1700139192682442</x:v>
      </x:c>
      <x:c r="L3059" s="24" t="n">
        <x:v>0.01570888844700736</x:v>
      </x:c>
    </x:row>
    <x:row r="3060">
      <x:c r="G3060" t="str">
        <x:v>DFW-LCH</x:v>
      </x:c>
      <x:c r="H3060" t="str">
        <x:v>DFW</x:v>
      </x:c>
      <x:c r="I3060" t="str">
        <x:v>LCH</x:v>
      </x:c>
      <x:c r="J3060" s="23" t="n">
        <x:v>3241</x:v>
      </x:c>
      <x:c r="K3060" s="24" t="n">
        <x:v>0.17000925640234496</x:v>
      </x:c>
      <x:c r="L3060" s="24" t="n">
        <x:v>0.03332304844183894</x:v>
      </x:c>
    </x:row>
    <x:row r="3061">
      <x:c r="G3061" t="str">
        <x:v>ATL-MGM</x:v>
      </x:c>
      <x:c r="H3061" t="str">
        <x:v>ATL</x:v>
      </x:c>
      <x:c r="I3061" t="str">
        <x:v>MGM</x:v>
      </x:c>
      <x:c r="J3061" s="23" t="n">
        <x:v>3494</x:v>
      </x:c>
      <x:c r="K3061" s="24" t="n">
        <x:v>0.1700057240984545</x:v>
      </x:c>
      <x:c r="L3061" s="24" t="n">
        <x:v>0.008013737836290785</x:v>
      </x:c>
    </x:row>
    <x:row r="3062">
      <x:c r="G3062" t="str">
        <x:v>RDU-LAX</x:v>
      </x:c>
      <x:c r="H3062" t="str">
        <x:v>RDU</x:v>
      </x:c>
      <x:c r="I3062" t="str">
        <x:v>LAX</x:v>
      </x:c>
      <x:c r="J3062" s="23" t="n">
        <x:v>2165</x:v>
      </x:c>
      <x:c r="K3062" s="24" t="n">
        <x:v>0.16997690531177828</x:v>
      </x:c>
      <x:c r="L3062" s="24" t="n">
        <x:v>0.004157043879907622</x:v>
      </x:c>
    </x:row>
    <x:row r="3063">
      <x:c r="G3063" t="str">
        <x:v>COS-IAH</x:v>
      </x:c>
      <x:c r="H3063" t="str">
        <x:v>COS</x:v>
      </x:c>
      <x:c r="I3063" t="str">
        <x:v>IAH</x:v>
      </x:c>
      <x:c r="J3063" s="23" t="n">
        <x:v>1059</x:v>
      </x:c>
      <x:c r="K3063" s="24" t="n">
        <x:v>0.16997167138810199</x:v>
      </x:c>
      <x:c r="L3063" s="24" t="n">
        <x:v>0.0113314447592068</x:v>
      </x:c>
    </x:row>
    <x:row r="3064">
      <x:c r="G3064" t="str">
        <x:v>SFO-IAH</x:v>
      </x:c>
      <x:c r="H3064" t="str">
        <x:v>SFO</x:v>
      </x:c>
      <x:c r="I3064" t="str">
        <x:v>IAH</x:v>
      </x:c>
      <x:c r="J3064" s="23" t="n">
        <x:v>9714</x:v>
      </x:c>
      <x:c r="K3064" s="24" t="n">
        <x:v>0.1699608812023883</x:v>
      </x:c>
      <x:c r="L3064" s="24" t="n">
        <x:v>0.010809141445336628</x:v>
      </x:c>
    </x:row>
    <x:row r="3065">
      <x:c r="G3065" t="str">
        <x:v>MSP-ATW</x:v>
      </x:c>
      <x:c r="H3065" t="str">
        <x:v>MSP</x:v>
      </x:c>
      <x:c r="I3065" t="str">
        <x:v>ATW</x:v>
      </x:c>
      <x:c r="J3065" s="23" t="n">
        <x:v>2695</x:v>
      </x:c>
      <x:c r="K3065" s="24" t="n">
        <x:v>0.1699443413729128</x:v>
      </x:c>
      <x:c r="L3065" s="24" t="n">
        <x:v>0.010018552875695733</x:v>
      </x:c>
    </x:row>
    <x:row r="3066">
      <x:c r="G3066" t="str">
        <x:v>LAS-AMA</x:v>
      </x:c>
      <x:c r="H3066" t="str">
        <x:v>LAS</x:v>
      </x:c>
      <x:c r="I3066" t="str">
        <x:v>AMA</x:v>
      </x:c>
      <x:c r="J3066" s="23" t="n">
        <x:v>1095</x:v>
      </x:c>
      <x:c r="K3066" s="24" t="n">
        <x:v>0.16986301369863013</x:v>
      </x:c>
      <x:c r="L3066" s="24" t="n">
        <x:v>0.0045662100456621</x:v>
      </x:c>
    </x:row>
    <x:row r="3067">
      <x:c r="G3067" t="str">
        <x:v>JAX-DTW</x:v>
      </x:c>
      <x:c r="H3067" t="str">
        <x:v>JAX</x:v>
      </x:c>
      <x:c r="I3067" t="str">
        <x:v>DTW</x:v>
      </x:c>
      <x:c r="J3067" s="23" t="n">
        <x:v>1619</x:v>
      </x:c>
      <x:c r="K3067" s="24" t="n">
        <x:v>0.169857936998147</x:v>
      </x:c>
      <x:c r="L3067" s="24" t="n">
        <x:v>0.012353304508956145</x:v>
      </x:c>
    </x:row>
    <x:row r="3068">
      <x:c r="G3068" t="str">
        <x:v>HOU-ATL</x:v>
      </x:c>
      <x:c r="H3068" t="str">
        <x:v>HOU</x:v>
      </x:c>
      <x:c r="I3068" t="str">
        <x:v>ATL</x:v>
      </x:c>
      <x:c r="J3068" s="23" t="n">
        <x:v>9361</x:v>
      </x:c>
      <x:c r="K3068" s="24" t="n">
        <x:v>0.16985364811451767</x:v>
      </x:c>
      <x:c r="L3068" s="24" t="n">
        <x:v>0.009828009828009828</x:v>
      </x:c>
    </x:row>
    <x:row r="3069">
      <x:c r="G3069" t="str">
        <x:v>SFO-MCI</x:v>
      </x:c>
      <x:c r="H3069" t="str">
        <x:v>SFO</x:v>
      </x:c>
      <x:c r="I3069" t="str">
        <x:v>MCI</x:v>
      </x:c>
      <x:c r="J3069" s="23" t="n">
        <x:v>1178</x:v>
      </x:c>
      <x:c r="K3069" s="24" t="n">
        <x:v>0.1697792869269949</x:v>
      </x:c>
      <x:c r="L3069" s="24" t="n">
        <x:v>0.00933786078098472</x:v>
      </x:c>
    </x:row>
    <x:row r="3070">
      <x:c r="G3070" t="str">
        <x:v>PHX-ELP</x:v>
      </x:c>
      <x:c r="H3070" t="str">
        <x:v>PHX</x:v>
      </x:c>
      <x:c r="I3070" t="str">
        <x:v>ELP</x:v>
      </x:c>
      <x:c r="J3070" s="23" t="n">
        <x:v>7771</x:v>
      </x:c>
      <x:c r="K3070" s="24" t="n">
        <x:v>0.16973362501608544</x:v>
      </x:c>
      <x:c r="L3070" s="24" t="n">
        <x:v>0.004889975550122249</x:v>
      </x:c>
    </x:row>
    <x:row r="3071">
      <x:c r="G3071" t="str">
        <x:v>MDT-DFW</x:v>
      </x:c>
      <x:c r="H3071" t="str">
        <x:v>MDT</x:v>
      </x:c>
      <x:c r="I3071" t="str">
        <x:v>DFW</x:v>
      </x:c>
      <x:c r="J3071" s="23" t="n">
        <x:v>1096</x:v>
      </x:c>
      <x:c r="K3071" s="24" t="n">
        <x:v>0.16970802919708028</x:v>
      </x:c>
      <x:c r="L3071" s="24" t="n">
        <x:v>0.012773722627737226</x:v>
      </x:c>
    </x:row>
    <x:row r="3072">
      <x:c r="G3072" t="str">
        <x:v>BUF-MDW</x:v>
      </x:c>
      <x:c r="H3072" t="str">
        <x:v>BUF</x:v>
      </x:c>
      <x:c r="I3072" t="str">
        <x:v>MDW</x:v>
      </x:c>
      <x:c r="J3072" s="23" t="n">
        <x:v>2428</x:v>
      </x:c>
      <x:c r="K3072" s="24" t="n">
        <x:v>0.1696869851729819</x:v>
      </x:c>
      <x:c r="L3072" s="24" t="n">
        <x:v>0.01400329489291598</x:v>
      </x:c>
    </x:row>
    <x:row r="3073">
      <x:c r="G3073" t="str">
        <x:v>FSD-MSP</x:v>
      </x:c>
      <x:c r="H3073" t="str">
        <x:v>FSD</x:v>
      </x:c>
      <x:c r="I3073" t="str">
        <x:v>MSP</x:v>
      </x:c>
      <x:c r="J3073" s="23" t="n">
        <x:v>3997</x:v>
      </x:c>
      <x:c r="K3073" s="24" t="n">
        <x:v>0.16962722041531147</x:v>
      </x:c>
      <x:c r="L3073" s="24" t="n">
        <x:v>0.010507880910683012</x:v>
      </x:c>
    </x:row>
    <x:row r="3074">
      <x:c r="G3074" t="str">
        <x:v>HNL-SJC</x:v>
      </x:c>
      <x:c r="H3074" t="str">
        <x:v>HNL</x:v>
      </x:c>
      <x:c r="I3074" t="str">
        <x:v>SJC</x:v>
      </x:c>
      <x:c r="J3074" s="23" t="n">
        <x:v>3720</x:v>
      </x:c>
      <x:c r="K3074" s="24" t="n">
        <x:v>0.1696236559139785</x:v>
      </x:c>
      <x:c r="L3074" s="24" t="n">
        <x:v>0.004838709677419355</x:v>
      </x:c>
    </x:row>
    <x:row r="3075">
      <x:c r="G3075" t="str">
        <x:v>DFW-FSM</x:v>
      </x:c>
      <x:c r="H3075" t="str">
        <x:v>DFW</x:v>
      </x:c>
      <x:c r="I3075" t="str">
        <x:v>FSM</x:v>
      </x:c>
      <x:c r="J3075" s="23" t="n">
        <x:v>3427</x:v>
      </x:c>
      <x:c r="K3075" s="24" t="n">
        <x:v>0.16953603735045228</x:v>
      </x:c>
      <x:c r="L3075" s="24" t="n">
        <x:v>0.026845637583892617</x:v>
      </x:c>
    </x:row>
    <x:row r="3076">
      <x:c r="G3076" t="str">
        <x:v>EYW-ATL</x:v>
      </x:c>
      <x:c r="H3076" t="str">
        <x:v>EYW</x:v>
      </x:c>
      <x:c r="I3076" t="str">
        <x:v>ATL</x:v>
      </x:c>
      <x:c r="J3076" s="23" t="n">
        <x:v>4414</x:v>
      </x:c>
      <x:c r="K3076" s="24" t="n">
        <x:v>0.16946080652469417</x:v>
      </x:c>
      <x:c r="L3076" s="24" t="n">
        <x:v>0.013140009062075216</x:v>
      </x:c>
    </x:row>
    <x:row r="3077">
      <x:c r="G3077" t="str">
        <x:v>ATL-CVG</x:v>
      </x:c>
      <x:c r="H3077" t="str">
        <x:v>ATL</x:v>
      </x:c>
      <x:c r="I3077" t="str">
        <x:v>CVG</x:v>
      </x:c>
      <x:c r="J3077" s="23" t="n">
        <x:v>8491</x:v>
      </x:c>
      <x:c r="K3077" s="24" t="n">
        <x:v>0.16935578848192204</x:v>
      </x:c>
      <x:c r="L3077" s="24" t="n">
        <x:v>0.01059945824991167</x:v>
      </x:c>
    </x:row>
    <x:row r="3078">
      <x:c r="G3078" t="str">
        <x:v>LAX-BNA</x:v>
      </x:c>
      <x:c r="H3078" t="str">
        <x:v>LAX</x:v>
      </x:c>
      <x:c r="I3078" t="str">
        <x:v>BNA</x:v>
      </x:c>
      <x:c r="J3078" s="23" t="n">
        <x:v>6366</x:v>
      </x:c>
      <x:c r="K3078" s="24" t="n">
        <x:v>0.16933710336160854</x:v>
      </x:c>
      <x:c r="L3078" s="24" t="n">
        <x:v>0.007225887527489789</x:v>
      </x:c>
    </x:row>
    <x:row r="3079">
      <x:c r="G3079" t="str">
        <x:v>SFO-TUS</x:v>
      </x:c>
      <x:c r="H3079" t="str">
        <x:v>SFO</x:v>
      </x:c>
      <x:c r="I3079" t="str">
        <x:v>TUS</x:v>
      </x:c>
      <x:c r="J3079" s="23" t="n">
        <x:v>2788</x:v>
      </x:c>
      <x:c r="K3079" s="24" t="n">
        <x:v>0.16929698708751795</x:v>
      </x:c>
      <x:c r="L3079" s="24" t="n">
        <x:v>0.005380200860832138</x:v>
      </x:c>
    </x:row>
    <x:row r="3080">
      <x:c r="G3080" t="str">
        <x:v>TLH-DCA</x:v>
      </x:c>
      <x:c r="H3080" t="str">
        <x:v>TLH</x:v>
      </x:c>
      <x:c r="I3080" t="str">
        <x:v>DCA</x:v>
      </x:c>
      <x:c r="J3080" s="23" t="n">
        <x:v>1099</x:v>
      </x:c>
      <x:c r="K3080" s="24" t="n">
        <x:v>0.16924476797088261</x:v>
      </x:c>
      <x:c r="L3080" s="24" t="n">
        <x:v>0.026387625113739762</x:v>
      </x:c>
    </x:row>
    <x:row r="3081">
      <x:c r="G3081" t="str">
        <x:v>ORH-JFK</x:v>
      </x:c>
      <x:c r="H3081" t="str">
        <x:v>ORH</x:v>
      </x:c>
      <x:c r="I3081" t="str">
        <x:v>JFK</x:v>
      </x:c>
      <x:c r="J3081" s="23" t="n">
        <x:v>1229</x:v>
      </x:c>
      <x:c r="K3081" s="24" t="n">
        <x:v>0.16924328722538648</x:v>
      </x:c>
      <x:c r="L3081" s="24" t="n">
        <x:v>0.04068348250610252</x:v>
      </x:c>
    </x:row>
    <x:row r="3082">
      <x:c r="G3082" t="str">
        <x:v>PHX-SEA</x:v>
      </x:c>
      <x:c r="H3082" t="str">
        <x:v>PHX</x:v>
      </x:c>
      <x:c r="I3082" t="str">
        <x:v>SEA</x:v>
      </x:c>
      <x:c r="J3082" s="23" t="n">
        <x:v>21498</x:v>
      </x:c>
      <x:c r="K3082" s="24" t="n">
        <x:v>0.16922504419015721</x:v>
      </x:c>
      <x:c r="L3082" s="24" t="n">
        <x:v>0.005721462461624337</x:v>
      </x:c>
    </x:row>
    <x:row r="3083">
      <x:c r="G3083" t="str">
        <x:v>LGB-AUS</x:v>
      </x:c>
      <x:c r="H3083" t="str">
        <x:v>LGB</x:v>
      </x:c>
      <x:c r="I3083" t="str">
        <x:v>AUS</x:v>
      </x:c>
      <x:c r="J3083" s="23" t="n">
        <x:v>1761</x:v>
      </x:c>
      <x:c r="K3083" s="24" t="n">
        <x:v>0.1692220329358319</x:v>
      </x:c>
      <x:c r="L3083" s="24" t="n">
        <x:v>0.005110732538330494</x:v>
      </x:c>
    </x:row>
    <x:row r="3084">
      <x:c r="G3084" t="str">
        <x:v>LGA-RIC</x:v>
      </x:c>
      <x:c r="H3084" t="str">
        <x:v>LGA</x:v>
      </x:c>
      <x:c r="I3084" t="str">
        <x:v>RIC</x:v>
      </x:c>
      <x:c r="J3084" s="23" t="n">
        <x:v>6318</x:v>
      </x:c>
      <x:c r="K3084" s="24" t="n">
        <x:v>0.16919911364355808</x:v>
      </x:c>
      <x:c r="L3084" s="24" t="n">
        <x:v>0.04083570750237417</x:v>
      </x:c>
    </x:row>
    <x:row r="3085">
      <x:c r="G3085" t="str">
        <x:v>PIT-MDW</x:v>
      </x:c>
      <x:c r="H3085" t="str">
        <x:v>PIT</x:v>
      </x:c>
      <x:c r="I3085" t="str">
        <x:v>MDW</x:v>
      </x:c>
      <x:c r="J3085" s="23" t="n">
        <x:v>3765</x:v>
      </x:c>
      <x:c r="K3085" s="24" t="n">
        <x:v>0.1691899070385126</x:v>
      </x:c>
      <x:c r="L3085" s="24" t="n">
        <x:v>0.011155378486055778</x:v>
      </x:c>
    </x:row>
    <x:row r="3086">
      <x:c r="G3086" t="str">
        <x:v>MSP-MDW</x:v>
      </x:c>
      <x:c r="H3086" t="str">
        <x:v>MSP</x:v>
      </x:c>
      <x:c r="I3086" t="str">
        <x:v>MDW</x:v>
      </x:c>
      <x:c r="J3086" s="23" t="n">
        <x:v>8970</x:v>
      </x:c>
      <x:c r="K3086" s="24" t="n">
        <x:v>0.16911928651059085</x:v>
      </x:c>
      <x:c r="L3086" s="24" t="n">
        <x:v>0.013377926421404682</x:v>
      </x:c>
    </x:row>
    <x:row r="3087">
      <x:c r="G3087" t="str">
        <x:v>BUR-DFW</x:v>
      </x:c>
      <x:c r="H3087" t="str">
        <x:v>BUR</x:v>
      </x:c>
      <x:c r="I3087" t="str">
        <x:v>DFW</x:v>
      </x:c>
      <x:c r="J3087" s="23" t="n">
        <x:v>2183</x:v>
      </x:c>
      <x:c r="K3087" s="24" t="n">
        <x:v>0.1690334402198809</x:v>
      </x:c>
      <x:c r="L3087" s="24" t="n">
        <x:v>0.019697663765460376</x:v>
      </x:c>
    </x:row>
    <x:row r="3088">
      <x:c r="G3088" t="str">
        <x:v>MSP-FLL</x:v>
      </x:c>
      <x:c r="H3088" t="str">
        <x:v>MSP</x:v>
      </x:c>
      <x:c r="I3088" t="str">
        <x:v>FLL</x:v>
      </x:c>
      <x:c r="J3088" s="23" t="n">
        <x:v>2124</x:v>
      </x:c>
      <x:c r="K3088" s="24" t="n">
        <x:v>0.1690207156308851</x:v>
      </x:c>
      <x:c r="L3088" s="24" t="n">
        <x:v>0.008945386064030132</x:v>
      </x:c>
    </x:row>
    <x:row r="3089">
      <x:c r="G3089" t="str">
        <x:v>MSP-LAS</x:v>
      </x:c>
      <x:c r="H3089" t="str">
        <x:v>MSP</x:v>
      </x:c>
      <x:c r="I3089" t="str">
        <x:v>LAS</x:v>
      </x:c>
      <x:c r="J3089" s="23" t="n">
        <x:v>7893</x:v>
      </x:c>
      <x:c r="K3089" s="24" t="n">
        <x:v>0.16901051564677563</x:v>
      </x:c>
      <x:c r="L3089" s="24" t="n">
        <x:v>0.008235145065247688</x:v>
      </x:c>
    </x:row>
    <x:row r="3090">
      <x:c r="G3090" t="str">
        <x:v>RSW-DTW</x:v>
      </x:c>
      <x:c r="H3090" t="str">
        <x:v>RSW</x:v>
      </x:c>
      <x:c r="I3090" t="str">
        <x:v>DTW</x:v>
      </x:c>
      <x:c r="J3090" s="23" t="n">
        <x:v>5551</x:v>
      </x:c>
      <x:c r="K3090" s="24" t="n">
        <x:v>0.16897856242118536</x:v>
      </x:c>
      <x:c r="L3090" s="24" t="n">
        <x:v>0.01405152224824356</x:v>
      </x:c>
    </x:row>
    <x:row r="3091">
      <x:c r="G3091" t="str">
        <x:v>MSP-SMF</x:v>
      </x:c>
      <x:c r="H3091" t="str">
        <x:v>MSP</x:v>
      </x:c>
      <x:c r="I3091" t="str">
        <x:v>SMF</x:v>
      </x:c>
      <x:c r="J3091" s="23" t="n">
        <x:v>1669</x:v>
      </x:c>
      <x:c r="K3091" s="24" t="n">
        <x:v>0.16896345116836428</x:v>
      </x:c>
      <x:c r="L3091" s="24" t="n">
        <x:v>0.004793289394847214</x:v>
      </x:c>
    </x:row>
    <x:row r="3092">
      <x:c r="G3092" t="str">
        <x:v>SMF-DEN</x:v>
      </x:c>
      <x:c r="H3092" t="str">
        <x:v>SMF</x:v>
      </x:c>
      <x:c r="I3092" t="str">
        <x:v>DEN</x:v>
      </x:c>
      <x:c r="J3092" s="23" t="n">
        <x:v>11817</x:v>
      </x:c>
      <x:c r="K3092" s="24" t="n">
        <x:v>0.1689091986121689</x:v>
      </x:c>
      <x:c r="L3092" s="24" t="n">
        <x:v>0.008208513159008208</x:v>
      </x:c>
    </x:row>
    <x:row r="3093">
      <x:c r="G3093" t="str">
        <x:v>MSP-RDU</x:v>
      </x:c>
      <x:c r="H3093" t="str">
        <x:v>MSP</x:v>
      </x:c>
      <x:c r="I3093" t="str">
        <x:v>RDU</x:v>
      </x:c>
      <x:c r="J3093" s="23" t="n">
        <x:v>3665</x:v>
      </x:c>
      <x:c r="K3093" s="24" t="n">
        <x:v>0.1688949522510232</x:v>
      </x:c>
      <x:c r="L3093" s="24" t="n">
        <x:v>0.007094133697135061</x:v>
      </x:c>
    </x:row>
    <x:row r="3094">
      <x:c r="G3094" t="str">
        <x:v>RAP-DFW</x:v>
      </x:c>
      <x:c r="H3094" t="str">
        <x:v>RAP</x:v>
      </x:c>
      <x:c r="I3094" t="str">
        <x:v>DFW</x:v>
      </x:c>
      <x:c r="J3094" s="23" t="n">
        <x:v>2955</x:v>
      </x:c>
      <x:c r="K3094" s="24" t="n">
        <x:v>0.1688663282571912</x:v>
      </x:c>
      <x:c r="L3094" s="24" t="n">
        <x:v>0.01455160744500846</x:v>
      </x:c>
    </x:row>
    <x:row r="3095">
      <x:c r="G3095" t="str">
        <x:v>ATL-OMA</x:v>
      </x:c>
      <x:c r="H3095" t="str">
        <x:v>ATL</x:v>
      </x:c>
      <x:c r="I3095" t="str">
        <x:v>OMA</x:v>
      </x:c>
      <x:c r="J3095" s="23" t="n">
        <x:v>5934</x:v>
      </x:c>
      <x:c r="K3095" s="24" t="n">
        <x:v>0.16885743174924167</x:v>
      </x:c>
      <x:c r="L3095" s="24" t="n">
        <x:v>0.008594539939332659</x:v>
      </x:c>
    </x:row>
    <x:row r="3096">
      <x:c r="G3096" t="str">
        <x:v>PSP-ORD</x:v>
      </x:c>
      <x:c r="H3096" t="str">
        <x:v>PSP</x:v>
      </x:c>
      <x:c r="I3096" t="str">
        <x:v>ORD</x:v>
      </x:c>
      <x:c r="J3096" s="23" t="n">
        <x:v>1777</x:v>
      </x:c>
      <x:c r="K3096" s="24" t="n">
        <x:v>0.16882386043894204</x:v>
      </x:c>
      <x:c r="L3096" s="24" t="n">
        <x:v>0.007315700619020821</x:v>
      </x:c>
    </x:row>
    <x:row r="3097">
      <x:c r="G3097" t="str">
        <x:v>HNL-LGB</x:v>
      </x:c>
      <x:c r="H3097" t="str">
        <x:v>HNL</x:v>
      </x:c>
      <x:c r="I3097" t="str">
        <x:v>LGB</x:v>
      </x:c>
      <x:c r="J3097" s="23" t="n">
        <x:v>2180</x:v>
      </x:c>
      <x:c r="K3097" s="24" t="n">
        <x:v>0.1688073394495413</x:v>
      </x:c>
      <x:c r="L3097" s="24" t="n">
        <x:v>0.006422018348623854</x:v>
      </x:c>
    </x:row>
    <x:row r="3098">
      <x:c r="G3098" t="str">
        <x:v>OGG-KOA</x:v>
      </x:c>
      <x:c r="H3098" t="str">
        <x:v>OGG</x:v>
      </x:c>
      <x:c r="I3098" t="str">
        <x:v>KOA</x:v>
      </x:c>
      <x:c r="J3098" s="23" t="n">
        <x:v>4823</x:v>
      </x:c>
      <x:c r="K3098" s="24" t="n">
        <x:v>0.16877462160481027</x:v>
      </x:c>
      <x:c r="L3098" s="24" t="n">
        <x:v>0.0016587186398507154</x:v>
      </x:c>
    </x:row>
    <x:row r="3099">
      <x:c r="G3099" t="str">
        <x:v>SEA-BLI</x:v>
      </x:c>
      <x:c r="H3099" t="str">
        <x:v>SEA</x:v>
      </x:c>
      <x:c r="I3099" t="str">
        <x:v>BLI</x:v>
      </x:c>
      <x:c r="J3099" s="23" t="n">
        <x:v>2927</x:v>
      </x:c>
      <x:c r="K3099" s="24" t="n">
        <x:v>0.16877348821318755</x:v>
      </x:c>
      <x:c r="L3099" s="24" t="n">
        <x:v>0.012982576016399043</x:v>
      </x:c>
    </x:row>
    <x:row r="3100">
      <x:c r="G3100" t="str">
        <x:v>CLE-LGA</x:v>
      </x:c>
      <x:c r="H3100" t="str">
        <x:v>CLE</x:v>
      </x:c>
      <x:c r="I3100" t="str">
        <x:v>LGA</x:v>
      </x:c>
      <x:c r="J3100" s="23" t="n">
        <x:v>7248</x:v>
      </x:c>
      <x:c r="K3100" s="24" t="n">
        <x:v>0.1687362030905077</x:v>
      </x:c>
      <x:c r="L3100" s="24" t="n">
        <x:v>0.03545805739514349</x:v>
      </x:c>
    </x:row>
    <x:row r="3101">
      <x:c r="G3101" t="str">
        <x:v>ALB-MDW</x:v>
      </x:c>
      <x:c r="H3101" t="str">
        <x:v>ALB</x:v>
      </x:c>
      <x:c r="I3101" t="str">
        <x:v>MDW</x:v>
      </x:c>
      <x:c r="J3101" s="23" t="n">
        <x:v>2027</x:v>
      </x:c>
      <x:c r="K3101" s="24" t="n">
        <x:v>0.16872224962999507</x:v>
      </x:c>
      <x:c r="L3101" s="24" t="n">
        <x:v>0.010853478046373951</x:v>
      </x:c>
    </x:row>
    <x:row r="3102">
      <x:c r="G3102" t="str">
        <x:v>DFW-MLU</x:v>
      </x:c>
      <x:c r="H3102" t="str">
        <x:v>DFW</x:v>
      </x:c>
      <x:c r="I3102" t="str">
        <x:v>MLU</x:v>
      </x:c>
      <x:c r="J3102" s="23" t="n">
        <x:v>3303</x:v>
      </x:c>
      <x:c r="K3102" s="24" t="n">
        <x:v>0.16863457462912504</x:v>
      </x:c>
      <x:c r="L3102" s="24" t="n">
        <x:v>0.023312140478353012</x:v>
      </x:c>
    </x:row>
    <x:row r="3103">
      <x:c r="G3103" t="str">
        <x:v>BOI-SAN</x:v>
      </x:c>
      <x:c r="H3103" t="str">
        <x:v>BOI</x:v>
      </x:c>
      <x:c r="I3103" t="str">
        <x:v>SAN</x:v>
      </x:c>
      <x:c r="J3103" s="23" t="n">
        <x:v>2052</x:v>
      </x:c>
      <x:c r="K3103" s="24" t="n">
        <x:v>0.16861598440545808</x:v>
      </x:c>
      <x:c r="L3103" s="24" t="n">
        <x:v>0.00682261208576998</x:v>
      </x:c>
    </x:row>
    <x:row r="3104">
      <x:c r="G3104" t="str">
        <x:v>SFO-SMF</x:v>
      </x:c>
      <x:c r="H3104" t="str">
        <x:v>SFO</x:v>
      </x:c>
      <x:c r="I3104" t="str">
        <x:v>SMF</x:v>
      </x:c>
      <x:c r="J3104" s="23" t="n">
        <x:v>3286</x:v>
      </x:c>
      <x:c r="K3104" s="24" t="n">
        <x:v>0.16859403530127814</x:v>
      </x:c>
      <x:c r="L3104" s="24" t="n">
        <x:v>0.013085818624467437</x:v>
      </x:c>
    </x:row>
    <x:row r="3105">
      <x:c r="G3105" t="str">
        <x:v>PHX-LAX</x:v>
      </x:c>
      <x:c r="H3105" t="str">
        <x:v>PHX</x:v>
      </x:c>
      <x:c r="I3105" t="str">
        <x:v>LAX</x:v>
      </x:c>
      <x:c r="J3105" s="23" t="n">
        <x:v>21324</x:v>
      </x:c>
      <x:c r="K3105" s="24" t="n">
        <x:v>0.16858938285499905</x:v>
      </x:c>
      <x:c r="L3105" s="24" t="n">
        <x:v>0.003751641343087601</x:v>
      </x:c>
    </x:row>
    <x:row r="3106">
      <x:c r="G3106" t="str">
        <x:v>AUS-SEA</x:v>
      </x:c>
      <x:c r="H3106" t="str">
        <x:v>AUS</x:v>
      </x:c>
      <x:c r="I3106" t="str">
        <x:v>SEA</x:v>
      </x:c>
      <x:c r="J3106" s="23" t="n">
        <x:v>6092</x:v>
      </x:c>
      <x:c r="K3106" s="24" t="n">
        <x:v>0.1685817465528562</x:v>
      </x:c>
      <x:c r="L3106" s="24" t="n">
        <x:v>0.010998030203545634</x:v>
      </x:c>
    </x:row>
    <x:row r="3107">
      <x:c r="G3107" t="str">
        <x:v>STL-MSP</x:v>
      </x:c>
      <x:c r="H3107" t="str">
        <x:v>STL</x:v>
      </x:c>
      <x:c r="I3107" t="str">
        <x:v>MSP</x:v>
      </x:c>
      <x:c r="J3107" s="23" t="n">
        <x:v>5814</x:v>
      </x:c>
      <x:c r="K3107" s="24" t="n">
        <x:v>0.16855865153078775</x:v>
      </x:c>
      <x:c r="L3107" s="24" t="n">
        <x:v>0.009459924320605434</x:v>
      </x:c>
    </x:row>
    <x:row r="3108">
      <x:c r="G3108" t="str">
        <x:v>MSY-ORD</x:v>
      </x:c>
      <x:c r="H3108" t="str">
        <x:v>MSY</x:v>
      </x:c>
      <x:c r="I3108" t="str">
        <x:v>ORD</x:v>
      </x:c>
      <x:c r="J3108" s="23" t="n">
        <x:v>5506</x:v>
      </x:c>
      <x:c r="K3108" s="24" t="n">
        <x:v>0.1683617871413004</x:v>
      </x:c>
      <x:c r="L3108" s="24" t="n">
        <x:v>0.011260443152924083</x:v>
      </x:c>
    </x:row>
    <x:row r="3109">
      <x:c r="G3109" t="str">
        <x:v>TUS-SEA</x:v>
      </x:c>
      <x:c r="H3109" t="str">
        <x:v>TUS</x:v>
      </x:c>
      <x:c r="I3109" t="str">
        <x:v>SEA</x:v>
      </x:c>
      <x:c r="J3109" s="23" t="n">
        <x:v>3137</x:v>
      </x:c>
      <x:c r="K3109" s="24" t="n">
        <x:v>0.16831367548613324</x:v>
      </x:c>
      <x:c r="L3109" s="24" t="n">
        <x:v>0.005419190309212623</x:v>
      </x:c>
    </x:row>
    <x:row r="3110">
      <x:c r="G3110" t="str">
        <x:v>MCI-MIA</x:v>
      </x:c>
      <x:c r="H3110" t="str">
        <x:v>MCI</x:v>
      </x:c>
      <x:c r="I3110" t="str">
        <x:v>MIA</x:v>
      </x:c>
      <x:c r="J3110" s="23" t="n">
        <x:v>1426</x:v>
      </x:c>
      <x:c r="K3110" s="24" t="n">
        <x:v>0.16830294530154277</x:v>
      </x:c>
      <x:c r="L3110" s="24" t="n">
        <x:v>0.015427769985974754</x:v>
      </x:c>
    </x:row>
    <x:row r="3111">
      <x:c r="G3111" t="str">
        <x:v>MCO-ROC</x:v>
      </x:c>
      <x:c r="H3111" t="str">
        <x:v>MCO</x:v>
      </x:c>
      <x:c r="I3111" t="str">
        <x:v>ROC</x:v>
      </x:c>
      <x:c r="J3111" s="23" t="n">
        <x:v>1866</x:v>
      </x:c>
      <x:c r="K3111" s="24" t="n">
        <x:v>0.1682743837084673</x:v>
      </x:c>
      <x:c r="L3111" s="24" t="n">
        <x:v>0.008038585209003215</x:v>
      </x:c>
    </x:row>
    <x:row r="3112">
      <x:c r="G3112" t="str">
        <x:v>DTW-PIT</x:v>
      </x:c>
      <x:c r="H3112" t="str">
        <x:v>DTW</x:v>
      </x:c>
      <x:c r="I3112" t="str">
        <x:v>PIT</x:v>
      </x:c>
      <x:c r="J3112" s="23" t="n">
        <x:v>3780</x:v>
      </x:c>
      <x:c r="K3112" s="24" t="n">
        <x:v>0.16825396825396827</x:v>
      </x:c>
      <x:c r="L3112" s="24" t="n">
        <x:v>0.008994708994708995</x:v>
      </x:c>
    </x:row>
    <x:row r="3113">
      <x:c r="G3113" t="str">
        <x:v>SNA-SMF</x:v>
      </x:c>
      <x:c r="H3113" t="str">
        <x:v>SNA</x:v>
      </x:c>
      <x:c r="I3113" t="str">
        <x:v>SMF</x:v>
      </x:c>
      <x:c r="J3113" s="23" t="n">
        <x:v>6785</x:v>
      </x:c>
      <x:c r="K3113" s="24" t="n">
        <x:v>0.1681650700073692</x:v>
      </x:c>
      <x:c r="L3113" s="24" t="n">
        <x:v>0.00707442888725129</x:v>
      </x:c>
    </x:row>
    <x:row r="3114">
      <x:c r="G3114" t="str">
        <x:v>LAX-MCI</x:v>
      </x:c>
      <x:c r="H3114" t="str">
        <x:v>LAX</x:v>
      </x:c>
      <x:c r="I3114" t="str">
        <x:v>MCI</x:v>
      </x:c>
      <x:c r="J3114" s="23" t="n">
        <x:v>3907</x:v>
      </x:c>
      <x:c r="K3114" s="24" t="n">
        <x:v>0.16815971333503968</x:v>
      </x:c>
      <x:c r="L3114" s="24" t="n">
        <x:v>0.007166624008190427</x:v>
      </x:c>
    </x:row>
    <x:row r="3115">
      <x:c r="G3115" t="str">
        <x:v>SEA-PSC</x:v>
      </x:c>
      <x:c r="H3115" t="str">
        <x:v>SEA</x:v>
      </x:c>
      <x:c r="I3115" t="str">
        <x:v>PSC</x:v>
      </x:c>
      <x:c r="J3115" s="23" t="n">
        <x:v>6150</x:v>
      </x:c>
      <x:c r="K3115" s="24" t="n">
        <x:v>0.168130081300813</x:v>
      </x:c>
      <x:c r="L3115" s="24" t="n">
        <x:v>0.0050406504065040655</x:v>
      </x:c>
    </x:row>
    <x:row r="3116">
      <x:c r="G3116" t="str">
        <x:v>SLC-MCI</x:v>
      </x:c>
      <x:c r="H3116" t="str">
        <x:v>SLC</x:v>
      </x:c>
      <x:c r="I3116" t="str">
        <x:v>MCI</x:v>
      </x:c>
      <x:c r="J3116" s="23" t="n">
        <x:v>2980</x:v>
      </x:c>
      <x:c r="K3116" s="24" t="n">
        <x:v>0.16812080536912752</x:v>
      </x:c>
      <x:c r="L3116" s="24" t="n">
        <x:v>0.008053691275167786</x:v>
      </x:c>
    </x:row>
    <x:row r="3117">
      <x:c r="G3117" t="str">
        <x:v>PHX-FSD</x:v>
      </x:c>
      <x:c r="H3117" t="str">
        <x:v>PHX</x:v>
      </x:c>
      <x:c r="I3117" t="str">
        <x:v>FSD</x:v>
      </x:c>
      <x:c r="J3117" s="23" t="n">
        <x:v>1166</x:v>
      </x:c>
      <x:c r="K3117" s="24" t="n">
        <x:v>0.1680960548885077</x:v>
      </x:c>
      <x:c r="L3117" s="24" t="n">
        <x:v>0.003430531732418525</x:v>
      </x:c>
    </x:row>
    <x:row r="3118">
      <x:c r="G3118" t="str">
        <x:v>ELP-SAT</x:v>
      </x:c>
      <x:c r="H3118" t="str">
        <x:v>ELP</x:v>
      </x:c>
      <x:c r="I3118" t="str">
        <x:v>SAT</x:v>
      </x:c>
      <x:c r="J3118" s="23" t="n">
        <x:v>2413</x:v>
      </x:c>
      <x:c r="K3118" s="24" t="n">
        <x:v>0.16784086199751347</x:v>
      </x:c>
      <x:c r="L3118" s="24" t="n">
        <x:v>0.005387484459179445</x:v>
      </x:c>
    </x:row>
    <x:row r="3119">
      <x:c r="G3119" t="str">
        <x:v>ORD-PNS</x:v>
      </x:c>
      <x:c r="H3119" t="str">
        <x:v>ORD</x:v>
      </x:c>
      <x:c r="I3119" t="str">
        <x:v>PNS</x:v>
      </x:c>
      <x:c r="J3119" s="23" t="n">
        <x:v>1305</x:v>
      </x:c>
      <x:c r="K3119" s="24" t="n">
        <x:v>0.167816091954023</x:v>
      </x:c>
      <x:c r="L3119" s="24" t="n">
        <x:v>0.007662835249042145</x:v>
      </x:c>
    </x:row>
    <x:row r="3120">
      <x:c r="G3120" t="str">
        <x:v>SLC-STL</x:v>
      </x:c>
      <x:c r="H3120" t="str">
        <x:v>SLC</x:v>
      </x:c>
      <x:c r="I3120" t="str">
        <x:v>STL</x:v>
      </x:c>
      <x:c r="J3120" s="23" t="n">
        <x:v>2944</x:v>
      </x:c>
      <x:c r="K3120" s="24" t="n">
        <x:v>0.16779891304347827</x:v>
      </x:c>
      <x:c r="L3120" s="24" t="n">
        <x:v>0.003736413043478261</x:v>
      </x:c>
    </x:row>
    <x:row r="3121">
      <x:c r="G3121" t="str">
        <x:v>TUL-LAS</x:v>
      </x:c>
      <x:c r="H3121" t="str">
        <x:v>TUL</x:v>
      </x:c>
      <x:c r="I3121" t="str">
        <x:v>LAS</x:v>
      </x:c>
      <x:c r="J3121" s="23" t="n">
        <x:v>2086</x:v>
      </x:c>
      <x:c r="K3121" s="24" t="n">
        <x:v>0.16778523489932887</x:v>
      </x:c>
      <x:c r="L3121" s="24" t="n">
        <x:v>0.0023969319271332696</x:v>
      </x:c>
    </x:row>
    <x:row r="3122">
      <x:c r="G3122" t="str">
        <x:v>ATL-OKC</x:v>
      </x:c>
      <x:c r="H3122" t="str">
        <x:v>ATL</x:v>
      </x:c>
      <x:c r="I3122" t="str">
        <x:v>OKC</x:v>
      </x:c>
      <x:c r="J3122" s="23" t="n">
        <x:v>5938</x:v>
      </x:c>
      <x:c r="K3122" s="24" t="n">
        <x:v>0.16773324351633548</x:v>
      </x:c>
      <x:c r="L3122" s="24" t="n">
        <x:v>0.008251936679016504</x:v>
      </x:c>
    </x:row>
    <x:row r="3123">
      <x:c r="G3123" t="str">
        <x:v>ATL-BZN</x:v>
      </x:c>
      <x:c r="H3123" t="str">
        <x:v>ATL</x:v>
      </x:c>
      <x:c r="I3123" t="str">
        <x:v>BZN</x:v>
      </x:c>
      <x:c r="J3123" s="23" t="n">
        <x:v>1109</x:v>
      </x:c>
      <x:c r="K3123" s="24" t="n">
        <x:v>0.16771866546438233</x:v>
      </x:c>
      <x:c r="L3123" s="24" t="n">
        <x:v>0.005410279531109108</x:v>
      </x:c>
    </x:row>
    <x:row r="3124">
      <x:c r="G3124" t="str">
        <x:v>DTW-APN</x:v>
      </x:c>
      <x:c r="H3124" t="str">
        <x:v>DTW</x:v>
      </x:c>
      <x:c r="I3124" t="str">
        <x:v>APN</x:v>
      </x:c>
      <x:c r="J3124" s="23" t="n">
        <x:v>1616</x:v>
      </x:c>
      <x:c r="K3124" s="24" t="n">
        <x:v>0.1676980198019802</x:v>
      </x:c>
      <x:c r="L3124" s="24" t="n">
        <x:v>0.03155940594059406</x:v>
      </x:c>
    </x:row>
    <x:row r="3125">
      <x:c r="G3125" t="str">
        <x:v>ATL-SLC</x:v>
      </x:c>
      <x:c r="H3125" t="str">
        <x:v>ATL</x:v>
      </x:c>
      <x:c r="I3125" t="str">
        <x:v>SLC</x:v>
      </x:c>
      <x:c r="J3125" s="23" t="n">
        <x:v>8940</x:v>
      </x:c>
      <x:c r="K3125" s="24" t="n">
        <x:v>0.16767337807606264</x:v>
      </x:c>
      <x:c r="L3125" s="24" t="n">
        <x:v>0.005145413870246085</x:v>
      </x:c>
    </x:row>
    <x:row r="3126">
      <x:c r="G3126" t="str">
        <x:v>SFO-BFL</x:v>
      </x:c>
      <x:c r="H3126" t="str">
        <x:v>SFO</x:v>
      </x:c>
      <x:c r="I3126" t="str">
        <x:v>BFL</x:v>
      </x:c>
      <x:c r="J3126" s="23" t="n">
        <x:v>1754</x:v>
      </x:c>
      <x:c r="K3126" s="24" t="n">
        <x:v>0.1676168757126568</x:v>
      </x:c>
      <x:c r="L3126" s="24" t="n">
        <x:v>0.006271379703534778</x:v>
      </x:c>
    </x:row>
    <x:row r="3127">
      <x:c r="G3127" t="str">
        <x:v>SRQ-EWR</x:v>
      </x:c>
      <x:c r="H3127" t="str">
        <x:v>SRQ</x:v>
      </x:c>
      <x:c r="I3127" t="str">
        <x:v>EWR</x:v>
      </x:c>
      <x:c r="J3127" s="23" t="n">
        <x:v>2961</x:v>
      </x:c>
      <x:c r="K3127" s="24" t="n">
        <x:v>0.16751097602161433</x:v>
      </x:c>
      <x:c r="L3127" s="24" t="n">
        <x:v>0.02668017561634583</x:v>
      </x:c>
    </x:row>
    <x:row r="3128">
      <x:c r="G3128" t="str">
        <x:v>ECP-DAL</x:v>
      </x:c>
      <x:c r="H3128" t="str">
        <x:v>ECP</x:v>
      </x:c>
      <x:c r="I3128" t="str">
        <x:v>DAL</x:v>
      </x:c>
      <x:c r="J3128" s="23" t="n">
        <x:v>1988</x:v>
      </x:c>
      <x:c r="K3128" s="24" t="n">
        <x:v>0.1675050301810865</x:v>
      </x:c>
      <x:c r="L3128" s="24" t="n">
        <x:v>0.008551307847082495</x:v>
      </x:c>
    </x:row>
    <x:row r="3129">
      <x:c r="G3129" t="str">
        <x:v>DEN-GCC</x:v>
      </x:c>
      <x:c r="H3129" t="str">
        <x:v>DEN</x:v>
      </x:c>
      <x:c r="I3129" t="str">
        <x:v>GCC</x:v>
      </x:c>
      <x:c r="J3129" s="23" t="n">
        <x:v>2102</x:v>
      </x:c>
      <x:c r="K3129" s="24" t="n">
        <x:v>0.16745956232159848</x:v>
      </x:c>
      <x:c r="L3129" s="24" t="n">
        <x:v>0.016175071360608945</x:v>
      </x:c>
    </x:row>
    <x:row r="3130">
      <x:c r="G3130" t="str">
        <x:v>RNO-LGB</x:v>
      </x:c>
      <x:c r="H3130" t="str">
        <x:v>RNO</x:v>
      </x:c>
      <x:c r="I3130" t="str">
        <x:v>LGB</x:v>
      </x:c>
      <x:c r="J3130" s="23" t="n">
        <x:v>2156</x:v>
      </x:c>
      <x:c r="K3130" s="24" t="n">
        <x:v>0.16743970315398887</x:v>
      </x:c>
      <x:c r="L3130" s="24" t="n">
        <x:v>0.007884972170686457</x:v>
      </x:c>
    </x:row>
    <x:row r="3131">
      <x:c r="G3131" t="str">
        <x:v>ELP-ORD</x:v>
      </x:c>
      <x:c r="H3131" t="str">
        <x:v>ELP</x:v>
      </x:c>
      <x:c r="I3131" t="str">
        <x:v>ORD</x:v>
      </x:c>
      <x:c r="J3131" s="23" t="n">
        <x:v>1894</x:v>
      </x:c>
      <x:c r="K3131" s="24" t="n">
        <x:v>0.16737064413938754</x:v>
      </x:c>
      <x:c r="L3131" s="24" t="n">
        <x:v>0.010559662090813094</x:v>
      </x:c>
    </x:row>
    <x:row r="3132">
      <x:c r="G3132" t="str">
        <x:v>MSP-FAR</x:v>
      </x:c>
      <x:c r="H3132" t="str">
        <x:v>MSP</x:v>
      </x:c>
      <x:c r="I3132" t="str">
        <x:v>FAR</x:v>
      </x:c>
      <x:c r="J3132" s="23" t="n">
        <x:v>4792</x:v>
      </x:c>
      <x:c r="K3132" s="24" t="n">
        <x:v>0.16736227045075125</x:v>
      </x:c>
      <x:c r="L3132" s="24" t="n">
        <x:v>0.0077212020033388985</x:v>
      </x:c>
    </x:row>
    <x:row r="3133">
      <x:c r="G3133" t="str">
        <x:v>ELM-DTW</x:v>
      </x:c>
      <x:c r="H3133" t="str">
        <x:v>ELM</x:v>
      </x:c>
      <x:c r="I3133" t="str">
        <x:v>DTW</x:v>
      </x:c>
      <x:c r="J3133" s="23" t="n">
        <x:v>2271</x:v>
      </x:c>
      <x:c r="K3133" s="24" t="n">
        <x:v>0.16732716864817263</x:v>
      </x:c>
      <x:c r="L3133" s="24" t="n">
        <x:v>0.005724350506384853</x:v>
      </x:c>
    </x:row>
    <x:row r="3134">
      <x:c r="G3134" t="str">
        <x:v>ATL-MLB</x:v>
      </x:c>
      <x:c r="H3134" t="str">
        <x:v>ATL</x:v>
      </x:c>
      <x:c r="I3134" t="str">
        <x:v>MLB</x:v>
      </x:c>
      <x:c r="J3134" s="23" t="n">
        <x:v>4214</x:v>
      </x:c>
      <x:c r="K3134" s="24" t="n">
        <x:v>0.16729947793070718</x:v>
      </x:c>
      <x:c r="L3134" s="24" t="n">
        <x:v>0.01044138585666825</x:v>
      </x:c>
    </x:row>
    <x:row r="3135">
      <x:c r="G3135" t="str">
        <x:v>ORF-ATL</x:v>
      </x:c>
      <x:c r="H3135" t="str">
        <x:v>ORF</x:v>
      </x:c>
      <x:c r="I3135" t="str">
        <x:v>ATL</x:v>
      </x:c>
      <x:c r="J3135" s="23" t="n">
        <x:v>7711</x:v>
      </x:c>
      <x:c r="K3135" s="24" t="n">
        <x:v>0.16729347685125145</x:v>
      </x:c>
      <x:c r="L3135" s="24" t="n">
        <x:v>0.01089352872519777</x:v>
      </x:c>
    </x:row>
    <x:row r="3136">
      <x:c r="G3136" t="str">
        <x:v>JAX-DEN</x:v>
      </x:c>
      <x:c r="H3136" t="str">
        <x:v>JAX</x:v>
      </x:c>
      <x:c r="I3136" t="str">
        <x:v>DEN</x:v>
      </x:c>
      <x:c r="J3136" s="23" t="n">
        <x:v>2589</x:v>
      </x:c>
      <x:c r="K3136" s="24" t="n">
        <x:v>0.16724604094244883</x:v>
      </x:c>
      <x:c r="L3136" s="24" t="n">
        <x:v>0.006179992275009656</x:v>
      </x:c>
    </x:row>
    <x:row r="3137">
      <x:c r="G3137" t="str">
        <x:v>LAX-EUG</x:v>
      </x:c>
      <x:c r="H3137" t="str">
        <x:v>LAX</x:v>
      </x:c>
      <x:c r="I3137" t="str">
        <x:v>EUG</x:v>
      </x:c>
      <x:c r="J3137" s="23" t="n">
        <x:v>1017</x:v>
      </x:c>
      <x:c r="K3137" s="24" t="n">
        <x:v>0.1671583087512291</x:v>
      </x:c>
      <x:c r="L3137" s="24" t="n">
        <x:v>0.004916420845624385</x:v>
      </x:c>
    </x:row>
    <x:row r="3138">
      <x:c r="G3138" t="str">
        <x:v>HRL-AUS</x:v>
      </x:c>
      <x:c r="H3138" t="str">
        <x:v>HRL</x:v>
      </x:c>
      <x:c r="I3138" t="str">
        <x:v>AUS</x:v>
      </x:c>
      <x:c r="J3138" s="23" t="n">
        <x:v>2142</x:v>
      </x:c>
      <x:c r="K3138" s="24" t="n">
        <x:v>0.16713352007469653</x:v>
      </x:c>
      <x:c r="L3138" s="24" t="n">
        <x:v>0.013071895424836602</x:v>
      </x:c>
    </x:row>
    <x:row r="3139">
      <x:c r="G3139" t="str">
        <x:v>JFK-ITH</x:v>
      </x:c>
      <x:c r="H3139" t="str">
        <x:v>JFK</x:v>
      </x:c>
      <x:c r="I3139" t="str">
        <x:v>ITH</x:v>
      </x:c>
      <x:c r="J3139" s="23" t="n">
        <x:v>1442</x:v>
      </x:c>
      <x:c r="K3139" s="24" t="n">
        <x:v>0.16712898751733704</x:v>
      </x:c>
      <x:c r="L3139" s="24" t="n">
        <x:v>0.036754507628294034</x:v>
      </x:c>
    </x:row>
    <x:row r="3140">
      <x:c r="G3140" t="str">
        <x:v>PHX-MRY</x:v>
      </x:c>
      <x:c r="H3140" t="str">
        <x:v>PHX</x:v>
      </x:c>
      <x:c r="I3140" t="str">
        <x:v>MRY</x:v>
      </x:c>
      <x:c r="J3140" s="23" t="n">
        <x:v>3860</x:v>
      </x:c>
      <x:c r="K3140" s="24" t="n">
        <x:v>0.16709844559585493</x:v>
      </x:c>
      <x:c r="L3140" s="24" t="n">
        <x:v>0.004145077720207254</x:v>
      </x:c>
    </x:row>
    <x:row r="3141">
      <x:c r="G3141" t="str">
        <x:v>SMF-ORD</x:v>
      </x:c>
      <x:c r="H3141" t="str">
        <x:v>SMF</x:v>
      </x:c>
      <x:c r="I3141" t="str">
        <x:v>ORD</x:v>
      </x:c>
      <x:c r="J3141" s="23" t="n">
        <x:v>3519</x:v>
      </x:c>
      <x:c r="K3141" s="24" t="n">
        <x:v>0.16709292412617222</x:v>
      </x:c>
      <x:c r="L3141" s="24" t="n">
        <x:v>0.010230179028132993</x:v>
      </x:c>
    </x:row>
    <x:row r="3142">
      <x:c r="G3142" t="str">
        <x:v>PVD-MDW</x:v>
      </x:c>
      <x:c r="H3142" t="str">
        <x:v>PVD</x:v>
      </x:c>
      <x:c r="I3142" t="str">
        <x:v>MDW</x:v>
      </x:c>
      <x:c r="J3142" s="23" t="n">
        <x:v>1963</x:v>
      </x:c>
      <x:c r="K3142" s="24" t="n">
        <x:v>0.16709118695873662</x:v>
      </x:c>
      <x:c r="L3142" s="24" t="n">
        <x:v>0.010697911360163017</x:v>
      </x:c>
    </x:row>
    <x:row r="3143">
      <x:c r="G3143" t="str">
        <x:v>CHS-BWI</x:v>
      </x:c>
      <x:c r="H3143" t="str">
        <x:v>CHS</x:v>
      </x:c>
      <x:c r="I3143" t="str">
        <x:v>BWI</x:v>
      </x:c>
      <x:c r="J3143" s="23" t="n">
        <x:v>3621</x:v>
      </x:c>
      <x:c r="K3143" s="24" t="n">
        <x:v>0.16708091687379176</x:v>
      </x:c>
      <x:c r="L3143" s="24" t="n">
        <x:v>0.011046672190002762</x:v>
      </x:c>
    </x:row>
    <x:row r="3144">
      <x:c r="G3144" t="str">
        <x:v>ATL-GEG</x:v>
      </x:c>
      <x:c r="H3144" t="str">
        <x:v>ATL</x:v>
      </x:c>
      <x:c r="I3144" t="str">
        <x:v>GEG</x:v>
      </x:c>
      <x:c r="J3144" s="23" t="n">
        <x:v>1425</x:v>
      </x:c>
      <x:c r="K3144" s="24" t="n">
        <x:v>0.16701754385964912</x:v>
      </x:c>
      <x:c r="L3144" s="24" t="n">
        <x:v>0.011228070175438596</x:v>
      </x:c>
    </x:row>
    <x:row r="3145">
      <x:c r="G3145" t="str">
        <x:v>HNL-GUM</x:v>
      </x:c>
      <x:c r="H3145" t="str">
        <x:v>HNL</x:v>
      </x:c>
      <x:c r="I3145" t="str">
        <x:v>GUM</x:v>
      </x:c>
      <x:c r="J3145" s="23" t="n">
        <x:v>1096</x:v>
      </x:c>
      <x:c r="K3145" s="24" t="n">
        <x:v>0.16697080291970803</x:v>
      </x:c>
      <x:c r="L3145" s="24" t="n">
        <x:v>0.013686131386861315</x:v>
      </x:c>
    </x:row>
    <x:row r="3146">
      <x:c r="G3146" t="str">
        <x:v>SEA-CVG</x:v>
      </x:c>
      <x:c r="H3146" t="str">
        <x:v>SEA</x:v>
      </x:c>
      <x:c r="I3146" t="str">
        <x:v>CVG</x:v>
      </x:c>
      <x:c r="J3146" s="23" t="n">
        <x:v>2210</x:v>
      </x:c>
      <x:c r="K3146" s="24" t="n">
        <x:v>0.1669683257918552</x:v>
      </x:c>
      <x:c r="L3146" s="24" t="n">
        <x:v>0.008597285067873304</x:v>
      </x:c>
    </x:row>
    <x:row r="3147">
      <x:c r="G3147" t="str">
        <x:v>ANC-HNL</x:v>
      </x:c>
      <x:c r="H3147" t="str">
        <x:v>ANC</x:v>
      </x:c>
      <x:c r="I3147" t="str">
        <x:v>HNL</x:v>
      </x:c>
      <x:c r="J3147" s="23" t="n">
        <x:v>1108</x:v>
      </x:c>
      <x:c r="K3147" s="24" t="n">
        <x:v>0.16696750902527077</x:v>
      </x:c>
      <x:c r="L3147" s="24" t="n">
        <x:v>0.009025270758122744</x:v>
      </x:c>
    </x:row>
    <x:row r="3148">
      <x:c r="G3148" t="str">
        <x:v>TUL-CLT</x:v>
      </x:c>
      <x:c r="H3148" t="str">
        <x:v>TUL</x:v>
      </x:c>
      <x:c r="I3148" t="str">
        <x:v>CLT</x:v>
      </x:c>
      <x:c r="J3148" s="23" t="n">
        <x:v>2306</x:v>
      </x:c>
      <x:c r="K3148" s="24" t="n">
        <x:v>0.16695576756287944</x:v>
      </x:c>
      <x:c r="L3148" s="24" t="n">
        <x:v>0.013443191673894189</x:v>
      </x:c>
    </x:row>
    <x:row r="3149">
      <x:c r="G3149" t="str">
        <x:v>PHX-MIA</x:v>
      </x:c>
      <x:c r="H3149" t="str">
        <x:v>PHX</x:v>
      </x:c>
      <x:c r="I3149" t="str">
        <x:v>MIA</x:v>
      </x:c>
      <x:c r="J3149" s="23" t="n">
        <x:v>5014</x:v>
      </x:c>
      <x:c r="K3149" s="24" t="n">
        <x:v>0.1669325887514958</x:v>
      </x:c>
      <x:c r="L3149" s="24" t="n">
        <x:v>0.006781013163143199</x:v>
      </x:c>
    </x:row>
    <x:row r="3150">
      <x:c r="G3150" t="str">
        <x:v>LGA-ACK</x:v>
      </x:c>
      <x:c r="H3150" t="str">
        <x:v>LGA</x:v>
      </x:c>
      <x:c r="I3150" t="str">
        <x:v>ACK</x:v>
      </x:c>
      <x:c r="J3150" s="23" t="n">
        <x:v>1330</x:v>
      </x:c>
      <x:c r="K3150" s="24" t="n">
        <x:v>0.16691729323308271</x:v>
      </x:c>
      <x:c r="L3150" s="24" t="n">
        <x:v>0.032330827067669175</x:v>
      </x:c>
    </x:row>
    <x:row r="3151">
      <x:c r="G3151" t="str">
        <x:v>DAB-CLT</x:v>
      </x:c>
      <x:c r="H3151" t="str">
        <x:v>DAB</x:v>
      </x:c>
      <x:c r="I3151" t="str">
        <x:v>CLT</x:v>
      </x:c>
      <x:c r="J3151" s="23" t="n">
        <x:v>3895</x:v>
      </x:c>
      <x:c r="K3151" s="24" t="n">
        <x:v>0.1668806161745828</x:v>
      </x:c>
      <x:c r="L3151" s="24" t="n">
        <x:v>0.020025673940949937</x:v>
      </x:c>
    </x:row>
    <x:row r="3152">
      <x:c r="G3152" t="str">
        <x:v>PSP-DEN</x:v>
      </x:c>
      <x:c r="H3152" t="str">
        <x:v>PSP</x:v>
      </x:c>
      <x:c r="I3152" t="str">
        <x:v>DEN</x:v>
      </x:c>
      <x:c r="J3152" s="23" t="n">
        <x:v>5501</x:v>
      </x:c>
      <x:c r="K3152" s="24" t="n">
        <x:v>0.16687874931830576</x:v>
      </x:c>
      <x:c r="L3152" s="24" t="n">
        <x:v>0.0058171241592437735</x:v>
      </x:c>
    </x:row>
    <x:row r="3153">
      <x:c r="G3153" t="str">
        <x:v>SAT-ELP</x:v>
      </x:c>
      <x:c r="H3153" t="str">
        <x:v>SAT</x:v>
      </x:c>
      <x:c r="I3153" t="str">
        <x:v>ELP</x:v>
      </x:c>
      <x:c r="J3153" s="23" t="n">
        <x:v>2427</x:v>
      </x:c>
      <x:c r="K3153" s="24" t="n">
        <x:v>0.1668726823238566</x:v>
      </x:c>
      <x:c r="L3153" s="24" t="n">
        <x:v>0.004532344458178822</x:v>
      </x:c>
    </x:row>
    <x:row r="3154">
      <x:c r="G3154" t="str">
        <x:v>AGS-ATL</x:v>
      </x:c>
      <x:c r="H3154" t="str">
        <x:v>AGS</x:v>
      </x:c>
      <x:c r="I3154" t="str">
        <x:v>ATL</x:v>
      </x:c>
      <x:c r="J3154" s="23" t="n">
        <x:v>5112</x:v>
      </x:c>
      <x:c r="K3154" s="24" t="n">
        <x:v>0.1668622848200313</x:v>
      </x:c>
      <x:c r="L3154" s="24" t="n">
        <x:v>0.011932707355242567</x:v>
      </x:c>
    </x:row>
    <x:row r="3155">
      <x:c r="G3155" t="str">
        <x:v>ATL-AGS</x:v>
      </x:c>
      <x:c r="H3155" t="str">
        <x:v>ATL</x:v>
      </x:c>
      <x:c r="I3155" t="str">
        <x:v>AGS</x:v>
      </x:c>
      <x:c r="J3155" s="23" t="n">
        <x:v>5114</x:v>
      </x:c>
      <x:c r="K3155" s="24" t="n">
        <x:v>0.16679702776691435</x:v>
      </x:c>
      <x:c r="L3155" s="24" t="n">
        <x:v>0.011732499022291749</x:v>
      </x:c>
    </x:row>
    <x:row r="3156">
      <x:c r="G3156" t="str">
        <x:v>IND-ORD</x:v>
      </x:c>
      <x:c r="H3156" t="str">
        <x:v>IND</x:v>
      </x:c>
      <x:c r="I3156" t="str">
        <x:v>ORD</x:v>
      </x:c>
      <x:c r="J3156" s="23" t="n">
        <x:v>12070</x:v>
      </x:c>
      <x:c r="K3156" s="24" t="n">
        <x:v>0.1667771333885667</x:v>
      </x:c>
      <x:c r="L3156" s="24" t="n">
        <x:v>0.016072908036454017</x:v>
      </x:c>
    </x:row>
    <x:row r="3157">
      <x:c r="G3157" t="str">
        <x:v>CVG-IAH</x:v>
      </x:c>
      <x:c r="H3157" t="str">
        <x:v>CVG</x:v>
      </x:c>
      <x:c r="I3157" t="str">
        <x:v>IAH</x:v>
      </x:c>
      <x:c r="J3157" s="23" t="n">
        <x:v>1907</x:v>
      </x:c>
      <x:c r="K3157" s="24" t="n">
        <x:v>0.16675406397482959</x:v>
      </x:c>
      <x:c r="L3157" s="24" t="n">
        <x:v>0.014682747771368642</x:v>
      </x:c>
    </x:row>
    <x:row r="3158">
      <x:c r="G3158" t="str">
        <x:v>SNA-ORD</x:v>
      </x:c>
      <x:c r="H3158" t="str">
        <x:v>SNA</x:v>
      </x:c>
      <x:c r="I3158" t="str">
        <x:v>ORD</x:v>
      </x:c>
      <x:c r="J3158" s="23" t="n">
        <x:v>6717</x:v>
      </x:c>
      <x:c r="K3158" s="24" t="n">
        <x:v>0.16674110465981837</x:v>
      </x:c>
      <x:c r="L3158" s="24" t="n">
        <x:v>0.006997171356260235</x:v>
      </x:c>
    </x:row>
    <x:row r="3159">
      <x:c r="G3159" t="str">
        <x:v>BRO-DFW</x:v>
      </x:c>
      <x:c r="H3159" t="str">
        <x:v>BRO</x:v>
      </x:c>
      <x:c r="I3159" t="str">
        <x:v>DFW</x:v>
      </x:c>
      <x:c r="J3159" s="23" t="n">
        <x:v>4552</x:v>
      </x:c>
      <x:c r="K3159" s="24" t="n">
        <x:v>0.16673989455184535</x:v>
      </x:c>
      <x:c r="L3159" s="24" t="n">
        <x:v>0.025483304042179262</x:v>
      </x:c>
    </x:row>
    <x:row r="3160">
      <x:c r="G3160" t="str">
        <x:v>MSP-IMT</x:v>
      </x:c>
      <x:c r="H3160" t="str">
        <x:v>MSP</x:v>
      </x:c>
      <x:c r="I3160" t="str">
        <x:v>IMT</x:v>
      </x:c>
      <x:c r="J3160" s="23" t="n">
        <x:v>1080</x:v>
      </x:c>
      <x:c r="K3160" s="24" t="n">
        <x:v>0.16666666666666666</x:v>
      </x:c>
      <x:c r="L3160" s="24" t="n">
        <x:v>0.014814814814814815</x:v>
      </x:c>
    </x:row>
    <x:row r="3161">
      <x:c r="G3161" t="str">
        <x:v>FCA-MSP</x:v>
      </x:c>
      <x:c r="H3161" t="str">
        <x:v>FCA</x:v>
      </x:c>
      <x:c r="I3161" t="str">
        <x:v>MSP</x:v>
      </x:c>
      <x:c r="J3161" s="23" t="n">
        <x:v>1326</x:v>
      </x:c>
      <x:c r="K3161" s="24" t="n">
        <x:v>0.16666666666666666</x:v>
      </x:c>
      <x:c r="L3161" s="24" t="n">
        <x:v>0.010558069381598794</x:v>
      </x:c>
    </x:row>
    <x:row r="3162">
      <x:c r="G3162" t="str">
        <x:v>BPT-DFW</x:v>
      </x:c>
      <x:c r="H3162" t="str">
        <x:v>BPT</x:v>
      </x:c>
      <x:c r="I3162" t="str">
        <x:v>DFW</x:v>
      </x:c>
      <x:c r="J3162" s="23" t="n">
        <x:v>2184</x:v>
      </x:c>
      <x:c r="K3162" s="24" t="n">
        <x:v>0.16666666666666666</x:v>
      </x:c>
      <x:c r="L3162" s="24" t="n">
        <x:v>0.038003663003663</x:v>
      </x:c>
    </x:row>
    <x:row r="3163">
      <x:c r="G3163" t="str">
        <x:v>SJC-DAL</x:v>
      </x:c>
      <x:c r="H3163" t="str">
        <x:v>SJC</x:v>
      </x:c>
      <x:c r="I3163" t="str">
        <x:v>DAL</x:v>
      </x:c>
      <x:c r="J3163" s="23" t="n">
        <x:v>1837</x:v>
      </x:c>
      <x:c r="K3163" s="24" t="n">
        <x:v>0.16657593903102885</x:v>
      </x:c>
      <x:c r="L3163" s="24" t="n">
        <x:v>0.008165487207403375</x:v>
      </x:c>
    </x:row>
    <x:row r="3164">
      <x:c r="G3164" t="str">
        <x:v>CHS-DTW</x:v>
      </x:c>
      <x:c r="H3164" t="str">
        <x:v>CHS</x:v>
      </x:c>
      <x:c r="I3164" t="str">
        <x:v>DTW</x:v>
      </x:c>
      <x:c r="J3164" s="23" t="n">
        <x:v>1717</x:v>
      </x:c>
      <x:c r="K3164" s="24" t="n">
        <x:v>0.16656959813628422</x:v>
      </x:c>
      <x:c r="L3164" s="24" t="n">
        <x:v>0.0128130460104834</x:v>
      </x:c>
    </x:row>
    <x:row r="3165">
      <x:c r="G3165" t="str">
        <x:v>DTW-SEA</x:v>
      </x:c>
      <x:c r="H3165" t="str">
        <x:v>DTW</x:v>
      </x:c>
      <x:c r="I3165" t="str">
        <x:v>SEA</x:v>
      </x:c>
      <x:c r="J3165" s="23" t="n">
        <x:v>6155</x:v>
      </x:c>
      <x:c r="K3165" s="24" t="n">
        <x:v>0.16653127538586515</x:v>
      </x:c>
      <x:c r="L3165" s="24" t="n">
        <x:v>0.007636068237205524</x:v>
      </x:c>
    </x:row>
    <x:row r="3166">
      <x:c r="G3166" t="str">
        <x:v>DTW-BNA</x:v>
      </x:c>
      <x:c r="H3166" t="str">
        <x:v>DTW</x:v>
      </x:c>
      <x:c r="I3166" t="str">
        <x:v>BNA</x:v>
      </x:c>
      <x:c r="J3166" s="23" t="n">
        <x:v>6810</x:v>
      </x:c>
      <x:c r="K3166" s="24" t="n">
        <x:v>0.16651982378854627</x:v>
      </x:c>
      <x:c r="L3166" s="24" t="n">
        <x:v>0.008516886930983847</x:v>
      </x:c>
    </x:row>
    <x:row r="3167">
      <x:c r="G3167" t="str">
        <x:v>SAT-EWR</x:v>
      </x:c>
      <x:c r="H3167" t="str">
        <x:v>SAT</x:v>
      </x:c>
      <x:c r="I3167" t="str">
        <x:v>EWR</x:v>
      </x:c>
      <x:c r="J3167" s="23" t="n">
        <x:v>2048</x:v>
      </x:c>
      <x:c r="K3167" s="24" t="n">
        <x:v>0.16650390625</x:v>
      </x:c>
      <x:c r="L3167" s="24" t="n">
        <x:v>0.0126953125</x:v>
      </x:c>
    </x:row>
    <x:row r="3168">
      <x:c r="G3168" t="str">
        <x:v>SFO-TPA</x:v>
      </x:c>
      <x:c r="H3168" t="str">
        <x:v>SFO</x:v>
      </x:c>
      <x:c r="I3168" t="str">
        <x:v>TPA</x:v>
      </x:c>
      <x:c r="J3168" s="23" t="n">
        <x:v>1862</x:v>
      </x:c>
      <x:c r="K3168" s="24" t="n">
        <x:v>0.16648764769065522</x:v>
      </x:c>
      <x:c r="L3168" s="24" t="n">
        <x:v>0.01020408163265306</x:v>
      </x:c>
    </x:row>
    <x:row r="3169">
      <x:c r="G3169" t="str">
        <x:v>LRD-DFW</x:v>
      </x:c>
      <x:c r="H3169" t="str">
        <x:v>LRD</x:v>
      </x:c>
      <x:c r="I3169" t="str">
        <x:v>DFW</x:v>
      </x:c>
      <x:c r="J3169" s="23" t="n">
        <x:v>4541</x:v>
      </x:c>
      <x:c r="K3169" s="24" t="n">
        <x:v>0.16648315349042062</x:v>
      </x:c>
      <x:c r="L3169" s="24" t="n">
        <x:v>0.024003523452983924</x:v>
      </x:c>
    </x:row>
    <x:row r="3170">
      <x:c r="G3170" t="str">
        <x:v>PHX-ATL</x:v>
      </x:c>
      <x:c r="H3170" t="str">
        <x:v>PHX</x:v>
      </x:c>
      <x:c r="I3170" t="str">
        <x:v>ATL</x:v>
      </x:c>
      <x:c r="J3170" s="23" t="n">
        <x:v>11096</x:v>
      </x:c>
      <x:c r="K3170" s="24" t="n">
        <x:v>0.1664563806777217</x:v>
      </x:c>
      <x:c r="L3170" s="24" t="n">
        <x:v>0.006218457101658255</x:v>
      </x:c>
    </x:row>
    <x:row r="3171">
      <x:c r="G3171" t="str">
        <x:v>CMI-DFW</x:v>
      </x:c>
      <x:c r="H3171" t="str">
        <x:v>CMI</x:v>
      </x:c>
      <x:c r="I3171" t="str">
        <x:v>DFW</x:v>
      </x:c>
      <x:c r="J3171" s="23" t="n">
        <x:v>2181</x:v>
      </x:c>
      <x:c r="K3171" s="24" t="n">
        <x:v>0.16643741403026135</x:v>
      </x:c>
      <x:c r="L3171" s="24" t="n">
        <x:v>0.016047684548372305</x:v>
      </x:c>
    </x:row>
    <x:row r="3172">
      <x:c r="G3172" t="str">
        <x:v>MEM-DCA</x:v>
      </x:c>
      <x:c r="H3172" t="str">
        <x:v>MEM</x:v>
      </x:c>
      <x:c r="I3172" t="str">
        <x:v>DCA</x:v>
      </x:c>
      <x:c r="J3172" s="23" t="n">
        <x:v>3594</x:v>
      </x:c>
      <x:c r="K3172" s="24" t="n">
        <x:v>0.16638842515303284</x:v>
      </x:c>
      <x:c r="L3172" s="24" t="n">
        <x:v>0.025041736227045076</x:v>
      </x:c>
    </x:row>
    <x:row r="3173">
      <x:c r="G3173" t="str">
        <x:v>COS-ORD</x:v>
      </x:c>
      <x:c r="H3173" t="str">
        <x:v>COS</x:v>
      </x:c>
      <x:c r="I3173" t="str">
        <x:v>ORD</x:v>
      </x:c>
      <x:c r="J3173" s="23" t="n">
        <x:v>2128</x:v>
      </x:c>
      <x:c r="K3173" s="24" t="n">
        <x:v>0.16635338345864661</x:v>
      </x:c>
      <x:c r="L3173" s="24" t="n">
        <x:v>0.007048872180451127</x:v>
      </x:c>
    </x:row>
    <x:row r="3174">
      <x:c r="G3174" t="str">
        <x:v>LAX-CLT</x:v>
      </x:c>
      <x:c r="H3174" t="str">
        <x:v>LAX</x:v>
      </x:c>
      <x:c r="I3174" t="str">
        <x:v>CLT</x:v>
      </x:c>
      <x:c r="J3174" s="23" t="n">
        <x:v>8029</x:v>
      </x:c>
      <x:c r="K3174" s="24" t="n">
        <x:v>0.1662722630464566</x:v>
      </x:c>
      <x:c r="L3174" s="24" t="n">
        <x:v>0.007597459210362436</x:v>
      </x:c>
    </x:row>
    <x:row r="3175">
      <x:c r="G3175" t="str">
        <x:v>LAX-KOA</x:v>
      </x:c>
      <x:c r="H3175" t="str">
        <x:v>LAX</x:v>
      </x:c>
      <x:c r="I3175" t="str">
        <x:v>KOA</x:v>
      </x:c>
      <x:c r="J3175" s="23" t="n">
        <x:v>4950</x:v>
      </x:c>
      <x:c r="K3175" s="24" t="n">
        <x:v>0.16626262626262625</x:v>
      </x:c>
      <x:c r="L3175" s="24" t="n">
        <x:v>0.004242424242424243</x:v>
      </x:c>
    </x:row>
    <x:row r="3176">
      <x:c r="G3176" t="str">
        <x:v>LGA-GSO</x:v>
      </x:c>
      <x:c r="H3176" t="str">
        <x:v>LGA</x:v>
      </x:c>
      <x:c r="I3176" t="str">
        <x:v>GSO</x:v>
      </x:c>
      <x:c r="J3176" s="23" t="n">
        <x:v>5914</x:v>
      </x:c>
      <x:c r="K3176" s="24" t="n">
        <x:v>0.16621575921542103</x:v>
      </x:c>
      <x:c r="L3176" s="24" t="n">
        <x:v>0.03753804531619885</x:v>
      </x:c>
    </x:row>
    <x:row r="3177">
      <x:c r="G3177" t="str">
        <x:v>SEA-SLC</x:v>
      </x:c>
      <x:c r="H3177" t="str">
        <x:v>SEA</x:v>
      </x:c>
      <x:c r="I3177" t="str">
        <x:v>SLC</x:v>
      </x:c>
      <x:c r="J3177" s="23" t="n">
        <x:v>11780</x:v>
      </x:c>
      <x:c r="K3177" s="24" t="n">
        <x:v>0.16612903225806452</x:v>
      </x:c>
      <x:c r="L3177" s="24" t="n">
        <x:v>0.007045840407470289</x:v>
      </x:c>
    </x:row>
    <x:row r="3178">
      <x:c r="G3178" t="str">
        <x:v>MLI-DFW</x:v>
      </x:c>
      <x:c r="H3178" t="str">
        <x:v>MLI</x:v>
      </x:c>
      <x:c r="I3178" t="str">
        <x:v>DFW</x:v>
      </x:c>
      <x:c r="J3178" s="23" t="n">
        <x:v>2354</x:v>
      </x:c>
      <x:c r="K3178" s="24" t="n">
        <x:v>0.1661002548853016</x:v>
      </x:c>
      <x:c r="L3178" s="24" t="n">
        <x:v>0.01826677994902294</x:v>
      </x:c>
    </x:row>
    <x:row r="3179">
      <x:c r="G3179" t="str">
        <x:v>SBA-OAK</x:v>
      </x:c>
      <x:c r="H3179" t="str">
        <x:v>SBA</x:v>
      </x:c>
      <x:c r="I3179" t="str">
        <x:v>OAK</x:v>
      </x:c>
      <x:c r="J3179" s="23" t="n">
        <x:v>1060</x:v>
      </x:c>
      <x:c r="K3179" s="24" t="n">
        <x:v>0.1660377358490566</x:v>
      </x:c>
      <x:c r="L3179" s="24" t="n">
        <x:v>0.008490566037735849</x:v>
      </x:c>
    </x:row>
    <x:row r="3180">
      <x:c r="G3180" t="str">
        <x:v>ATL-BOI</x:v>
      </x:c>
      <x:c r="H3180" t="str">
        <x:v>ATL</x:v>
      </x:c>
      <x:c r="I3180" t="str">
        <x:v>BOI</x:v>
      </x:c>
      <x:c r="J3180" s="23" t="n">
        <x:v>1434</x:v>
      </x:c>
      <x:c r="K3180" s="24" t="n">
        <x:v>0.16596931659693165</x:v>
      </x:c>
      <x:c r="L3180" s="24" t="n">
        <x:v>0.010460251046025104</x:v>
      </x:c>
    </x:row>
    <x:row r="3181">
      <x:c r="G3181" t="str">
        <x:v>AVP-CLT</x:v>
      </x:c>
      <x:c r="H3181" t="str">
        <x:v>AVP</x:v>
      </x:c>
      <x:c r="I3181" t="str">
        <x:v>CLT</x:v>
      </x:c>
      <x:c r="J3181" s="23" t="n">
        <x:v>3098</x:v>
      </x:c>
      <x:c r="K3181" s="24" t="n">
        <x:v>0.1659134925758554</x:v>
      </x:c>
      <x:c r="L3181" s="24" t="n">
        <x:v>0.014202711426726921</x:v>
      </x:c>
    </x:row>
    <x:row r="3182">
      <x:c r="G3182" t="str">
        <x:v>TPA-RDU</x:v>
      </x:c>
      <x:c r="H3182" t="str">
        <x:v>TPA</x:v>
      </x:c>
      <x:c r="I3182" t="str">
        <x:v>RDU</x:v>
      </x:c>
      <x:c r="J3182" s="23" t="n">
        <x:v>3902</x:v>
      </x:c>
      <x:c r="K3182" s="24" t="n">
        <x:v>0.16581240389543825</x:v>
      </x:c>
      <x:c r="L3182" s="24" t="n">
        <x:v>0.013839056893900564</x:v>
      </x:c>
    </x:row>
    <x:row r="3183">
      <x:c r="G3183" t="str">
        <x:v>STL-MDW</x:v>
      </x:c>
      <x:c r="H3183" t="str">
        <x:v>STL</x:v>
      </x:c>
      <x:c r="I3183" t="str">
        <x:v>MDW</x:v>
      </x:c>
      <x:c r="J3183" s="23" t="n">
        <x:v>5838</x:v>
      </x:c>
      <x:c r="K3183" s="24" t="n">
        <x:v>0.1658102089756766</x:v>
      </x:c>
      <x:c r="L3183" s="24" t="n">
        <x:v>0.01301815690304899</x:v>
      </x:c>
    </x:row>
    <x:row r="3184">
      <x:c r="G3184" t="str">
        <x:v>BOI-BUR</x:v>
      </x:c>
      <x:c r="H3184" t="str">
        <x:v>BOI</x:v>
      </x:c>
      <x:c r="I3184" t="str">
        <x:v>BUR</x:v>
      </x:c>
      <x:c r="J3184" s="23" t="n">
        <x:v>1110</x:v>
      </x:c>
      <x:c r="K3184" s="24" t="n">
        <x:v>0.16576576576576577</x:v>
      </x:c>
      <x:c r="L3184" s="24" t="n">
        <x:v>0.0018018018018018018</x:v>
      </x:c>
    </x:row>
    <x:row r="3185">
      <x:c r="G3185" t="str">
        <x:v>LGA-ORF</x:v>
      </x:c>
      <x:c r="H3185" t="str">
        <x:v>LGA</x:v>
      </x:c>
      <x:c r="I3185" t="str">
        <x:v>ORF</x:v>
      </x:c>
      <x:c r="J3185" s="23" t="n">
        <x:v>5087</x:v>
      </x:c>
      <x:c r="K3185" s="24" t="n">
        <x:v>0.16571653233733044</x:v>
      </x:c>
      <x:c r="L3185" s="24" t="n">
        <x:v>0.04265775506192255</x:v>
      </x:c>
    </x:row>
    <x:row r="3186">
      <x:c r="G3186" t="str">
        <x:v>PHX-SBP</x:v>
      </x:c>
      <x:c r="H3186" t="str">
        <x:v>PHX</x:v>
      </x:c>
      <x:c r="I3186" t="str">
        <x:v>SBP</x:v>
      </x:c>
      <x:c r="J3186" s="23" t="n">
        <x:v>3464</x:v>
      </x:c>
      <x:c r="K3186" s="24" t="n">
        <x:v>0.16570438799076212</x:v>
      </x:c>
      <x:c r="L3186" s="24" t="n">
        <x:v>0.0043302540415704385</x:v>
      </x:c>
    </x:row>
    <x:row r="3187">
      <x:c r="G3187" t="str">
        <x:v>CHS-ORD</x:v>
      </x:c>
      <x:c r="H3187" t="str">
        <x:v>CHS</x:v>
      </x:c>
      <x:c r="I3187" t="str">
        <x:v>ORD</x:v>
      </x:c>
      <x:c r="J3187" s="23" t="n">
        <x:v>4353</x:v>
      </x:c>
      <x:c r="K3187" s="24" t="n">
        <x:v>0.16563289685274524</x:v>
      </x:c>
      <x:c r="L3187" s="24" t="n">
        <x:v>0.015161957270847692</x:v>
      </x:c>
    </x:row>
    <x:row r="3188">
      <x:c r="G3188" t="str">
        <x:v>JNU-SEA</x:v>
      </x:c>
      <x:c r="H3188" t="str">
        <x:v>JNU</x:v>
      </x:c>
      <x:c r="I3188" t="str">
        <x:v>SEA</x:v>
      </x:c>
      <x:c r="J3188" s="23" t="n">
        <x:v>4825</x:v>
      </x:c>
      <x:c r="K3188" s="24" t="n">
        <x:v>0.1655958549222798</x:v>
      </x:c>
      <x:c r="L3188" s="24" t="n">
        <x:v>0.016580310880829015</x:v>
      </x:c>
    </x:row>
    <x:row r="3189">
      <x:c r="G3189" t="str">
        <x:v>ATL-SMF</x:v>
      </x:c>
      <x:c r="H3189" t="str">
        <x:v>ATL</x:v>
      </x:c>
      <x:c r="I3189" t="str">
        <x:v>SMF</x:v>
      </x:c>
      <x:c r="J3189" s="23" t="n">
        <x:v>2893</x:v>
      </x:c>
      <x:c r="K3189" s="24" t="n">
        <x:v>0.1655720705150363</x:v>
      </x:c>
      <x:c r="L3189" s="24" t="n">
        <x:v>0.00829588662288282</x:v>
      </x:c>
    </x:row>
    <x:row r="3190">
      <x:c r="G3190" t="str">
        <x:v>CMH-STL</x:v>
      </x:c>
      <x:c r="H3190" t="str">
        <x:v>CMH</x:v>
      </x:c>
      <x:c r="I3190" t="str">
        <x:v>STL</x:v>
      </x:c>
      <x:c r="J3190" s="23" t="n">
        <x:v>1951</x:v>
      </x:c>
      <x:c r="K3190" s="24" t="n">
        <x:v>0.16555612506406972</x:v>
      </x:c>
      <x:c r="L3190" s="24" t="n">
        <x:v>0.008713480266529985</x:v>
      </x:c>
    </x:row>
    <x:row r="3191">
      <x:c r="G3191" t="str">
        <x:v>SFO-BWI</x:v>
      </x:c>
      <x:c r="H3191" t="str">
        <x:v>SFO</x:v>
      </x:c>
      <x:c r="I3191" t="str">
        <x:v>BWI</x:v>
      </x:c>
      <x:c r="J3191" s="23" t="n">
        <x:v>1933</x:v>
      </x:c>
      <x:c r="K3191" s="24" t="n">
        <x:v>0.16554578375581996</x:v>
      </x:c>
      <x:c r="L3191" s="24" t="n">
        <x:v>0.006725297465080186</x:v>
      </x:c>
    </x:row>
    <x:row r="3192">
      <x:c r="G3192" t="str">
        <x:v>SNA-ATL</x:v>
      </x:c>
      <x:c r="H3192" t="str">
        <x:v>SNA</x:v>
      </x:c>
      <x:c r="I3192" t="str">
        <x:v>ATL</x:v>
      </x:c>
      <x:c r="J3192" s="23" t="n">
        <x:v>3144</x:v>
      </x:c>
      <x:c r="K3192" s="24" t="n">
        <x:v>0.16539440203562342</x:v>
      </x:c>
      <x:c r="L3192" s="24" t="n">
        <x:v>0.009860050890585241</x:v>
      </x:c>
    </x:row>
    <x:row r="3193">
      <x:c r="G3193" t="str">
        <x:v>HNL-LAX</x:v>
      </x:c>
      <x:c r="H3193" t="str">
        <x:v>HNL</x:v>
      </x:c>
      <x:c r="I3193" t="str">
        <x:v>LAX</x:v>
      </x:c>
      <x:c r="J3193" s="23" t="n">
        <x:v>16260</x:v>
      </x:c>
      <x:c r="K3193" s="24" t="n">
        <x:v>0.16531365313653137</x:v>
      </x:c>
      <x:c r="L3193" s="24" t="n">
        <x:v>0.006519065190651907</x:v>
      </x:c>
    </x:row>
    <x:row r="3194">
      <x:c r="G3194" t="str">
        <x:v>IAD-SAN</x:v>
      </x:c>
      <x:c r="H3194" t="str">
        <x:v>IAD</x:v>
      </x:c>
      <x:c r="I3194" t="str">
        <x:v>SAN</x:v>
      </x:c>
      <x:c r="J3194" s="23" t="n">
        <x:v>4422</x:v>
      </x:c>
      <x:c r="K3194" s="24" t="n">
        <x:v>0.1653098145635459</x:v>
      </x:c>
      <x:c r="L3194" s="24" t="n">
        <x:v>0.011307100859339666</x:v>
      </x:c>
    </x:row>
    <x:row r="3195">
      <x:c r="G3195" t="str">
        <x:v>ATL-TYS</x:v>
      </x:c>
      <x:c r="H3195" t="str">
        <x:v>ATL</x:v>
      </x:c>
      <x:c r="I3195" t="str">
        <x:v>TYS</x:v>
      </x:c>
      <x:c r="J3195" s="23" t="n">
        <x:v>6733</x:v>
      </x:c>
      <x:c r="K3195" s="24" t="n">
        <x:v>0.16530521312936283</x:v>
      </x:c>
      <x:c r="L3195" s="24" t="n">
        <x:v>0.009059854448240012</x:v>
      </x:c>
    </x:row>
    <x:row r="3196">
      <x:c r="G3196" t="str">
        <x:v>DTW-MQT</x:v>
      </x:c>
      <x:c r="H3196" t="str">
        <x:v>DTW</x:v>
      </x:c>
      <x:c r="I3196" t="str">
        <x:v>MQT</x:v>
      </x:c>
      <x:c r="J3196" s="23" t="n">
        <x:v>1095</x:v>
      </x:c>
      <x:c r="K3196" s="24" t="n">
        <x:v>0.16529680365296803</x:v>
      </x:c>
      <x:c r="L3196" s="24" t="n">
        <x:v>0.023744292237442923</x:v>
      </x:c>
    </x:row>
    <x:row r="3197">
      <x:c r="G3197" t="str">
        <x:v>LFT-ATL</x:v>
      </x:c>
      <x:c r="H3197" t="str">
        <x:v>LFT</x:v>
      </x:c>
      <x:c r="I3197" t="str">
        <x:v>ATL</x:v>
      </x:c>
      <x:c r="J3197" s="23" t="n">
        <x:v>2293</x:v>
      </x:c>
      <x:c r="K3197" s="24" t="n">
        <x:v>0.16528565198430004</x:v>
      </x:c>
      <x:c r="L3197" s="24" t="n">
        <x:v>0.007849978194505015</x:v>
      </x:c>
    </x:row>
    <x:row r="3198">
      <x:c r="G3198" t="str">
        <x:v>ECP-HOU</x:v>
      </x:c>
      <x:c r="H3198" t="str">
        <x:v>ECP</x:v>
      </x:c>
      <x:c r="I3198" t="str">
        <x:v>HOU</x:v>
      </x:c>
      <x:c r="J3198" s="23" t="n">
        <x:v>1235</x:v>
      </x:c>
      <x:c r="K3198" s="24" t="n">
        <x:v>0.1651821862348178</x:v>
      </x:c>
      <x:c r="L3198" s="24" t="n">
        <x:v>0.004048582995951417</x:v>
      </x:c>
    </x:row>
    <x:row r="3199">
      <x:c r="G3199" t="str">
        <x:v>AUS-ATL</x:v>
      </x:c>
      <x:c r="H3199" t="str">
        <x:v>AUS</x:v>
      </x:c>
      <x:c r="I3199" t="str">
        <x:v>ATL</x:v>
      </x:c>
      <x:c r="J3199" s="23" t="n">
        <x:v>13023</x:v>
      </x:c>
      <x:c r="K3199" s="24" t="n">
        <x:v>0.16516931582584657</x:v>
      </x:c>
      <x:c r="L3199" s="24" t="n">
        <x:v>0.0101359133840129</x:v>
      </x:c>
    </x:row>
    <x:row r="3200">
      <x:c r="G3200" t="str">
        <x:v>ORF-DTW</x:v>
      </x:c>
      <x:c r="H3200" t="str">
        <x:v>ORF</x:v>
      </x:c>
      <x:c r="I3200" t="str">
        <x:v>DTW</x:v>
      </x:c>
      <x:c r="J3200" s="23" t="n">
        <x:v>2350</x:v>
      </x:c>
      <x:c r="K3200" s="24" t="n">
        <x:v>0.1651063829787234</x:v>
      </x:c>
      <x:c r="L3200" s="24" t="n">
        <x:v>0.008085106382978723</x:v>
      </x:c>
    </x:row>
    <x:row r="3201">
      <x:c r="G3201" t="str">
        <x:v>AUS-SLC</x:v>
      </x:c>
      <x:c r="H3201" t="str">
        <x:v>AUS</x:v>
      </x:c>
      <x:c r="I3201" t="str">
        <x:v>SLC</x:v>
      </x:c>
      <x:c r="J3201" s="23" t="n">
        <x:v>5040</x:v>
      </x:c>
      <x:c r="K3201" s="24" t="n">
        <x:v>0.16507936507936508</x:v>
      </x:c>
      <x:c r="L3201" s="24" t="n">
        <x:v>0.005158730158730159</x:v>
      </x:c>
    </x:row>
    <x:row r="3202">
      <x:c r="G3202" t="str">
        <x:v>SBA-DEN</x:v>
      </x:c>
      <x:c r="H3202" t="str">
        <x:v>SBA</x:v>
      </x:c>
      <x:c r="I3202" t="str">
        <x:v>DEN</x:v>
      </x:c>
      <x:c r="J3202" s="23" t="n">
        <x:v>3431</x:v>
      </x:c>
      <x:c r="K3202" s="24" t="n">
        <x:v>0.16496648207519674</x:v>
      </x:c>
      <x:c r="L3202" s="24" t="n">
        <x:v>0.016613232293791896</x:v>
      </x:c>
    </x:row>
    <x:row r="3203">
      <x:c r="G3203" t="str">
        <x:v>IAH-VCT</x:v>
      </x:c>
      <x:c r="H3203" t="str">
        <x:v>IAH</x:v>
      </x:c>
      <x:c r="I3203" t="str">
        <x:v>VCT</x:v>
      </x:c>
      <x:c r="J3203" s="23" t="n">
        <x:v>1861</x:v>
      </x:c>
      <x:c r="K3203" s="24" t="n">
        <x:v>0.16496507254164428</x:v>
      </x:c>
      <x:c r="L3203" s="24" t="n">
        <x:v>0.02041912950026867</x:v>
      </x:c>
    </x:row>
    <x:row r="3204">
      <x:c r="G3204" t="str">
        <x:v>BOS-IAD</x:v>
      </x:c>
      <x:c r="H3204" t="str">
        <x:v>BOS</x:v>
      </x:c>
      <x:c r="I3204" t="str">
        <x:v>IAD</x:v>
      </x:c>
      <x:c r="J3204" s="23" t="n">
        <x:v>4462</x:v>
      </x:c>
      <x:c r="K3204" s="24" t="n">
        <x:v>0.16494845360824742</x:v>
      </x:c>
      <x:c r="L3204" s="24" t="n">
        <x:v>0.010757507844016136</x:v>
      </x:c>
    </x:row>
    <x:row r="3205">
      <x:c r="G3205" t="str">
        <x:v>DCA-IND</x:v>
      </x:c>
      <x:c r="H3205" t="str">
        <x:v>DCA</x:v>
      </x:c>
      <x:c r="I3205" t="str">
        <x:v>IND</x:v>
      </x:c>
      <x:c r="J3205" s="23" t="n">
        <x:v>6039</x:v>
      </x:c>
      <x:c r="K3205" s="24" t="n">
        <x:v>0.16492796820665673</x:v>
      </x:c>
      <x:c r="L3205" s="24" t="n">
        <x:v>0.02036761053154496</x:v>
      </x:c>
    </x:row>
    <x:row r="3206">
      <x:c r="G3206" t="str">
        <x:v>SAN-ATL</x:v>
      </x:c>
      <x:c r="H3206" t="str">
        <x:v>SAN</x:v>
      </x:c>
      <x:c r="I3206" t="str">
        <x:v>ATL</x:v>
      </x:c>
      <x:c r="J3206" s="23" t="n">
        <x:v>7113</x:v>
      </x:c>
      <x:c r="K3206" s="24" t="n">
        <x:v>0.16490932096161956</x:v>
      </x:c>
      <x:c r="L3206" s="24" t="n">
        <x:v>0.008575847040629832</x:v>
      </x:c>
    </x:row>
    <x:row r="3207">
      <x:c r="G3207" t="str">
        <x:v>JAX-MSP</x:v>
      </x:c>
      <x:c r="H3207" t="str">
        <x:v>JAX</x:v>
      </x:c>
      <x:c r="I3207" t="str">
        <x:v>MSP</x:v>
      </x:c>
      <x:c r="J3207" s="23" t="n">
        <x:v>1037</x:v>
      </x:c>
      <x:c r="K3207" s="24" t="n">
        <x:v>0.16489874638379942</x:v>
      </x:c>
      <x:c r="L3207" s="24" t="n">
        <x:v>0.01446480231436837</x:v>
      </x:c>
    </x:row>
    <x:row r="3208">
      <x:c r="G3208" t="str">
        <x:v>SFO-DTW</x:v>
      </x:c>
      <x:c r="H3208" t="str">
        <x:v>SFO</x:v>
      </x:c>
      <x:c r="I3208" t="str">
        <x:v>DTW</x:v>
      </x:c>
      <x:c r="J3208" s="23" t="n">
        <x:v>4797</x:v>
      </x:c>
      <x:c r="K3208" s="24" t="n">
        <x:v>0.16489472587033563</x:v>
      </x:c>
      <x:c r="L3208" s="24" t="n">
        <x:v>0.009380863039399626</x:v>
      </x:c>
    </x:row>
    <x:row r="3209">
      <x:c r="G3209" t="str">
        <x:v>EUG-PHX</x:v>
      </x:c>
      <x:c r="H3209" t="str">
        <x:v>EUG</x:v>
      </x:c>
      <x:c r="I3209" t="str">
        <x:v>PHX</x:v>
      </x:c>
      <x:c r="J3209" s="23" t="n">
        <x:v>1656</x:v>
      </x:c>
      <x:c r="K3209" s="24" t="n">
        <x:v>0.16485507246376813</x:v>
      </x:c>
      <x:c r="L3209" s="24" t="n">
        <x:v>0.00785024154589372</x:v>
      </x:c>
    </x:row>
    <x:row r="3210">
      <x:c r="G3210" t="str">
        <x:v>ILM-CLT</x:v>
      </x:c>
      <x:c r="H3210" t="str">
        <x:v>ILM</x:v>
      </x:c>
      <x:c r="I3210" t="str">
        <x:v>CLT</x:v>
      </x:c>
      <x:c r="J3210" s="23" t="n">
        <x:v>7324</x:v>
      </x:c>
      <x:c r="K3210" s="24" t="n">
        <x:v>0.164800655379574</x:v>
      </x:c>
      <x:c r="L3210" s="24" t="n">
        <x:v>0.014336428181321682</x:v>
      </x:c>
    </x:row>
    <x:row r="3211">
      <x:c r="G3211" t="str">
        <x:v>ORF-BWI</x:v>
      </x:c>
      <x:c r="H3211" t="str">
        <x:v>ORF</x:v>
      </x:c>
      <x:c r="I3211" t="str">
        <x:v>BWI</x:v>
      </x:c>
      <x:c r="J3211" s="23" t="n">
        <x:v>4612</x:v>
      </x:c>
      <x:c r="K3211" s="24" t="n">
        <x:v>0.1647875108412836</x:v>
      </x:c>
      <x:c r="L3211" s="24" t="n">
        <x:v>0.007805724197745013</x:v>
      </x:c>
    </x:row>
    <x:row r="3212">
      <x:c r="G3212" t="str">
        <x:v>LGA-PWM</x:v>
      </x:c>
      <x:c r="H3212" t="str">
        <x:v>LGA</x:v>
      </x:c>
      <x:c r="I3212" t="str">
        <x:v>PWM</x:v>
      </x:c>
      <x:c r="J3212" s="23" t="n">
        <x:v>4145</x:v>
      </x:c>
      <x:c r="K3212" s="24" t="n">
        <x:v>0.16477683956574185</x:v>
      </x:c>
      <x:c r="L3212" s="24" t="n">
        <x:v>0.03594692400482509</x:v>
      </x:c>
    </x:row>
    <x:row r="3213">
      <x:c r="G3213" t="str">
        <x:v>ATL-ABQ</x:v>
      </x:c>
      <x:c r="H3213" t="str">
        <x:v>ATL</x:v>
      </x:c>
      <x:c r="I3213" t="str">
        <x:v>ABQ</x:v>
      </x:c>
      <x:c r="J3213" s="23" t="n">
        <x:v>2950</x:v>
      </x:c>
      <x:c r="K3213" s="24" t="n">
        <x:v>0.16474576271186442</x:v>
      </x:c>
      <x:c r="L3213" s="24" t="n">
        <x:v>0.007796610169491526</x:v>
      </x:c>
    </x:row>
    <x:row r="3214">
      <x:c r="G3214" t="str">
        <x:v>MAF-AUS</x:v>
      </x:c>
      <x:c r="H3214" t="str">
        <x:v>MAF</x:v>
      </x:c>
      <x:c r="I3214" t="str">
        <x:v>AUS</x:v>
      </x:c>
      <x:c r="J3214" s="23" t="n">
        <x:v>2317</x:v>
      </x:c>
      <x:c r="K3214" s="24" t="n">
        <x:v>0.16443677168752696</x:v>
      </x:c>
      <x:c r="L3214" s="24" t="n">
        <x:v>0.003884333189469141</x:v>
      </x:c>
    </x:row>
    <x:row r="3215">
      <x:c r="G3215" t="str">
        <x:v>MSP-ATL</x:v>
      </x:c>
      <x:c r="H3215" t="str">
        <x:v>MSP</x:v>
      </x:c>
      <x:c r="I3215" t="str">
        <x:v>ATL</x:v>
      </x:c>
      <x:c r="J3215" s="23" t="n">
        <x:v>11032</x:v>
      </x:c>
      <x:c r="K3215" s="24" t="n">
        <x:v>0.16443074691805656</x:v>
      </x:c>
      <x:c r="L3215" s="24" t="n">
        <x:v>0.005529369108049311</x:v>
      </x:c>
    </x:row>
    <x:row r="3216">
      <x:c r="G3216" t="str">
        <x:v>SEA-CLT</x:v>
      </x:c>
      <x:c r="H3216" t="str">
        <x:v>SEA</x:v>
      </x:c>
      <x:c r="I3216" t="str">
        <x:v>CLT</x:v>
      </x:c>
      <x:c r="J3216" s="23" t="n">
        <x:v>3783</x:v>
      </x:c>
      <x:c r="K3216" s="24" t="n">
        <x:v>0.16441977266719535</x:v>
      </x:c>
      <x:c r="L3216" s="24" t="n">
        <x:v>0.00951625693893735</x:v>
      </x:c>
    </x:row>
    <x:row r="3217">
      <x:c r="G3217" t="str">
        <x:v>SJC-DEN</x:v>
      </x:c>
      <x:c r="H3217" t="str">
        <x:v>SJC</x:v>
      </x:c>
      <x:c r="I3217" t="str">
        <x:v>DEN</x:v>
      </x:c>
      <x:c r="J3217" s="23" t="n">
        <x:v>8880</x:v>
      </x:c>
      <x:c r="K3217" s="24" t="n">
        <x:v>0.16441441441441443</x:v>
      </x:c>
      <x:c r="L3217" s="24" t="n">
        <x:v>0.006981981981981982</x:v>
      </x:c>
    </x:row>
    <x:row r="3218">
      <x:c r="G3218" t="str">
        <x:v>SYR-ATL</x:v>
      </x:c>
      <x:c r="H3218" t="str">
        <x:v>SYR</x:v>
      </x:c>
      <x:c r="I3218" t="str">
        <x:v>ATL</x:v>
      </x:c>
      <x:c r="J3218" s="23" t="n">
        <x:v>3157</x:v>
      </x:c>
      <x:c r="K3218" s="24" t="n">
        <x:v>0.16439657903072538</x:v>
      </x:c>
      <x:c r="L3218" s="24" t="n">
        <x:v>0.012353500158378208</x:v>
      </x:c>
    </x:row>
    <x:row r="3219">
      <x:c r="G3219" t="str">
        <x:v>ATL-BHM</x:v>
      </x:c>
      <x:c r="H3219" t="str">
        <x:v>ATL</x:v>
      </x:c>
      <x:c r="I3219" t="str">
        <x:v>BHM</x:v>
      </x:c>
      <x:c r="J3219" s="23" t="n">
        <x:v>8802</x:v>
      </x:c>
      <x:c r="K3219" s="24" t="n">
        <x:v>0.16439445580549875</x:v>
      </x:c>
      <x:c r="L3219" s="24" t="n">
        <x:v>0.012269938650306749</x:v>
      </x:c>
    </x:row>
    <x:row r="3220">
      <x:c r="G3220" t="str">
        <x:v>IND-BWI</x:v>
      </x:c>
      <x:c r="H3220" t="str">
        <x:v>IND</x:v>
      </x:c>
      <x:c r="I3220" t="str">
        <x:v>BWI</x:v>
      </x:c>
      <x:c r="J3220" s="23" t="n">
        <x:v>3553</x:v>
      </x:c>
      <x:c r="K3220" s="24" t="n">
        <x:v>0.16436813960033775</x:v>
      </x:c>
      <x:c r="L3220" s="24" t="n">
        <x:v>0.008725021108922038</x:v>
      </x:c>
    </x:row>
    <x:row r="3221">
      <x:c r="G3221" t="str">
        <x:v>XNA-LGA</x:v>
      </x:c>
      <x:c r="H3221" t="str">
        <x:v>XNA</x:v>
      </x:c>
      <x:c r="I3221" t="str">
        <x:v>LGA</x:v>
      </x:c>
      <x:c r="J3221" s="23" t="n">
        <x:v>2332</x:v>
      </x:c>
      <x:c r="K3221" s="24" t="n">
        <x:v>0.16423670668953688</x:v>
      </x:c>
      <x:c r="L3221" s="24" t="n">
        <x:v>0.026586620926243566</x:v>
      </x:c>
    </x:row>
    <x:row r="3222">
      <x:c r="G3222" t="str">
        <x:v>GPT-CLT</x:v>
      </x:c>
      <x:c r="H3222" t="str">
        <x:v>GPT</x:v>
      </x:c>
      <x:c r="I3222" t="str">
        <x:v>CLT</x:v>
      </x:c>
      <x:c r="J3222" s="23" t="n">
        <x:v>2716</x:v>
      </x:c>
      <x:c r="K3222" s="24" t="n">
        <x:v>0.1642120765832106</x:v>
      </x:c>
      <x:c r="L3222" s="24" t="n">
        <x:v>0.02025036818851252</x:v>
      </x:c>
    </x:row>
    <x:row r="3223">
      <x:c r="G3223" t="str">
        <x:v>OAK-MCI</x:v>
      </x:c>
      <x:c r="H3223" t="str">
        <x:v>OAK</x:v>
      </x:c>
      <x:c r="I3223" t="str">
        <x:v>MCI</x:v>
      </x:c>
      <x:c r="J3223" s="23" t="n">
        <x:v>1072</x:v>
      </x:c>
      <x:c r="K3223" s="24" t="n">
        <x:v>0.16417910447761194</x:v>
      </x:c>
      <x:c r="L3223" s="24" t="n">
        <x:v>0.002798507462686567</x:v>
      </x:c>
    </x:row>
    <x:row r="3224">
      <x:c r="G3224" t="str">
        <x:v>SBP-DEN</x:v>
      </x:c>
      <x:c r="H3224" t="str">
        <x:v>SBP</x:v>
      </x:c>
      <x:c r="I3224" t="str">
        <x:v>DEN</x:v>
      </x:c>
      <x:c r="J3224" s="23" t="n">
        <x:v>2175</x:v>
      </x:c>
      <x:c r="K3224" s="24" t="n">
        <x:v>0.16413793103448276</x:v>
      </x:c>
      <x:c r="L3224" s="24" t="n">
        <x:v>0.009195402298850575</x:v>
      </x:c>
    </x:row>
    <x:row r="3225">
      <x:c r="G3225" t="str">
        <x:v>DTW-IND</x:v>
      </x:c>
      <x:c r="H3225" t="str">
        <x:v>DTW</x:v>
      </x:c>
      <x:c r="I3225" t="str">
        <x:v>IND</x:v>
      </x:c>
      <x:c r="J3225" s="23" t="n">
        <x:v>3479</x:v>
      </x:c>
      <x:c r="K3225" s="24" t="n">
        <x:v>0.16412762288013796</x:v>
      </x:c>
      <x:c r="L3225" s="24" t="n">
        <x:v>0.006898534061511929</x:v>
      </x:c>
    </x:row>
    <x:row r="3226">
      <x:c r="G3226" t="str">
        <x:v>BOI-SMF</x:v>
      </x:c>
      <x:c r="H3226" t="str">
        <x:v>BOI</x:v>
      </x:c>
      <x:c r="I3226" t="str">
        <x:v>SMF</x:v>
      </x:c>
      <x:c r="J3226" s="23" t="n">
        <x:v>2608</x:v>
      </x:c>
      <x:c r="K3226" s="24" t="n">
        <x:v>0.16411042944785276</x:v>
      </x:c>
      <x:c r="L3226" s="24" t="n">
        <x:v>0.0007668711656441718</x:v>
      </x:c>
    </x:row>
    <x:row r="3227">
      <x:c r="G3227" t="str">
        <x:v>CLE-ATL</x:v>
      </x:c>
      <x:c r="H3227" t="str">
        <x:v>CLE</x:v>
      </x:c>
      <x:c r="I3227" t="str">
        <x:v>ATL</x:v>
      </x:c>
      <x:c r="J3227" s="23" t="n">
        <x:v>9738</x:v>
      </x:c>
      <x:c r="K3227" s="24" t="n">
        <x:v>0.164099404395153</x:v>
      </x:c>
      <x:c r="L3227" s="24" t="n">
        <x:v>0.011295953994660095</x:v>
      </x:c>
    </x:row>
    <x:row r="3228">
      <x:c r="G3228" t="str">
        <x:v>HNL-LAS</x:v>
      </x:c>
      <x:c r="H3228" t="str">
        <x:v>HNL</x:v>
      </x:c>
      <x:c r="I3228" t="str">
        <x:v>LAS</x:v>
      </x:c>
      <x:c r="J3228" s="23" t="n">
        <x:v>5180</x:v>
      </x:c>
      <x:c r="K3228" s="24" t="n">
        <x:v>0.1640926640926641</x:v>
      </x:c>
      <x:c r="L3228" s="24" t="n">
        <x:v>0.0011583011583011582</x:v>
      </x:c>
    </x:row>
    <x:row r="3229">
      <x:c r="G3229" t="str">
        <x:v>DCA-MSP</x:v>
      </x:c>
      <x:c r="H3229" t="str">
        <x:v>DCA</x:v>
      </x:c>
      <x:c r="I3229" t="str">
        <x:v>MSP</x:v>
      </x:c>
      <x:c r="J3229" s="23" t="n">
        <x:v>7194</x:v>
      </x:c>
      <x:c r="K3229" s="24" t="n">
        <x:v>0.16402557686961355</x:v>
      </x:c>
      <x:c r="L3229" s="24" t="n">
        <x:v>0.01570753405615791</x:v>
      </x:c>
    </x:row>
    <x:row r="3230">
      <x:c r="G3230" t="str">
        <x:v>DCA-EYW</x:v>
      </x:c>
      <x:c r="H3230" t="str">
        <x:v>DCA</x:v>
      </x:c>
      <x:c r="I3230" t="str">
        <x:v>EYW</x:v>
      </x:c>
      <x:c r="J3230" s="23" t="n">
        <x:v>1549</x:v>
      </x:c>
      <x:c r="K3230" s="24" t="n">
        <x:v>0.16397675919948354</x:v>
      </x:c>
      <x:c r="L3230" s="24" t="n">
        <x:v>0.009683666881859263</x:v>
      </x:c>
    </x:row>
    <x:row r="3231">
      <x:c r="G3231" t="str">
        <x:v>MBS-DTW</x:v>
      </x:c>
      <x:c r="H3231" t="str">
        <x:v>MBS</x:v>
      </x:c>
      <x:c r="I3231" t="str">
        <x:v>DTW</x:v>
      </x:c>
      <x:c r="J3231" s="23" t="n">
        <x:v>3289</x:v>
      </x:c>
      <x:c r="K3231" s="24" t="n">
        <x:v>0.16387959866220736</x:v>
      </x:c>
      <x:c r="L3231" s="24" t="n">
        <x:v>0.008817269686834904</x:v>
      </x:c>
    </x:row>
    <x:row r="3232">
      <x:c r="G3232" t="str">
        <x:v>SFO-DCA</x:v>
      </x:c>
      <x:c r="H3232" t="str">
        <x:v>SFO</x:v>
      </x:c>
      <x:c r="I3232" t="str">
        <x:v>DCA</x:v>
      </x:c>
      <x:c r="J3232" s="23" t="n">
        <x:v>2508</x:v>
      </x:c>
      <x:c r="K3232" s="24" t="n">
        <x:v>0.1638755980861244</x:v>
      </x:c>
      <x:c r="L3232" s="24" t="n">
        <x:v>0.0035885167464114833</x:v>
      </x:c>
    </x:row>
    <x:row r="3233">
      <x:c r="G3233" t="str">
        <x:v>GPT-DFW</x:v>
      </x:c>
      <x:c r="H3233" t="str">
        <x:v>GPT</x:v>
      </x:c>
      <x:c r="I3233" t="str">
        <x:v>DFW</x:v>
      </x:c>
      <x:c r="J3233" s="23" t="n">
        <x:v>3125</x:v>
      </x:c>
      <x:c r="K3233" s="24" t="n">
        <x:v>0.16384</x:v>
      </x:c>
      <x:c r="L3233" s="24" t="n">
        <x:v>0.02624</x:v>
      </x:c>
    </x:row>
    <x:row r="3234">
      <x:c r="G3234" t="str">
        <x:v>BNA-STL</x:v>
      </x:c>
      <x:c r="H3234" t="str">
        <x:v>BNA</x:v>
      </x:c>
      <x:c r="I3234" t="str">
        <x:v>STL</x:v>
      </x:c>
      <x:c r="J3234" s="23" t="n">
        <x:v>3809</x:v>
      </x:c>
      <x:c r="K3234" s="24" t="n">
        <x:v>0.16382252559726962</x:v>
      </x:c>
      <x:c r="L3234" s="24" t="n">
        <x:v>0.010763980047256498</x:v>
      </x:c>
    </x:row>
    <x:row r="3235">
      <x:c r="G3235" t="str">
        <x:v>JFK-CMH</x:v>
      </x:c>
      <x:c r="H3235" t="str">
        <x:v>JFK</x:v>
      </x:c>
      <x:c r="I3235" t="str">
        <x:v>CMH</x:v>
      </x:c>
      <x:c r="J3235" s="23" t="n">
        <x:v>5770</x:v>
      </x:c>
      <x:c r="K3235" s="24" t="n">
        <x:v>0.1637781629116118</x:v>
      </x:c>
      <x:c r="L3235" s="24" t="n">
        <x:v>0.026169844020797226</x:v>
      </x:c>
    </x:row>
    <x:row r="3236">
      <x:c r="G3236" t="str">
        <x:v>BUR-DAL</x:v>
      </x:c>
      <x:c r="H3236" t="str">
        <x:v>BUR</x:v>
      </x:c>
      <x:c r="I3236" t="str">
        <x:v>DAL</x:v>
      </x:c>
      <x:c r="J3236" s="23" t="n">
        <x:v>1258</x:v>
      </x:c>
      <x:c r="K3236" s="24" t="n">
        <x:v>0.16375198728139906</x:v>
      </x:c>
      <x:c r="L3236" s="24" t="n">
        <x:v>0.009538950715421303</x:v>
      </x:c>
    </x:row>
    <x:row r="3237">
      <x:c r="G3237" t="str">
        <x:v>ORF-MIA</x:v>
      </x:c>
      <x:c r="H3237" t="str">
        <x:v>ORF</x:v>
      </x:c>
      <x:c r="I3237" t="str">
        <x:v>MIA</x:v>
      </x:c>
      <x:c r="J3237" s="23" t="n">
        <x:v>1454</x:v>
      </x:c>
      <x:c r="K3237" s="24" t="n">
        <x:v>0.16368638239339753</x:v>
      </x:c>
      <x:c r="L3237" s="24" t="n">
        <x:v>0.0171939477303989</x:v>
      </x:c>
    </x:row>
    <x:row r="3238">
      <x:c r="G3238" t="str">
        <x:v>GCC-DEN</x:v>
      </x:c>
      <x:c r="H3238" t="str">
        <x:v>GCC</x:v>
      </x:c>
      <x:c r="I3238" t="str">
        <x:v>DEN</x:v>
      </x:c>
      <x:c r="J3238" s="23" t="n">
        <x:v>2102</x:v>
      </x:c>
      <x:c r="K3238" s="24" t="n">
        <x:v>0.1636536631779258</x:v>
      </x:c>
      <x:c r="L3238" s="24" t="n">
        <x:v>0.017126546146527116</x:v>
      </x:c>
    </x:row>
    <x:row r="3239">
      <x:c r="G3239" t="str">
        <x:v>HOU-LGB</x:v>
      </x:c>
      <x:c r="H3239" t="str">
        <x:v>HOU</x:v>
      </x:c>
      <x:c r="I3239" t="str">
        <x:v>LGB</x:v>
      </x:c>
      <x:c r="J3239" s="23" t="n">
        <x:v>1815</x:v>
      </x:c>
      <x:c r="K3239" s="24" t="n">
        <x:v>0.16363636363636364</x:v>
      </x:c>
      <x:c r="L3239" s="24" t="n">
        <x:v>0.006060606060606061</x:v>
      </x:c>
    </x:row>
    <x:row r="3240">
      <x:c r="G3240" t="str">
        <x:v>ATL-VPS</x:v>
      </x:c>
      <x:c r="H3240" t="str">
        <x:v>ATL</x:v>
      </x:c>
      <x:c r="I3240" t="str">
        <x:v>VPS</x:v>
      </x:c>
      <x:c r="J3240" s="23" t="n">
        <x:v>6525</x:v>
      </x:c>
      <x:c r="K3240" s="24" t="n">
        <x:v>0.1635249042145594</x:v>
      </x:c>
      <x:c r="L3240" s="24" t="n">
        <x:v>0.012873563218390805</x:v>
      </x:c>
    </x:row>
    <x:row r="3241">
      <x:c r="G3241" t="str">
        <x:v>HOU-MSY</x:v>
      </x:c>
      <x:c r="H3241" t="str">
        <x:v>HOU</x:v>
      </x:c>
      <x:c r="I3241" t="str">
        <x:v>MSY</x:v>
      </x:c>
      <x:c r="J3241" s="23" t="n">
        <x:v>6748</x:v>
      </x:c>
      <x:c r="K3241" s="24" t="n">
        <x:v>0.1634558387670421</x:v>
      </x:c>
      <x:c r="L3241" s="24" t="n">
        <x:v>0.008002371072910491</x:v>
      </x:c>
    </x:row>
    <x:row r="3242">
      <x:c r="G3242" t="str">
        <x:v>ANC-PHX</x:v>
      </x:c>
      <x:c r="H3242" t="str">
        <x:v>ANC</x:v>
      </x:c>
      <x:c r="I3242" t="str">
        <x:v>PHX</x:v>
      </x:c>
      <x:c r="J3242" s="23" t="n">
        <x:v>1010</x:v>
      </x:c>
      <x:c r="K3242" s="24" t="n">
        <x:v>0.16336633663366337</x:v>
      </x:c>
      <x:c r="L3242" s="24" t="n">
        <x:v>0.006930693069306931</x:v>
      </x:c>
    </x:row>
    <x:row r="3243">
      <x:c r="G3243" t="str">
        <x:v>SHR-DEN</x:v>
      </x:c>
      <x:c r="H3243" t="str">
        <x:v>SHR</x:v>
      </x:c>
      <x:c r="I3243" t="str">
        <x:v>DEN</x:v>
      </x:c>
      <x:c r="J3243" s="23" t="n">
        <x:v>2106</x:v>
      </x:c>
      <x:c r="K3243" s="24" t="n">
        <x:v>0.16334283000949668</x:v>
      </x:c>
      <x:c r="L3243" s="24" t="n">
        <x:v>0.015194681861348529</x:v>
      </x:c>
    </x:row>
    <x:row r="3244">
      <x:c r="G3244" t="str">
        <x:v>MSP-MSO</x:v>
      </x:c>
      <x:c r="H3244" t="str">
        <x:v>MSP</x:v>
      </x:c>
      <x:c r="I3244" t="str">
        <x:v>MSO</x:v>
      </x:c>
      <x:c r="J3244" s="23" t="n">
        <x:v>1402</x:v>
      </x:c>
      <x:c r="K3244" s="24" t="n">
        <x:v>0.16333808844507847</x:v>
      </x:c>
      <x:c r="L3244" s="24" t="n">
        <x:v>0.006419400855920114</x:v>
      </x:c>
    </x:row>
    <x:row r="3245">
      <x:c r="G3245" t="str">
        <x:v>SAN-SLC</x:v>
      </x:c>
      <x:c r="H3245" t="str">
        <x:v>SAN</x:v>
      </x:c>
      <x:c r="I3245" t="str">
        <x:v>SLC</x:v>
      </x:c>
      <x:c r="J3245" s="23" t="n">
        <x:v>7635</x:v>
      </x:c>
      <x:c r="K3245" s="24" t="n">
        <x:v>0.1633267845448592</x:v>
      </x:c>
      <x:c r="L3245" s="24" t="n">
        <x:v>0.0056319580877537655</x:v>
      </x:c>
    </x:row>
    <x:row r="3246">
      <x:c r="G3246" t="str">
        <x:v>DFW-HRL</x:v>
      </x:c>
      <x:c r="H3246" t="str">
        <x:v>DFW</x:v>
      </x:c>
      <x:c r="I3246" t="str">
        <x:v>HRL</x:v>
      </x:c>
      <x:c r="J3246" s="23" t="n">
        <x:v>4618</x:v>
      </x:c>
      <x:c r="K3246" s="24" t="n">
        <x:v>0.16327414465136422</x:v>
      </x:c>
      <x:c r="L3246" s="24" t="n">
        <x:v>0.024469467301862276</x:v>
      </x:c>
    </x:row>
    <x:row r="3247">
      <x:c r="G3247" t="str">
        <x:v>LGA-CVG</x:v>
      </x:c>
      <x:c r="H3247" t="str">
        <x:v>LGA</x:v>
      </x:c>
      <x:c r="I3247" t="str">
        <x:v>CVG</x:v>
      </x:c>
      <x:c r="J3247" s="23" t="n">
        <x:v>5838</x:v>
      </x:c>
      <x:c r="K3247" s="24" t="n">
        <x:v>0.1632408359027064</x:v>
      </x:c>
      <x:c r="L3247" s="24" t="n">
        <x:v>0.03066118533744433</x:v>
      </x:c>
    </x:row>
    <x:row r="3248">
      <x:c r="G3248" t="str">
        <x:v>ABQ-DAL</x:v>
      </x:c>
      <x:c r="H3248" t="str">
        <x:v>ABQ</x:v>
      </x:c>
      <x:c r="I3248" t="str">
        <x:v>DAL</x:v>
      </x:c>
      <x:c r="J3248" s="23" t="n">
        <x:v>5091</x:v>
      </x:c>
      <x:c r="K3248" s="24" t="n">
        <x:v>0.1632292280494991</x:v>
      </x:c>
      <x:c r="L3248" s="24" t="n">
        <x:v>0.01198192889412689</x:v>
      </x:c>
    </x:row>
    <x:row r="3249">
      <x:c r="G3249" t="str">
        <x:v>MSP-IAD</x:v>
      </x:c>
      <x:c r="H3249" t="str">
        <x:v>MSP</x:v>
      </x:c>
      <x:c r="I3249" t="str">
        <x:v>IAD</x:v>
      </x:c>
      <x:c r="J3249" s="23" t="n">
        <x:v>2714</x:v>
      </x:c>
      <x:c r="K3249" s="24" t="n">
        <x:v>0.1632277081798084</x:v>
      </x:c>
      <x:c r="L3249" s="24" t="n">
        <x:v>0.006263817243920413</x:v>
      </x:c>
    </x:row>
    <x:row r="3250">
      <x:c r="G3250" t="str">
        <x:v>DFW-TRI</x:v>
      </x:c>
      <x:c r="H3250" t="str">
        <x:v>DFW</x:v>
      </x:c>
      <x:c r="I3250" t="str">
        <x:v>TRI</x:v>
      </x:c>
      <x:c r="J3250" s="23" t="n">
        <x:v>1771</x:v>
      </x:c>
      <x:c r="K3250" s="24" t="n">
        <x:v>0.163184641445511</x:v>
      </x:c>
      <x:c r="L3250" s="24" t="n">
        <x:v>0.011857707509881422</x:v>
      </x:c>
    </x:row>
    <x:row r="3251">
      <x:c r="G3251" t="str">
        <x:v>PSP-DFW</x:v>
      </x:c>
      <x:c r="H3251" t="str">
        <x:v>PSP</x:v>
      </x:c>
      <x:c r="I3251" t="str">
        <x:v>DFW</x:v>
      </x:c>
      <x:c r="J3251" s="23" t="n">
        <x:v>2985</x:v>
      </x:c>
      <x:c r="K3251" s="24" t="n">
        <x:v>0.16314907872696818</x:v>
      </x:c>
      <x:c r="L3251" s="24" t="n">
        <x:v>0.018090452261306532</x:v>
      </x:c>
    </x:row>
    <x:row r="3252">
      <x:c r="G3252" t="str">
        <x:v>SAT-BWI</x:v>
      </x:c>
      <x:c r="H3252" t="str">
        <x:v>SAT</x:v>
      </x:c>
      <x:c r="I3252" t="str">
        <x:v>BWI</x:v>
      </x:c>
      <x:c r="J3252" s="23" t="n">
        <x:v>2552</x:v>
      </x:c>
      <x:c r="K3252" s="24" t="n">
        <x:v>0.16300940438871472</x:v>
      </x:c>
      <x:c r="L3252" s="24" t="n">
        <x:v>0.0109717868338558</x:v>
      </x:c>
    </x:row>
    <x:row r="3253">
      <x:c r="G3253" t="str">
        <x:v>LGA-BUF</x:v>
      </x:c>
      <x:c r="H3253" t="str">
        <x:v>LGA</x:v>
      </x:c>
      <x:c r="I3253" t="str">
        <x:v>BUF</x:v>
      </x:c>
      <x:c r="J3253" s="23" t="n">
        <x:v>5847</x:v>
      </x:c>
      <x:c r="K3253" s="24" t="n">
        <x:v>0.1629895672994698</x:v>
      </x:c>
      <x:c r="L3253" s="24" t="n">
        <x:v>0.04036257910039336</x:v>
      </x:c>
    </x:row>
    <x:row r="3254">
      <x:c r="G3254" t="str">
        <x:v>SYR-JFK</x:v>
      </x:c>
      <x:c r="H3254" t="str">
        <x:v>SYR</x:v>
      </x:c>
      <x:c r="I3254" t="str">
        <x:v>JFK</x:v>
      </x:c>
      <x:c r="J3254" s="23" t="n">
        <x:v>3688</x:v>
      </x:c>
      <x:c r="K3254" s="24" t="n">
        <x:v>0.16296095444685466</x:v>
      </x:c>
      <x:c r="L3254" s="24" t="n">
        <x:v>0.036605206073752714</x:v>
      </x:c>
    </x:row>
    <x:row r="3255">
      <x:c r="G3255" t="str">
        <x:v>HNL-OAK</x:v>
      </x:c>
      <x:c r="H3255" t="str">
        <x:v>HNL</x:v>
      </x:c>
      <x:c r="I3255" t="str">
        <x:v>OAK</x:v>
      </x:c>
      <x:c r="J3255" s="23" t="n">
        <x:v>3002</x:v>
      </x:c>
      <x:c r="K3255" s="24" t="n">
        <x:v>0.16289140572951366</x:v>
      </x:c>
      <x:c r="L3255" s="24" t="n">
        <x:v>0.012658227848101266</x:v>
      </x:c>
    </x:row>
    <x:row r="3256">
      <x:c r="G3256" t="str">
        <x:v>SMF-PDX</x:v>
      </x:c>
      <x:c r="H3256" t="str">
        <x:v>SMF</x:v>
      </x:c>
      <x:c r="I3256" t="str">
        <x:v>PDX</x:v>
      </x:c>
      <x:c r="J3256" s="23" t="n">
        <x:v>5434</x:v>
      </x:c>
      <x:c r="K3256" s="24" t="n">
        <x:v>0.16286345233713656</x:v>
      </x:c>
      <x:c r="L3256" s="24" t="n">
        <x:v>0.005152741994847258</x:v>
      </x:c>
    </x:row>
    <x:row r="3257">
      <x:c r="G3257" t="str">
        <x:v>CDV-ANC</x:v>
      </x:c>
      <x:c r="H3257" t="str">
        <x:v>CDV</x:v>
      </x:c>
      <x:c r="I3257" t="str">
        <x:v>ANC</x:v>
      </x:c>
      <x:c r="J3257" s="23" t="n">
        <x:v>1087</x:v>
      </x:c>
      <x:c r="K3257" s="24" t="n">
        <x:v>0.16283348666053357</x:v>
      </x:c>
      <x:c r="L3257" s="24" t="n">
        <x:v>0.03035878564857406</x:v>
      </x:c>
    </x:row>
    <x:row r="3258">
      <x:c r="G3258" t="str">
        <x:v>ABI-DFW</x:v>
      </x:c>
      <x:c r="H3258" t="str">
        <x:v>ABI</x:v>
      </x:c>
      <x:c r="I3258" t="str">
        <x:v>DFW</x:v>
      </x:c>
      <x:c r="J3258" s="23" t="n">
        <x:v>4877</x:v>
      </x:c>
      <x:c r="K3258" s="24" t="n">
        <x:v>0.16280500307566126</x:v>
      </x:c>
      <x:c r="L3258" s="24" t="n">
        <x:v>0.014968218166905885</x:v>
      </x:c>
    </x:row>
    <x:row r="3259">
      <x:c r="G3259" t="str">
        <x:v>EWR-PIT</x:v>
      </x:c>
      <x:c r="H3259" t="str">
        <x:v>EWR</x:v>
      </x:c>
      <x:c r="I3259" t="str">
        <x:v>PIT</x:v>
      </x:c>
      <x:c r="J3259" s="23" t="n">
        <x:v>7323</x:v>
      </x:c>
      <x:c r="K3259" s="24" t="n">
        <x:v>0.16277481906322547</x:v>
      </x:c>
      <x:c r="L3259" s="24" t="n">
        <x:v>0.045200054622422506</x:v>
      </x:c>
    </x:row>
    <x:row r="3260">
      <x:c r="G3260" t="str">
        <x:v>ATL-ECP</x:v>
      </x:c>
      <x:c r="H3260" t="str">
        <x:v>ATL</x:v>
      </x:c>
      <x:c r="I3260" t="str">
        <x:v>ECP</x:v>
      </x:c>
      <x:c r="J3260" s="23" t="n">
        <x:v>6532</x:v>
      </x:c>
      <x:c r="K3260" s="24" t="n">
        <x:v>0.1627372933251684</x:v>
      </x:c>
      <x:c r="L3260" s="24" t="n">
        <x:v>0.010869565217391304</x:v>
      </x:c>
    </x:row>
    <x:row r="3261">
      <x:c r="G3261" t="str">
        <x:v>SEA-RDM</x:v>
      </x:c>
      <x:c r="H3261" t="str">
        <x:v>SEA</x:v>
      </x:c>
      <x:c r="I3261" t="str">
        <x:v>RDM</x:v>
      </x:c>
      <x:c r="J3261" s="23" t="n">
        <x:v>5279</x:v>
      </x:c>
      <x:c r="K3261" s="24" t="n">
        <x:v>0.1627202121613942</x:v>
      </x:c>
      <x:c r="L3261" s="24" t="n">
        <x:v>0.011176359158931616</x:v>
      </x:c>
    </x:row>
    <x:row r="3262">
      <x:c r="G3262" t="str">
        <x:v>MEM-PHL</x:v>
      </x:c>
      <x:c r="H3262" t="str">
        <x:v>MEM</x:v>
      </x:c>
      <x:c r="I3262" t="str">
        <x:v>PHL</x:v>
      </x:c>
      <x:c r="J3262" s="23" t="n">
        <x:v>1850</x:v>
      </x:c>
      <x:c r="K3262" s="24" t="n">
        <x:v>0.1627027027027027</x:v>
      </x:c>
      <x:c r="L3262" s="24" t="n">
        <x:v>0.016216216216216217</x:v>
      </x:c>
    </x:row>
    <x:row r="3263">
      <x:c r="G3263" t="str">
        <x:v>SAV-LGA</x:v>
      </x:c>
      <x:c r="H3263" t="str">
        <x:v>SAV</x:v>
      </x:c>
      <x:c r="I3263" t="str">
        <x:v>LGA</x:v>
      </x:c>
      <x:c r="J3263" s="23" t="n">
        <x:v>2865</x:v>
      </x:c>
      <x:c r="K3263" s="24" t="n">
        <x:v>0.16265270506108204</x:v>
      </x:c>
      <x:c r="L3263" s="24" t="n">
        <x:v>0.032460732984293195</x:v>
      </x:c>
    </x:row>
    <x:row r="3264">
      <x:c r="G3264" t="str">
        <x:v>OMA-DTW</x:v>
      </x:c>
      <x:c r="H3264" t="str">
        <x:v>OMA</x:v>
      </x:c>
      <x:c r="I3264" t="str">
        <x:v>DTW</x:v>
      </x:c>
      <x:c r="J3264" s="23" t="n">
        <x:v>3185</x:v>
      </x:c>
      <x:c r="K3264" s="24" t="n">
        <x:v>0.16263736263736264</x:v>
      </x:c>
      <x:c r="L3264" s="24" t="n">
        <x:v>0.00565149136577708</x:v>
      </x:c>
    </x:row>
    <x:row r="3265">
      <x:c r="G3265" t="str">
        <x:v>LAX-MSY</x:v>
      </x:c>
      <x:c r="H3265" t="str">
        <x:v>LAX</x:v>
      </x:c>
      <x:c r="I3265" t="str">
        <x:v>MSY</x:v>
      </x:c>
      <x:c r="J3265" s="23" t="n">
        <x:v>5036</x:v>
      </x:c>
      <x:c r="K3265" s="24" t="n">
        <x:v>0.1626290706910246</x:v>
      </x:c>
      <x:c r="L3265" s="24" t="n">
        <x:v>0.010325655281969817</x:v>
      </x:c>
    </x:row>
    <x:row r="3266">
      <x:c r="G3266" t="str">
        <x:v>ATL-FAY</x:v>
      </x:c>
      <x:c r="H3266" t="str">
        <x:v>ATL</x:v>
      </x:c>
      <x:c r="I3266" t="str">
        <x:v>FAY</x:v>
      </x:c>
      <x:c r="J3266" s="23" t="n">
        <x:v>1759</x:v>
      </x:c>
      <x:c r="K3266" s="24" t="n">
        <x:v>0.1625923820352473</x:v>
      </x:c>
      <x:c r="L3266" s="24" t="n">
        <x:v>0.01137009664582149</x:v>
      </x:c>
    </x:row>
    <x:row r="3267">
      <x:c r="G3267" t="str">
        <x:v>MSP-PIT</x:v>
      </x:c>
      <x:c r="H3267" t="str">
        <x:v>MSP</x:v>
      </x:c>
      <x:c r="I3267" t="str">
        <x:v>PIT</x:v>
      </x:c>
      <x:c r="J3267" s="23" t="n">
        <x:v>3039</x:v>
      </x:c>
      <x:c r="K3267" s="24" t="n">
        <x:v>0.1625534715366897</x:v>
      </x:c>
      <x:c r="L3267" s="24" t="n">
        <x:v>0.006581112207963146</x:v>
      </x:c>
    </x:row>
    <x:row r="3268">
      <x:c r="G3268" t="str">
        <x:v>PHX-SAF</x:v>
      </x:c>
      <x:c r="H3268" t="str">
        <x:v>PHX</x:v>
      </x:c>
      <x:c r="I3268" t="str">
        <x:v>SAF</x:v>
      </x:c>
      <x:c r="J3268" s="23" t="n">
        <x:v>1243</x:v>
      </x:c>
      <x:c r="K3268" s="24" t="n">
        <x:v>0.16251005631536605</x:v>
      </x:c>
      <x:c r="L3268" s="24" t="n">
        <x:v>0.004827031375703942</x:v>
      </x:c>
    </x:row>
    <x:row r="3269">
      <x:c r="G3269" t="str">
        <x:v>ANC-MSP</x:v>
      </x:c>
      <x:c r="H3269" t="str">
        <x:v>ANC</x:v>
      </x:c>
      <x:c r="I3269" t="str">
        <x:v>MSP</x:v>
      </x:c>
      <x:c r="J3269" s="23" t="n">
        <x:v>2000</x:v>
      </x:c>
      <x:c r="K3269" s="24" t="n">
        <x:v>0.1625</x:v>
      </x:c>
      <x:c r="L3269" s="24" t="n">
        <x:v>0.006</x:v>
      </x:c>
    </x:row>
    <x:row r="3270">
      <x:c r="G3270" t="str">
        <x:v>SAV-CLT</x:v>
      </x:c>
      <x:c r="H3270" t="str">
        <x:v>SAV</x:v>
      </x:c>
      <x:c r="I3270" t="str">
        <x:v>CLT</x:v>
      </x:c>
      <x:c r="J3270" s="23" t="n">
        <x:v>7947</x:v>
      </x:c>
      <x:c r="K3270" s="24" t="n">
        <x:v>0.16245123946143197</x:v>
      </x:c>
      <x:c r="L3270" s="24" t="n">
        <x:v>0.01447086951050711</x:v>
      </x:c>
    </x:row>
    <x:row r="3271">
      <x:c r="G3271" t="str">
        <x:v>BWI-JFK</x:v>
      </x:c>
      <x:c r="H3271" t="str">
        <x:v>BWI</x:v>
      </x:c>
      <x:c r="I3271" t="str">
        <x:v>JFK</x:v>
      </x:c>
      <x:c r="J3271" s="23" t="n">
        <x:v>1533</x:v>
      </x:c>
      <x:c r="K3271" s="24" t="n">
        <x:v>0.162426614481409</x:v>
      </x:c>
      <x:c r="L3271" s="24" t="n">
        <x:v>0.04500978473581213</x:v>
      </x:c>
    </x:row>
    <x:row r="3272">
      <x:c r="G3272" t="str">
        <x:v>HOU-SLC</x:v>
      </x:c>
      <x:c r="H3272" t="str">
        <x:v>HOU</x:v>
      </x:c>
      <x:c r="I3272" t="str">
        <x:v>SLC</x:v>
      </x:c>
      <x:c r="J3272" s="23" t="n">
        <x:v>1176</x:v>
      </x:c>
      <x:c r="K3272" s="24" t="n">
        <x:v>0.16241496598639457</x:v>
      </x:c>
      <x:c r="L3272" s="24" t="n">
        <x:v>0.002551020408163265</x:v>
      </x:c>
    </x:row>
    <x:row r="3273">
      <x:c r="G3273" t="str">
        <x:v>LGA-BHM</x:v>
      </x:c>
      <x:c r="H3273" t="str">
        <x:v>LGA</x:v>
      </x:c>
      <x:c r="I3273" t="str">
        <x:v>BHM</x:v>
      </x:c>
      <x:c r="J3273" s="23" t="n">
        <x:v>1946</x:v>
      </x:c>
      <x:c r="K3273" s="24" t="n">
        <x:v>0.16238437821171633</x:v>
      </x:c>
      <x:c r="L3273" s="24" t="n">
        <x:v>0.03751284686536485</x:v>
      </x:c>
    </x:row>
    <x:row r="3274">
      <x:c r="G3274" t="str">
        <x:v>PIT-ORD</x:v>
      </x:c>
      <x:c r="H3274" t="str">
        <x:v>PIT</x:v>
      </x:c>
      <x:c r="I3274" t="str">
        <x:v>ORD</x:v>
      </x:c>
      <x:c r="J3274" s="23" t="n">
        <x:v>9306</x:v>
      </x:c>
      <x:c r="K3274" s="24" t="n">
        <x:v>0.16236836449602407</x:v>
      </x:c>
      <x:c r="L3274" s="24" t="n">
        <x:v>0.011712873415001074</x:v>
      </x:c>
    </x:row>
    <x:row r="3275">
      <x:c r="G3275" t="str">
        <x:v>OMA-MSP</x:v>
      </x:c>
      <x:c r="H3275" t="str">
        <x:v>OMA</x:v>
      </x:c>
      <x:c r="I3275" t="str">
        <x:v>MSP</x:v>
      </x:c>
      <x:c r="J3275" s="23" t="n">
        <x:v>4097</x:v>
      </x:c>
      <x:c r="K3275" s="24" t="n">
        <x:v>0.16231388821088602</x:v>
      </x:c>
      <x:c r="L3275" s="24" t="n">
        <x:v>0.006834268977300464</x:v>
      </x:c>
    </x:row>
    <x:row r="3276">
      <x:c r="G3276" t="str">
        <x:v>MSP-BIS</x:v>
      </x:c>
      <x:c r="H3276" t="str">
        <x:v>MSP</x:v>
      </x:c>
      <x:c r="I3276" t="str">
        <x:v>BIS</x:v>
      </x:c>
      <x:c r="J3276" s="23" t="n">
        <x:v>4303</x:v>
      </x:c>
      <x:c r="K3276" s="24" t="n">
        <x:v>0.16221240994654892</x:v>
      </x:c>
      <x:c r="L3276" s="24" t="n">
        <x:v>0.007669068092028817</x:v>
      </x:c>
    </x:row>
    <x:row r="3277">
      <x:c r="G3277" t="str">
        <x:v>LGA-TYS</x:v>
      </x:c>
      <x:c r="H3277" t="str">
        <x:v>LGA</x:v>
      </x:c>
      <x:c r="I3277" t="str">
        <x:v>TYS</x:v>
      </x:c>
      <x:c r="J3277" s="23" t="n">
        <x:v>3163</x:v>
      </x:c>
      <x:c r="K3277" s="24" t="n">
        <x:v>0.16218779639582676</x:v>
      </x:c>
      <x:c r="L3277" s="24" t="n">
        <x:v>0.034777110338286434</x:v>
      </x:c>
    </x:row>
    <x:row r="3278">
      <x:c r="G3278" t="str">
        <x:v>SDF-TPA</x:v>
      </x:c>
      <x:c r="H3278" t="str">
        <x:v>SDF</x:v>
      </x:c>
      <x:c r="I3278" t="str">
        <x:v>TPA</x:v>
      </x:c>
      <x:c r="J3278" s="23" t="n">
        <x:v>1338</x:v>
      </x:c>
      <x:c r="K3278" s="24" t="n">
        <x:v>0.16218236173393125</x:v>
      </x:c>
      <x:c r="L3278" s="24" t="n">
        <x:v>0.013452914798206279</x:v>
      </x:c>
    </x:row>
    <x:row r="3279">
      <x:c r="G3279" t="str">
        <x:v>OMA-MDW</x:v>
      </x:c>
      <x:c r="H3279" t="str">
        <x:v>OMA</x:v>
      </x:c>
      <x:c r="I3279" t="str">
        <x:v>MDW</x:v>
      </x:c>
      <x:c r="J3279" s="23" t="n">
        <x:v>4434</x:v>
      </x:c>
      <x:c r="K3279" s="24" t="n">
        <x:v>0.16215606675687866</x:v>
      </x:c>
      <x:c r="L3279" s="24" t="n">
        <x:v>0.013306269733874606</x:v>
      </x:c>
    </x:row>
    <x:row r="3280">
      <x:c r="G3280" t="str">
        <x:v>SAT-PHX</x:v>
      </x:c>
      <x:c r="H3280" t="str">
        <x:v>SAT</x:v>
      </x:c>
      <x:c r="I3280" t="str">
        <x:v>PHX</x:v>
      </x:c>
      <x:c r="J3280" s="23" t="n">
        <x:v>7729</x:v>
      </x:c>
      <x:c r="K3280" s="24" t="n">
        <x:v>0.16211670332513908</x:v>
      </x:c>
      <x:c r="L3280" s="24" t="n">
        <x:v>0.004399016690386855</x:v>
      </x:c>
    </x:row>
    <x:row r="3281">
      <x:c r="G3281" t="str">
        <x:v>DFW-SWO</x:v>
      </x:c>
      <x:c r="H3281" t="str">
        <x:v>DFW</x:v>
      </x:c>
      <x:c r="I3281" t="str">
        <x:v>SWO</x:v>
      </x:c>
      <x:c r="J3281" s="23" t="n">
        <x:v>2184</x:v>
      </x:c>
      <x:c r="K3281" s="24" t="n">
        <x:v>0.1620879120879121</x:v>
      </x:c>
      <x:c r="L3281" s="24" t="n">
        <x:v>0.0260989010989011</x:v>
      </x:c>
    </x:row>
    <x:row r="3282">
      <x:c r="G3282" t="str">
        <x:v>PWM-LGA</x:v>
      </x:c>
      <x:c r="H3282" t="str">
        <x:v>PWM</x:v>
      </x:c>
      <x:c r="I3282" t="str">
        <x:v>LGA</x:v>
      </x:c>
      <x:c r="J3282" s="23" t="n">
        <x:v>4146</x:v>
      </x:c>
      <x:c r="K3282" s="24" t="n">
        <x:v>0.16208393632416787</x:v>
      </x:c>
      <x:c r="L3282" s="24" t="n">
        <x:v>0.0361794500723589</x:v>
      </x:c>
    </x:row>
    <x:row r="3283">
      <x:c r="G3283" t="str">
        <x:v>SEA-PSP</x:v>
      </x:c>
      <x:c r="H3283" t="str">
        <x:v>SEA</x:v>
      </x:c>
      <x:c r="I3283" t="str">
        <x:v>PSP</x:v>
      </x:c>
      <x:c r="J3283" s="23" t="n">
        <x:v>4794</x:v>
      </x:c>
      <x:c r="K3283" s="24" t="n">
        <x:v>0.1620775969962453</x:v>
      </x:c>
      <x:c r="L3283" s="24" t="n">
        <x:v>0.008760951188986232</x:v>
      </x:c>
    </x:row>
    <x:row r="3284">
      <x:c r="G3284" t="str">
        <x:v>SAN-ORD</x:v>
      </x:c>
      <x:c r="H3284" t="str">
        <x:v>SAN</x:v>
      </x:c>
      <x:c r="I3284" t="str">
        <x:v>ORD</x:v>
      </x:c>
      <x:c r="J3284" s="23" t="n">
        <x:v>8853</x:v>
      </x:c>
      <x:c r="K3284" s="24" t="n">
        <x:v>0.16197899017282277</x:v>
      </x:c>
      <x:c r="L3284" s="24" t="n">
        <x:v>0.011295606009262396</x:v>
      </x:c>
    </x:row>
    <x:row r="3285">
      <x:c r="G3285" t="str">
        <x:v>JNU-YAK</x:v>
      </x:c>
      <x:c r="H3285" t="str">
        <x:v>JNU</x:v>
      </x:c>
      <x:c r="I3285" t="str">
        <x:v>YAK</x:v>
      </x:c>
      <x:c r="J3285" s="23" t="n">
        <x:v>1087</x:v>
      </x:c>
      <x:c r="K3285" s="24" t="n">
        <x:v>0.16191352345906163</x:v>
      </x:c>
      <x:c r="L3285" s="24" t="n">
        <x:v>0.01655933762649494</x:v>
      </x:c>
    </x:row>
    <x:row r="3286">
      <x:c r="G3286" t="str">
        <x:v>DTW-STL</x:v>
      </x:c>
      <x:c r="H3286" t="str">
        <x:v>DTW</x:v>
      </x:c>
      <x:c r="I3286" t="str">
        <x:v>STL</x:v>
      </x:c>
      <x:c r="J3286" s="23" t="n">
        <x:v>5672</x:v>
      </x:c>
      <x:c r="K3286" s="24" t="n">
        <x:v>0.16184767277856135</x:v>
      </x:c>
      <x:c r="L3286" s="24" t="n">
        <x:v>0.006170662905500705</x:v>
      </x:c>
    </x:row>
    <x:row r="3287">
      <x:c r="G3287" t="str">
        <x:v>PHX-DTW</x:v>
      </x:c>
      <x:c r="H3287" t="str">
        <x:v>PHX</x:v>
      </x:c>
      <x:c r="I3287" t="str">
        <x:v>DTW</x:v>
      </x:c>
      <x:c r="J3287" s="23" t="n">
        <x:v>7121</x:v>
      </x:c>
      <x:c r="K3287" s="24" t="n">
        <x:v>0.16177503159668585</x:v>
      </x:c>
      <x:c r="L3287" s="24" t="n">
        <x:v>0.008144923465805365</x:v>
      </x:c>
    </x:row>
    <x:row r="3288">
      <x:c r="G3288" t="str">
        <x:v>LAS-IAD</x:v>
      </x:c>
      <x:c r="H3288" t="str">
        <x:v>LAS</x:v>
      </x:c>
      <x:c r="I3288" t="str">
        <x:v>IAD</x:v>
      </x:c>
      <x:c r="J3288" s="23" t="n">
        <x:v>2992</x:v>
      </x:c>
      <x:c r="K3288" s="24" t="n">
        <x:v>0.16176470588235295</x:v>
      </x:c>
      <x:c r="L3288" s="24" t="n">
        <x:v>0.009692513368983958</x:v>
      </x:c>
    </x:row>
    <x:row r="3289">
      <x:c r="G3289" t="str">
        <x:v>BDL-ATL</x:v>
      </x:c>
      <x:c r="H3289" t="str">
        <x:v>BDL</x:v>
      </x:c>
      <x:c r="I3289" t="str">
        <x:v>ATL</x:v>
      </x:c>
      <x:c r="J3289" s="23" t="n">
        <x:v>6467</x:v>
      </x:c>
      <x:c r="K3289" s="24" t="n">
        <x:v>0.1617442399876295</x:v>
      </x:c>
      <x:c r="L3289" s="24" t="n">
        <x:v>0.009432503479202103</x:v>
      </x:c>
    </x:row>
    <x:row r="3290">
      <x:c r="G3290" t="str">
        <x:v>ATL-AVL</x:v>
      </x:c>
      <x:c r="H3290" t="str">
        <x:v>ATL</x:v>
      </x:c>
      <x:c r="I3290" t="str">
        <x:v>AVL</x:v>
      </x:c>
      <x:c r="J3290" s="23" t="n">
        <x:v>6140</x:v>
      </x:c>
      <x:c r="K3290" s="24" t="n">
        <x:v>0.16172638436482084</x:v>
      </x:c>
      <x:c r="L3290" s="24" t="n">
        <x:v>0.014006514657980456</x:v>
      </x:c>
    </x:row>
    <x:row r="3291">
      <x:c r="G3291" t="str">
        <x:v>ROC-BWI</x:v>
      </x:c>
      <x:c r="H3291" t="str">
        <x:v>ROC</x:v>
      </x:c>
      <x:c r="I3291" t="str">
        <x:v>BWI</x:v>
      </x:c>
      <x:c r="J3291" s="23" t="n">
        <x:v>3377</x:v>
      </x:c>
      <x:c r="K3291" s="24" t="n">
        <x:v>0.16168196624222683</x:v>
      </x:c>
      <x:c r="L3291" s="24" t="n">
        <x:v>0.007403020432336393</x:v>
      </x:c>
    </x:row>
    <x:row r="3292">
      <x:c r="G3292" t="str">
        <x:v>ATL-GSP</x:v>
      </x:c>
      <x:c r="H3292" t="str">
        <x:v>ATL</x:v>
      </x:c>
      <x:c r="I3292" t="str">
        <x:v>GSP</x:v>
      </x:c>
      <x:c r="J3292" s="23" t="n">
        <x:v>9012</x:v>
      </x:c>
      <x:c r="K3292" s="24" t="n">
        <x:v>0.16167332445628052</x:v>
      </x:c>
      <x:c r="L3292" s="24" t="n">
        <x:v>0.006879715934309809</x:v>
      </x:c>
    </x:row>
    <x:row r="3293">
      <x:c r="G3293" t="str">
        <x:v>IND-MCI</x:v>
      </x:c>
      <x:c r="H3293" t="str">
        <x:v>IND</x:v>
      </x:c>
      <x:c r="I3293" t="str">
        <x:v>MCI</x:v>
      </x:c>
      <x:c r="J3293" s="23" t="n">
        <x:v>1163</x:v>
      </x:c>
      <x:c r="K3293" s="24" t="n">
        <x:v>0.16165090283748926</x:v>
      </x:c>
      <x:c r="L3293" s="24" t="n">
        <x:v>0.0025795356835769563</x:v>
      </x:c>
    </x:row>
    <x:row r="3294">
      <x:c r="G3294" t="str">
        <x:v>DFW-BPT</x:v>
      </x:c>
      <x:c r="H3294" t="str">
        <x:v>DFW</x:v>
      </x:c>
      <x:c r="I3294" t="str">
        <x:v>BPT</x:v>
      </x:c>
      <x:c r="J3294" s="23" t="n">
        <x:v>2184</x:v>
      </x:c>
      <x:c r="K3294" s="24" t="n">
        <x:v>0.16163003663003664</x:v>
      </x:c>
      <x:c r="L3294" s="24" t="n">
        <x:v>0.041666666666666664</x:v>
      </x:c>
    </x:row>
    <x:row r="3295">
      <x:c r="G3295" t="str">
        <x:v>ATL-CHA</x:v>
      </x:c>
      <x:c r="H3295" t="str">
        <x:v>ATL</x:v>
      </x:c>
      <x:c r="I3295" t="str">
        <x:v>CHA</x:v>
      </x:c>
      <x:c r="J3295" s="23" t="n">
        <x:v>6157</x:v>
      </x:c>
      <x:c r="K3295" s="24" t="n">
        <x:v>0.1616046776027286</x:v>
      </x:c>
      <x:c r="L3295" s="24" t="n">
        <x:v>0.008283254831898653</x:v>
      </x:c>
    </x:row>
    <x:row r="3296">
      <x:c r="G3296" t="str">
        <x:v>TUL-HOU</x:v>
      </x:c>
      <x:c r="H3296" t="str">
        <x:v>TUL</x:v>
      </x:c>
      <x:c r="I3296" t="str">
        <x:v>HOU</x:v>
      </x:c>
      <x:c r="J3296" s="23" t="n">
        <x:v>2104</x:v>
      </x:c>
      <x:c r="K3296" s="24" t="n">
        <x:v>0.16159695817490494</x:v>
      </x:c>
      <x:c r="L3296" s="24" t="n">
        <x:v>0.005228136882129277</x:v>
      </x:c>
    </x:row>
    <x:row r="3297">
      <x:c r="G3297" t="str">
        <x:v>EWR-MKE</x:v>
      </x:c>
      <x:c r="H3297" t="str">
        <x:v>EWR</x:v>
      </x:c>
      <x:c r="I3297" t="str">
        <x:v>MKE</x:v>
      </x:c>
      <x:c r="J3297" s="23" t="n">
        <x:v>2546</x:v>
      </x:c>
      <x:c r="K3297" s="24" t="n">
        <x:v>0.16142969363707776</x:v>
      </x:c>
      <x:c r="L3297" s="24" t="n">
        <x:v>0.04988216810683425</x:v>
      </x:c>
    </x:row>
    <x:row r="3298">
      <x:c r="G3298" t="str">
        <x:v>LAX-OAK</x:v>
      </x:c>
      <x:c r="H3298" t="str">
        <x:v>LAX</x:v>
      </x:c>
      <x:c r="I3298" t="str">
        <x:v>OAK</x:v>
      </x:c>
      <x:c r="J3298" s="23" t="n">
        <x:v>9983</x:v>
      </x:c>
      <x:c r="K3298" s="24" t="n">
        <x:v>0.16137433637183213</x:v>
      </x:c>
      <x:c r="L3298" s="24" t="n">
        <x:v>0.008113793448863068</x:v>
      </x:c>
    </x:row>
    <x:row r="3299">
      <x:c r="G3299" t="str">
        <x:v>LGA-GRR</x:v>
      </x:c>
      <x:c r="H3299" t="str">
        <x:v>LGA</x:v>
      </x:c>
      <x:c r="I3299" t="str">
        <x:v>GRR</x:v>
      </x:c>
      <x:c r="J3299" s="23" t="n">
        <x:v>2932</x:v>
      </x:c>
      <x:c r="K3299" s="24" t="n">
        <x:v>0.16132332878581174</x:v>
      </x:c>
      <x:c r="L3299" s="24" t="n">
        <x:v>0.03342428376534789</x:v>
      </x:c>
    </x:row>
    <x:row r="3300">
      <x:c r="G3300" t="str">
        <x:v>SRQ-BNA</x:v>
      </x:c>
      <x:c r="H3300" t="str">
        <x:v>SRQ</x:v>
      </x:c>
      <x:c r="I3300" t="str">
        <x:v>BNA</x:v>
      </x:c>
      <x:c r="J3300" s="23" t="n">
        <x:v>2015</x:v>
      </x:c>
      <x:c r="K3300" s="24" t="n">
        <x:v>0.16129032258064516</x:v>
      </x:c>
      <x:c r="L3300" s="24" t="n">
        <x:v>0.013895781637717122</x:v>
      </x:c>
    </x:row>
    <x:row r="3301">
      <x:c r="G3301" t="str">
        <x:v>RDD-SFO</x:v>
      </x:c>
      <x:c r="H3301" t="str">
        <x:v>RDD</x:v>
      </x:c>
      <x:c r="I3301" t="str">
        <x:v>SFO</x:v>
      </x:c>
      <x:c r="J3301" s="23" t="n">
        <x:v>2790</x:v>
      </x:c>
      <x:c r="K3301" s="24" t="n">
        <x:v>0.16129032258064516</x:v>
      </x:c>
      <x:c r="L3301" s="24" t="n">
        <x:v>0.012186379928315413</x:v>
      </x:c>
    </x:row>
    <x:row r="3302">
      <x:c r="G3302" t="str">
        <x:v>STL-RDU</x:v>
      </x:c>
      <x:c r="H3302" t="str">
        <x:v>STL</x:v>
      </x:c>
      <x:c r="I3302" t="str">
        <x:v>RDU</x:v>
      </x:c>
      <x:c r="J3302" s="23" t="n">
        <x:v>1718</x:v>
      </x:c>
      <x:c r="K3302" s="24" t="n">
        <x:v>0.1612339930151339</x:v>
      </x:c>
      <x:c r="L3302" s="24" t="n">
        <x:v>0.0034924330616996507</x:v>
      </x:c>
    </x:row>
    <x:row r="3303">
      <x:c r="G3303" t="str">
        <x:v>PHX-IAH</x:v>
      </x:c>
      <x:c r="H3303" t="str">
        <x:v>PHX</x:v>
      </x:c>
      <x:c r="I3303" t="str">
        <x:v>IAH</x:v>
      </x:c>
      <x:c r="J3303" s="23" t="n">
        <x:v>7963</x:v>
      </x:c>
      <x:c r="K3303" s="24" t="n">
        <x:v>0.1611201808363682</x:v>
      </x:c>
      <x:c r="L3303" s="24" t="n">
        <x:v>0.010172045711415296</x:v>
      </x:c>
    </x:row>
    <x:row r="3304">
      <x:c r="G3304" t="str">
        <x:v>BNA-MDW</x:v>
      </x:c>
      <x:c r="H3304" t="str">
        <x:v>BNA</x:v>
      </x:c>
      <x:c r="I3304" t="str">
        <x:v>MDW</x:v>
      </x:c>
      <x:c r="J3304" s="23" t="n">
        <x:v>6000</x:v>
      </x:c>
      <x:c r="K3304" s="24" t="n">
        <x:v>0.161</x:v>
      </x:c>
      <x:c r="L3304" s="24" t="n">
        <x:v>0.0135</x:v>
      </x:c>
    </x:row>
    <x:row r="3305">
      <x:c r="G3305" t="str">
        <x:v>CYS-DEN</x:v>
      </x:c>
      <x:c r="H3305" t="str">
        <x:v>CYS</x:v>
      </x:c>
      <x:c r="I3305" t="str">
        <x:v>DEN</x:v>
      </x:c>
      <x:c r="J3305" s="23" t="n">
        <x:v>1783</x:v>
      </x:c>
      <x:c r="K3305" s="24" t="n">
        <x:v>0.160964666292765</x:v>
      </x:c>
      <x:c r="L3305" s="24" t="n">
        <x:v>0.01962983735277622</x:v>
      </x:c>
    </x:row>
    <x:row r="3306">
      <x:c r="G3306" t="str">
        <x:v>OMA-LAX</x:v>
      </x:c>
      <x:c r="H3306" t="str">
        <x:v>OMA</x:v>
      </x:c>
      <x:c r="I3306" t="str">
        <x:v>LAX</x:v>
      </x:c>
      <x:c r="J3306" s="23" t="n">
        <x:v>1280</x:v>
      </x:c>
      <x:c r="K3306" s="24" t="n">
        <x:v>0.1609375</x:v>
      </x:c>
      <x:c r="L3306" s="24" t="n">
        <x:v>0.003125</x:v>
      </x:c>
    </x:row>
    <x:row r="3307">
      <x:c r="G3307" t="str">
        <x:v>SYR-LGA</x:v>
      </x:c>
      <x:c r="H3307" t="str">
        <x:v>SYR</x:v>
      </x:c>
      <x:c r="I3307" t="str">
        <x:v>LGA</x:v>
      </x:c>
      <x:c r="J3307" s="23" t="n">
        <x:v>2237</x:v>
      </x:c>
      <x:c r="K3307" s="24" t="n">
        <x:v>0.16092981671881984</x:v>
      </x:c>
      <x:c r="L3307" s="24" t="n">
        <x:v>0.028609745194456863</x:v>
      </x:c>
    </x:row>
    <x:row r="3308">
      <x:c r="G3308" t="str">
        <x:v>MSP-DSM</x:v>
      </x:c>
      <x:c r="H3308" t="str">
        <x:v>MSP</x:v>
      </x:c>
      <x:c r="I3308" t="str">
        <x:v>DSM</x:v>
      </x:c>
      <x:c r="J3308" s="23" t="n">
        <x:v>2088</x:v>
      </x:c>
      <x:c r="K3308" s="24" t="n">
        <x:v>0.16091954022988506</x:v>
      </x:c>
      <x:c r="L3308" s="24" t="n">
        <x:v>0.009578544061302681</x:v>
      </x:c>
    </x:row>
    <x:row r="3309">
      <x:c r="G3309" t="str">
        <x:v>LGA-BTV</x:v>
      </x:c>
      <x:c r="H3309" t="str">
        <x:v>LGA</x:v>
      </x:c>
      <x:c r="I3309" t="str">
        <x:v>BTV</x:v>
      </x:c>
      <x:c r="J3309" s="23" t="n">
        <x:v>1903</x:v>
      </x:c>
      <x:c r="K3309" s="24" t="n">
        <x:v>0.1607987388334209</x:v>
      </x:c>
      <x:c r="L3309" s="24" t="n">
        <x:v>0.031003678402522335</x:v>
      </x:c>
    </x:row>
    <x:row r="3310">
      <x:c r="G3310" t="str">
        <x:v>MSP-GRB</x:v>
      </x:c>
      <x:c r="H3310" t="str">
        <x:v>MSP</x:v>
      </x:c>
      <x:c r="I3310" t="str">
        <x:v>GRB</x:v>
      </x:c>
      <x:c r="J3310" s="23" t="n">
        <x:v>2811</x:v>
      </x:c>
      <x:c r="K3310" s="24" t="n">
        <x:v>0.1607968694414799</x:v>
      </x:c>
      <x:c r="L3310" s="24" t="n">
        <x:v>0.01031661330487371</x:v>
      </x:c>
    </x:row>
    <x:row r="3311">
      <x:c r="G3311" t="str">
        <x:v>LIH-SEA</x:v>
      </x:c>
      <x:c r="H3311" t="str">
        <x:v>LIH</x:v>
      </x:c>
      <x:c r="I3311" t="str">
        <x:v>SEA</x:v>
      </x:c>
      <x:c r="J3311" s="23" t="n">
        <x:v>3091</x:v>
      </x:c>
      <x:c r="K3311" s="24" t="n">
        <x:v>0.16078938854739566</x:v>
      </x:c>
      <x:c r="L3311" s="24" t="n">
        <x:v>0.016175994823681657</x:v>
      </x:c>
    </x:row>
    <x:row r="3312">
      <x:c r="G3312" t="str">
        <x:v>DFW-BMI</x:v>
      </x:c>
      <x:c r="H3312" t="str">
        <x:v>DFW</x:v>
      </x:c>
      <x:c r="I3312" t="str">
        <x:v>BMI</x:v>
      </x:c>
      <x:c r="J3312" s="23" t="n">
        <x:v>2085</x:v>
      </x:c>
      <x:c r="K3312" s="24" t="n">
        <x:v>0.1606714628297362</x:v>
      </x:c>
      <x:c r="L3312" s="24" t="n">
        <x:v>0.014388489208633094</x:v>
      </x:c>
    </x:row>
    <x:row r="3313">
      <x:c r="G3313" t="str">
        <x:v>SGU-PHX</x:v>
      </x:c>
      <x:c r="H3313" t="str">
        <x:v>SGU</x:v>
      </x:c>
      <x:c r="I3313" t="str">
        <x:v>PHX</x:v>
      </x:c>
      <x:c r="J3313" s="23" t="n">
        <x:v>2011</x:v>
      </x:c>
      <x:c r="K3313" s="24" t="n">
        <x:v>0.16061660865241173</x:v>
      </x:c>
      <x:c r="L3313" s="24" t="n">
        <x:v>0</x:v>
      </x:c>
    </x:row>
    <x:row r="3314">
      <x:c r="G3314" t="str">
        <x:v>JMS-DEN</x:v>
      </x:c>
      <x:c r="H3314" t="str">
        <x:v>JMS</x:v>
      </x:c>
      <x:c r="I3314" t="str">
        <x:v>DEN</x:v>
      </x:c>
      <x:c r="J3314" s="23" t="n">
        <x:v>1071</x:v>
      </x:c>
      <x:c r="K3314" s="24" t="n">
        <x:v>0.16059757236227826</x:v>
      </x:c>
      <x:c r="L3314" s="24" t="n">
        <x:v>0.03081232492997199</x:v>
      </x:c>
    </x:row>
    <x:row r="3315">
      <x:c r="G3315" t="str">
        <x:v>CHS-BNA</x:v>
      </x:c>
      <x:c r="H3315" t="str">
        <x:v>CHS</x:v>
      </x:c>
      <x:c r="I3315" t="str">
        <x:v>BNA</x:v>
      </x:c>
      <x:c r="J3315" s="23" t="n">
        <x:v>2435</x:v>
      </x:c>
      <x:c r="K3315" s="24" t="n">
        <x:v>0.16057494866529773</x:v>
      </x:c>
      <x:c r="L3315" s="24" t="n">
        <x:v>0.006570841889117043</x:v>
      </x:c>
    </x:row>
    <x:row r="3316">
      <x:c r="G3316" t="str">
        <x:v>IAD-RDU</x:v>
      </x:c>
      <x:c r="H3316" t="str">
        <x:v>IAD</x:v>
      </x:c>
      <x:c r="I3316" t="str">
        <x:v>RDU</x:v>
      </x:c>
      <x:c r="J3316" s="23" t="n">
        <x:v>3033</x:v>
      </x:c>
      <x:c r="K3316" s="24" t="n">
        <x:v>0.16056709528519617</x:v>
      </x:c>
      <x:c r="L3316" s="24" t="n">
        <x:v>0.010880316518298714</x:v>
      </x:c>
    </x:row>
    <x:row r="3317">
      <x:c r="G3317" t="str">
        <x:v>SAT-CLT</x:v>
      </x:c>
      <x:c r="H3317" t="str">
        <x:v>SAT</x:v>
      </x:c>
      <x:c r="I3317" t="str">
        <x:v>CLT</x:v>
      </x:c>
      <x:c r="J3317" s="23" t="n">
        <x:v>4198</x:v>
      </x:c>
      <x:c r="K3317" s="24" t="n">
        <x:v>0.16055264411624584</x:v>
      </x:c>
      <x:c r="L3317" s="24" t="n">
        <x:v>0.007146260123868509</x:v>
      </x:c>
    </x:row>
    <x:row r="3318">
      <x:c r="G3318" t="str">
        <x:v>LAS-MSP</x:v>
      </x:c>
      <x:c r="H3318" t="str">
        <x:v>LAS</x:v>
      </x:c>
      <x:c r="I3318" t="str">
        <x:v>MSP</x:v>
      </x:c>
      <x:c r="J3318" s="23" t="n">
        <x:v>7904</x:v>
      </x:c>
      <x:c r="K3318" s="24" t="n">
        <x:v>0.16055161943319837</x:v>
      </x:c>
      <x:c r="L3318" s="24" t="n">
        <x:v>0.008223684210526315</x:v>
      </x:c>
    </x:row>
    <x:row r="3319">
      <x:c r="G3319" t="str">
        <x:v>EWR-SNA</x:v>
      </x:c>
      <x:c r="H3319" t="str">
        <x:v>EWR</x:v>
      </x:c>
      <x:c r="I3319" t="str">
        <x:v>SNA</x:v>
      </x:c>
      <x:c r="J3319" s="23" t="n">
        <x:v>3265</x:v>
      </x:c>
      <x:c r="K3319" s="24" t="n">
        <x:v>0.16049004594180705</x:v>
      </x:c>
      <x:c r="L3319" s="24" t="n">
        <x:v>0.01653905053598775</x:v>
      </x:c>
    </x:row>
    <x:row r="3320">
      <x:c r="G3320" t="str">
        <x:v>BNA-DTW</x:v>
      </x:c>
      <x:c r="H3320" t="str">
        <x:v>BNA</x:v>
      </x:c>
      <x:c r="I3320" t="str">
        <x:v>DTW</x:v>
      </x:c>
      <x:c r="J3320" s="23" t="n">
        <x:v>6807</x:v>
      </x:c>
      <x:c r="K3320" s="24" t="n">
        <x:v>0.1604230938739533</x:v>
      </x:c>
      <x:c r="L3320" s="24" t="n">
        <x:v>0.00881445570736007</x:v>
      </x:c>
    </x:row>
    <x:row r="3321">
      <x:c r="G3321" t="str">
        <x:v>TUL-PHX</x:v>
      </x:c>
      <x:c r="H3321" t="str">
        <x:v>TUL</x:v>
      </x:c>
      <x:c r="I3321" t="str">
        <x:v>PHX</x:v>
      </x:c>
      <x:c r="J3321" s="23" t="n">
        <x:v>3167</x:v>
      </x:c>
      <x:c r="K3321" s="24" t="n">
        <x:v>0.16040416798231766</x:v>
      </x:c>
      <x:c r="L3321" s="24" t="n">
        <x:v>0.001894537417113988</x:v>
      </x:c>
    </x:row>
    <x:row r="3322">
      <x:c r="G3322" t="str">
        <x:v>ABY-ATL</x:v>
      </x:c>
      <x:c r="H3322" t="str">
        <x:v>ABY</x:v>
      </x:c>
      <x:c r="I3322" t="str">
        <x:v>ATL</x:v>
      </x:c>
      <x:c r="J3322" s="23" t="n">
        <x:v>2469</x:v>
      </x:c>
      <x:c r="K3322" s="24" t="n">
        <x:v>0.16038882138517618</x:v>
      </x:c>
      <x:c r="L3322" s="24" t="n">
        <x:v>0.010935601458080195</x:v>
      </x:c>
    </x:row>
    <x:row r="3323">
      <x:c r="G3323" t="str">
        <x:v>OAK-OGG</x:v>
      </x:c>
      <x:c r="H3323" t="str">
        <x:v>OAK</x:v>
      </x:c>
      <x:c r="I3323" t="str">
        <x:v>OGG</x:v>
      </x:c>
      <x:c r="J3323" s="23" t="n">
        <x:v>2575</x:v>
      </x:c>
      <x:c r="K3323" s="24" t="n">
        <x:v>0.1603883495145631</x:v>
      </x:c>
      <x:c r="L3323" s="24" t="n">
        <x:v>0.010485436893203883</x:v>
      </x:c>
    </x:row>
    <x:row r="3324">
      <x:c r="G3324" t="str">
        <x:v>CRP-DFW</x:v>
      </x:c>
      <x:c r="H3324" t="str">
        <x:v>CRP</x:v>
      </x:c>
      <x:c r="I3324" t="str">
        <x:v>DFW</x:v>
      </x:c>
      <x:c r="J3324" s="23" t="n">
        <x:v>7109</x:v>
      </x:c>
      <x:c r="K3324" s="24" t="n">
        <x:v>0.16036010690673794</x:v>
      </x:c>
      <x:c r="L3324" s="24" t="n">
        <x:v>0.01997467998311999</x:v>
      </x:c>
    </x:row>
    <x:row r="3325">
      <x:c r="G3325" t="str">
        <x:v>ATL-SDF</x:v>
      </x:c>
      <x:c r="H3325" t="str">
        <x:v>ATL</x:v>
      </x:c>
      <x:c r="I3325" t="str">
        <x:v>SDF</x:v>
      </x:c>
      <x:c r="J3325" s="23" t="n">
        <x:v>8550</x:v>
      </x:c>
      <x:c r="K3325" s="24" t="n">
        <x:v>0.16035087719298247</x:v>
      </x:c>
      <x:c r="L3325" s="24" t="n">
        <x:v>0.00935672514619883</x:v>
      </x:c>
    </x:row>
    <x:row r="3326">
      <x:c r="G3326" t="str">
        <x:v>EVV-ATL</x:v>
      </x:c>
      <x:c r="H3326" t="str">
        <x:v>EVV</x:v>
      </x:c>
      <x:c r="I3326" t="str">
        <x:v>ATL</x:v>
      </x:c>
      <x:c r="J3326" s="23" t="n">
        <x:v>2183</x:v>
      </x:c>
      <x:c r="K3326" s="24" t="n">
        <x:v>0.1603298213467705</x:v>
      </x:c>
      <x:c r="L3326" s="24" t="n">
        <x:v>0.010535959688502062</x:v>
      </x:c>
    </x:row>
    <x:row r="3327">
      <x:c r="G3327" t="str">
        <x:v>LGB-DAL</x:v>
      </x:c>
      <x:c r="H3327" t="str">
        <x:v>LGB</x:v>
      </x:c>
      <x:c r="I3327" t="str">
        <x:v>DAL</x:v>
      </x:c>
      <x:c r="J3327" s="23" t="n">
        <x:v>1853</x:v>
      </x:c>
      <x:c r="K3327" s="24" t="n">
        <x:v>0.16028062601187265</x:v>
      </x:c>
      <x:c r="L3327" s="24" t="n">
        <x:v>0.008094981111710739</x:v>
      </x:c>
    </x:row>
    <x:row r="3328">
      <x:c r="G3328" t="str">
        <x:v>STL-BNA</x:v>
      </x:c>
      <x:c r="H3328" t="str">
        <x:v>STL</x:v>
      </x:c>
      <x:c r="I3328" t="str">
        <x:v>BNA</x:v>
      </x:c>
      <x:c r="J3328" s="23" t="n">
        <x:v>3802</x:v>
      </x:c>
      <x:c r="K3328" s="24" t="n">
        <x:v>0.1601788532351394</x:v>
      </x:c>
      <x:c r="L3328" s="24" t="n">
        <x:v>0.008942661756970016</x:v>
      </x:c>
    </x:row>
    <x:row r="3329">
      <x:c r="G3329" t="str">
        <x:v>MSP-SDF</x:v>
      </x:c>
      <x:c r="H3329" t="str">
        <x:v>MSP</x:v>
      </x:c>
      <x:c r="I3329" t="str">
        <x:v>SDF</x:v>
      </x:c>
      <x:c r="J3329" s="23" t="n">
        <x:v>2229</x:v>
      </x:c>
      <x:c r="K3329" s="24" t="n">
        <x:v>0.1601615074024226</x:v>
      </x:c>
      <x:c r="L3329" s="24" t="n">
        <x:v>0.006729475100942127</x:v>
      </x:c>
    </x:row>
    <x:row r="3330">
      <x:c r="G3330" t="str">
        <x:v>PHX-OGG</x:v>
      </x:c>
      <x:c r="H3330" t="str">
        <x:v>PHX</x:v>
      </x:c>
      <x:c r="I3330" t="str">
        <x:v>OGG</x:v>
      </x:c>
      <x:c r="J3330" s="23" t="n">
        <x:v>2254</x:v>
      </x:c>
      <x:c r="K3330" s="24" t="n">
        <x:v>0.1601597160603372</x:v>
      </x:c>
      <x:c r="L3330" s="24" t="n">
        <x:v>0.0008873114463176575</x:v>
      </x:c>
    </x:row>
    <x:row r="3331">
      <x:c r="G3331" t="str">
        <x:v>CAE-LGA</x:v>
      </x:c>
      <x:c r="H3331" t="str">
        <x:v>CAE</x:v>
      </x:c>
      <x:c r="I3331" t="str">
        <x:v>LGA</x:v>
      </x:c>
      <x:c r="J3331" s="23" t="n">
        <x:v>2011</x:v>
      </x:c>
      <x:c r="K3331" s="24" t="n">
        <x:v>0.1601193436101442</x:v>
      </x:c>
      <x:c r="L3331" s="24" t="n">
        <x:v>0.0382894082545997</x:v>
      </x:c>
    </x:row>
    <x:row r="3332">
      <x:c r="G3332" t="str">
        <x:v>IND-DCA</x:v>
      </x:c>
      <x:c r="H3332" t="str">
        <x:v>IND</x:v>
      </x:c>
      <x:c r="I3332" t="str">
        <x:v>DCA</x:v>
      </x:c>
      <x:c r="J3332" s="23" t="n">
        <x:v>6041</x:v>
      </x:c>
      <x:c r="K3332" s="24" t="n">
        <x:v>0.16007283562324118</x:v>
      </x:c>
      <x:c r="L3332" s="24" t="n">
        <x:v>0.02052640291342493</x:v>
      </x:c>
    </x:row>
    <x:row r="3333">
      <x:c r="G3333" t="str">
        <x:v>DTW-BDL</x:v>
      </x:c>
      <x:c r="H3333" t="str">
        <x:v>DTW</x:v>
      </x:c>
      <x:c r="I3333" t="str">
        <x:v>BDL</x:v>
      </x:c>
      <x:c r="J3333" s="23" t="n">
        <x:v>3782</x:v>
      </x:c>
      <x:c r="K3333" s="24" t="n">
        <x:v>0.15996827075621364</x:v>
      </x:c>
      <x:c r="L3333" s="24" t="n">
        <x:v>0.007932310946589107</x:v>
      </x:c>
    </x:row>
    <x:row r="3334">
      <x:c r="G3334" t="str">
        <x:v>EWR-GSP</x:v>
      </x:c>
      <x:c r="H3334" t="str">
        <x:v>EWR</x:v>
      </x:c>
      <x:c r="I3334" t="str">
        <x:v>GSP</x:v>
      </x:c>
      <x:c r="J3334" s="23" t="n">
        <x:v>2470</x:v>
      </x:c>
      <x:c r="K3334" s="24" t="n">
        <x:v>0.15991902834008098</x:v>
      </x:c>
      <x:c r="L3334" s="24" t="n">
        <x:v>0.04412955465587044</x:v>
      </x:c>
    </x:row>
    <x:row r="3335">
      <x:c r="G3335" t="str">
        <x:v>SLC-SNA</x:v>
      </x:c>
      <x:c r="H3335" t="str">
        <x:v>SLC</x:v>
      </x:c>
      <x:c r="I3335" t="str">
        <x:v>SNA</x:v>
      </x:c>
      <x:c r="J3335" s="23" t="n">
        <x:v>5072</x:v>
      </x:c>
      <x:c r="K3335" s="24" t="n">
        <x:v>0.159897476340694</x:v>
      </x:c>
      <x:c r="L3335" s="24" t="n">
        <x:v>0.0027602523659305996</x:v>
      </x:c>
    </x:row>
    <x:row r="3336">
      <x:c r="G3336" t="str">
        <x:v>MSP-LAX</x:v>
      </x:c>
      <x:c r="H3336" t="str">
        <x:v>MSP</x:v>
      </x:c>
      <x:c r="I3336" t="str">
        <x:v>LAX</x:v>
      </x:c>
      <x:c r="J3336" s="23" t="n">
        <x:v>6966</x:v>
      </x:c>
      <x:c r="K3336" s="24" t="n">
        <x:v>0.15977605512489235</x:v>
      </x:c>
      <x:c r="L3336" s="24" t="n">
        <x:v>0.007321274763135229</x:v>
      </x:c>
    </x:row>
    <x:row r="3337">
      <x:c r="G3337" t="str">
        <x:v>RDU-STL</x:v>
      </x:c>
      <x:c r="H3337" t="str">
        <x:v>RDU</x:v>
      </x:c>
      <x:c r="I3337" t="str">
        <x:v>STL</x:v>
      </x:c>
      <x:c r="J3337" s="23" t="n">
        <x:v>1715</x:v>
      </x:c>
      <x:c r="K3337" s="24" t="n">
        <x:v>0.1597667638483965</x:v>
      </x:c>
      <x:c r="L3337" s="24" t="n">
        <x:v>0.004081632653061225</x:v>
      </x:c>
    </x:row>
    <x:row r="3338">
      <x:c r="G3338" t="str">
        <x:v>ATL-MOB</x:v>
      </x:c>
      <x:c r="H3338" t="str">
        <x:v>ATL</x:v>
      </x:c>
      <x:c r="I3338" t="str">
        <x:v>MOB</x:v>
      </x:c>
      <x:c r="J3338" s="23" t="n">
        <x:v>3424</x:v>
      </x:c>
      <x:c r="K3338" s="24" t="n">
        <x:v>0.15975467289719625</x:v>
      </x:c>
      <x:c r="L3338" s="24" t="n">
        <x:v>0.009637850467289719</x:v>
      </x:c>
    </x:row>
    <x:row r="3339">
      <x:c r="G3339" t="str">
        <x:v>OAK-LAX</x:v>
      </x:c>
      <x:c r="H3339" t="str">
        <x:v>OAK</x:v>
      </x:c>
      <x:c r="I3339" t="str">
        <x:v>LAX</x:v>
      </x:c>
      <x:c r="J3339" s="23" t="n">
        <x:v>10042</x:v>
      </x:c>
      <x:c r="K3339" s="24" t="n">
        <x:v>0.15972913762198765</x:v>
      </x:c>
      <x:c r="L3339" s="24" t="n">
        <x:v>0.008265285799641506</x:v>
      </x:c>
    </x:row>
    <x:row r="3340">
      <x:c r="G3340" t="str">
        <x:v>SAN-IAH</x:v>
      </x:c>
      <x:c r="H3340" t="str">
        <x:v>SAN</x:v>
      </x:c>
      <x:c r="I3340" t="str">
        <x:v>IAH</x:v>
      </x:c>
      <x:c r="J3340" s="23" t="n">
        <x:v>5294</x:v>
      </x:c>
      <x:c r="K3340" s="24" t="n">
        <x:v>0.1596146581035134</x:v>
      </x:c>
      <x:c r="L3340" s="24" t="n">
        <x:v>0.014544767661503588</x:v>
      </x:c>
    </x:row>
    <x:row r="3341">
      <x:c r="G3341" t="str">
        <x:v>SBA-LAS</x:v>
      </x:c>
      <x:c r="H3341" t="str">
        <x:v>SBA</x:v>
      </x:c>
      <x:c r="I3341" t="str">
        <x:v>LAS</x:v>
      </x:c>
      <x:c r="J3341" s="23" t="n">
        <x:v>2714</x:v>
      </x:c>
      <x:c r="K3341" s="24" t="n">
        <x:v>0.15954310980103167</x:v>
      </x:c>
      <x:c r="L3341" s="24" t="n">
        <x:v>0.012896094325718496</x:v>
      </x:c>
    </x:row>
    <x:row r="3342">
      <x:c r="G3342" t="str">
        <x:v>LGA-ALB</x:v>
      </x:c>
      <x:c r="H3342" t="str">
        <x:v>LGA</x:v>
      </x:c>
      <x:c r="I3342" t="str">
        <x:v>ALB</x:v>
      </x:c>
      <x:c r="J3342" s="23" t="n">
        <x:v>1567</x:v>
      </x:c>
      <x:c r="K3342" s="24" t="n">
        <x:v>0.1595405232929164</x:v>
      </x:c>
      <x:c r="L3342" s="24" t="n">
        <x:v>0.035737077217613274</x:v>
      </x:c>
    </x:row>
    <x:row r="3343">
      <x:c r="G3343" t="str">
        <x:v>TUS-ORD</x:v>
      </x:c>
      <x:c r="H3343" t="str">
        <x:v>TUS</x:v>
      </x:c>
      <x:c r="I3343" t="str">
        <x:v>ORD</x:v>
      </x:c>
      <x:c r="J3343" s="23" t="n">
        <x:v>2871</x:v>
      </x:c>
      <x:c r="K3343" s="24" t="n">
        <x:v>0.15952629745733193</x:v>
      </x:c>
      <x:c r="L3343" s="24" t="n">
        <x:v>0.008707767328456984</x:v>
      </x:c>
    </x:row>
    <x:row r="3344">
      <x:c r="G3344" t="str">
        <x:v>EWR-CMH</x:v>
      </x:c>
      <x:c r="H3344" t="str">
        <x:v>EWR</x:v>
      </x:c>
      <x:c r="I3344" t="str">
        <x:v>CMH</x:v>
      </x:c>
      <x:c r="J3344" s="23" t="n">
        <x:v>5811</x:v>
      </x:c>
      <x:c r="K3344" s="24" t="n">
        <x:v>0.15952503871966958</x:v>
      </x:c>
      <x:c r="L3344" s="24" t="n">
        <x:v>0.04078471863706763</x:v>
      </x:c>
    </x:row>
    <x:row r="3345">
      <x:c r="G3345" t="str">
        <x:v>EWR-GRR</x:v>
      </x:c>
      <x:c r="H3345" t="str">
        <x:v>EWR</x:v>
      </x:c>
      <x:c r="I3345" t="str">
        <x:v>GRR</x:v>
      </x:c>
      <x:c r="J3345" s="23" t="n">
        <x:v>2520</x:v>
      </x:c>
      <x:c r="K3345" s="24" t="n">
        <x:v>0.1595238095238095</x:v>
      </x:c>
      <x:c r="L3345" s="24" t="n">
        <x:v>0.04365079365079365</x:v>
      </x:c>
    </x:row>
    <x:row r="3346">
      <x:c r="G3346" t="str">
        <x:v>HOU-STL</x:v>
      </x:c>
      <x:c r="H3346" t="str">
        <x:v>HOU</x:v>
      </x:c>
      <x:c r="I3346" t="str">
        <x:v>STL</x:v>
      </x:c>
      <x:c r="J3346" s="23" t="n">
        <x:v>4508</x:v>
      </x:c>
      <x:c r="K3346" s="24" t="n">
        <x:v>0.15949423247559893</x:v>
      </x:c>
      <x:c r="L3346" s="24" t="n">
        <x:v>0.007985803016858917</x:v>
      </x:c>
    </x:row>
    <x:row r="3347">
      <x:c r="G3347" t="str">
        <x:v>SNA-MSP</x:v>
      </x:c>
      <x:c r="H3347" t="str">
        <x:v>SNA</x:v>
      </x:c>
      <x:c r="I3347" t="str">
        <x:v>MSP</x:v>
      </x:c>
      <x:c r="J3347" s="23" t="n">
        <x:v>1737</x:v>
      </x:c>
      <x:c r="K3347" s="24" t="n">
        <x:v>0.15947035118019573</x:v>
      </x:c>
      <x:c r="L3347" s="24" t="n">
        <x:v>0.0063327576280944155</x:v>
      </x:c>
    </x:row>
    <x:row r="3348">
      <x:c r="G3348" t="str">
        <x:v>LAX-DTW</x:v>
      </x:c>
      <x:c r="H3348" t="str">
        <x:v>LAX</x:v>
      </x:c>
      <x:c r="I3348" t="str">
        <x:v>DTW</x:v>
      </x:c>
      <x:c r="J3348" s="23" t="n">
        <x:v>8221</x:v>
      </x:c>
      <x:c r="K3348" s="24" t="n">
        <x:v>0.15946965089405182</x:v>
      </x:c>
      <x:c r="L3348" s="24" t="n">
        <x:v>0.010217735068726433</x:v>
      </x:c>
    </x:row>
    <x:row r="3349">
      <x:c r="G3349" t="str">
        <x:v>CAK-DCA</x:v>
      </x:c>
      <x:c r="H3349" t="str">
        <x:v>CAK</x:v>
      </x:c>
      <x:c r="I3349" t="str">
        <x:v>DCA</x:v>
      </x:c>
      <x:c r="J3349" s="23" t="n">
        <x:v>1079</x:v>
      </x:c>
      <x:c r="K3349" s="24" t="n">
        <x:v>0.15940685820203893</x:v>
      </x:c>
      <x:c r="L3349" s="24" t="n">
        <x:v>0.015755329008341055</x:v>
      </x:c>
    </x:row>
    <x:row r="3350">
      <x:c r="G3350" t="str">
        <x:v>LGA-MYR</x:v>
      </x:c>
      <x:c r="H3350" t="str">
        <x:v>LGA</x:v>
      </x:c>
      <x:c r="I3350" t="str">
        <x:v>MYR</x:v>
      </x:c>
      <x:c r="J3350" s="23" t="n">
        <x:v>3118</x:v>
      </x:c>
      <x:c r="K3350" s="24" t="n">
        <x:v>0.159397049390635</x:v>
      </x:c>
      <x:c r="L3350" s="24" t="n">
        <x:v>0.027261064785118666</x:v>
      </x:c>
    </x:row>
    <x:row r="3351">
      <x:c r="G3351" t="str">
        <x:v>BNA-ORF</x:v>
      </x:c>
      <x:c r="H3351" t="str">
        <x:v>BNA</x:v>
      </x:c>
      <x:c r="I3351" t="str">
        <x:v>ORF</x:v>
      </x:c>
      <x:c r="J3351" s="23" t="n">
        <x:v>1236</x:v>
      </x:c>
      <x:c r="K3351" s="24" t="n">
        <x:v>0.1593851132686084</x:v>
      </x:c>
      <x:c r="L3351" s="24" t="n">
        <x:v>0.0008090614886731392</x:v>
      </x:c>
    </x:row>
    <x:row r="3352">
      <x:c r="G3352" t="str">
        <x:v>JFK-RIC</x:v>
      </x:c>
      <x:c r="H3352" t="str">
        <x:v>JFK</x:v>
      </x:c>
      <x:c r="I3352" t="str">
        <x:v>RIC</x:v>
      </x:c>
      <x:c r="J3352" s="23" t="n">
        <x:v>1820</x:v>
      </x:c>
      <x:c r="K3352" s="24" t="n">
        <x:v>0.15934065934065933</x:v>
      </x:c>
      <x:c r="L3352" s="24" t="n">
        <x:v>0.028021978021978023</x:v>
      </x:c>
    </x:row>
    <x:row r="3353">
      <x:c r="G3353" t="str">
        <x:v>SRQ-BWI</x:v>
      </x:c>
      <x:c r="H3353" t="str">
        <x:v>SRQ</x:v>
      </x:c>
      <x:c r="I3353" t="str">
        <x:v>BWI</x:v>
      </x:c>
      <x:c r="J3353" s="23" t="n">
        <x:v>4175</x:v>
      </x:c>
      <x:c r="K3353" s="24" t="n">
        <x:v>0.1592814371257485</x:v>
      </x:c>
      <x:c r="L3353" s="24" t="n">
        <x:v>0.01748502994011976</x:v>
      </x:c>
    </x:row>
    <x:row r="3354">
      <x:c r="G3354" t="str">
        <x:v>SBA-PHX</x:v>
      </x:c>
      <x:c r="H3354" t="str">
        <x:v>SBA</x:v>
      </x:c>
      <x:c r="I3354" t="str">
        <x:v>PHX</x:v>
      </x:c>
      <x:c r="J3354" s="23" t="n">
        <x:v>3780</x:v>
      </x:c>
      <x:c r="K3354" s="24" t="n">
        <x:v>0.15925925925925927</x:v>
      </x:c>
      <x:c r="L3354" s="24" t="n">
        <x:v>0.008465608465608466</x:v>
      </x:c>
    </x:row>
    <x:row r="3355">
      <x:c r="G3355" t="str">
        <x:v>MCI-MDW</x:v>
      </x:c>
      <x:c r="H3355" t="str">
        <x:v>MCI</x:v>
      </x:c>
      <x:c r="I3355" t="str">
        <x:v>MDW</x:v>
      </x:c>
      <x:c r="J3355" s="23" t="n">
        <x:v>6709</x:v>
      </x:c>
      <x:c r="K3355" s="24" t="n">
        <x:v>0.1591891489044567</x:v>
      </x:c>
      <x:c r="L3355" s="24" t="n">
        <x:v>0.01311670889849456</x:v>
      </x:c>
    </x:row>
    <x:row r="3356">
      <x:c r="G3356" t="str">
        <x:v>PDX-GEG</x:v>
      </x:c>
      <x:c r="H3356" t="str">
        <x:v>PDX</x:v>
      </x:c>
      <x:c r="I3356" t="str">
        <x:v>GEG</x:v>
      </x:c>
      <x:c r="J3356" s="23" t="n">
        <x:v>1596</x:v>
      </x:c>
      <x:c r="K3356" s="24" t="n">
        <x:v>0.15914786967418545</x:v>
      </x:c>
      <x:c r="L3356" s="24" t="n">
        <x:v>0.007518796992481203</x:v>
      </x:c>
    </x:row>
    <x:row r="3357">
      <x:c r="G3357" t="str">
        <x:v>PDX-SMF</x:v>
      </x:c>
      <x:c r="H3357" t="str">
        <x:v>PDX</x:v>
      </x:c>
      <x:c r="I3357" t="str">
        <x:v>SMF</x:v>
      </x:c>
      <x:c r="J3357" s="23" t="n">
        <x:v>5419</x:v>
      </x:c>
      <x:c r="K3357" s="24" t="n">
        <x:v>0.15906993910315556</x:v>
      </x:c>
      <x:c r="L3357" s="24" t="n">
        <x:v>0.006827828012548441</x:v>
      </x:c>
    </x:row>
    <x:row r="3358">
      <x:c r="G3358" t="str">
        <x:v>MKE-BNA</x:v>
      </x:c>
      <x:c r="H3358" t="str">
        <x:v>MKE</x:v>
      </x:c>
      <x:c r="I3358" t="str">
        <x:v>BNA</x:v>
      </x:c>
      <x:c r="J3358" s="23" t="n">
        <x:v>2509</x:v>
      </x:c>
      <x:c r="K3358" s="24" t="n">
        <x:v>0.1590275009964129</x:v>
      </x:c>
      <x:c r="L3358" s="24" t="n">
        <x:v>0.009565563969709047</x:v>
      </x:c>
    </x:row>
    <x:row r="3359">
      <x:c r="G3359" t="str">
        <x:v>FAY-CLT</x:v>
      </x:c>
      <x:c r="H3359" t="str">
        <x:v>FAY</x:v>
      </x:c>
      <x:c r="I3359" t="str">
        <x:v>CLT</x:v>
      </x:c>
      <x:c r="J3359" s="23" t="n">
        <x:v>1026</x:v>
      </x:c>
      <x:c r="K3359" s="24" t="n">
        <x:v>0.15886939571150097</x:v>
      </x:c>
      <x:c r="L3359" s="24" t="n">
        <x:v>0.011695906432748537</x:v>
      </x:c>
    </x:row>
    <x:row r="3360">
      <x:c r="G3360" t="str">
        <x:v>TPA-SDF</x:v>
      </x:c>
      <x:c r="H3360" t="str">
        <x:v>TPA</x:v>
      </x:c>
      <x:c r="I3360" t="str">
        <x:v>SDF</x:v>
      </x:c>
      <x:c r="J3360" s="23" t="n">
        <x:v>1341</x:v>
      </x:c>
      <x:c r="K3360" s="24" t="n">
        <x:v>0.15883668903803133</x:v>
      </x:c>
      <x:c r="L3360" s="24" t="n">
        <x:v>0.00820283370618941</x:v>
      </x:c>
    </x:row>
    <x:row r="3361">
      <x:c r="G3361" t="str">
        <x:v>BTV-JFK</x:v>
      </x:c>
      <x:c r="H3361" t="str">
        <x:v>BTV</x:v>
      </x:c>
      <x:c r="I3361" t="str">
        <x:v>JFK</x:v>
      </x:c>
      <x:c r="J3361" s="23" t="n">
        <x:v>2399</x:v>
      </x:c>
      <x:c r="K3361" s="24" t="n">
        <x:v>0.15881617340558565</x:v>
      </x:c>
      <x:c r="L3361" s="24" t="n">
        <x:v>0.028761984160066693</x:v>
      </x:c>
    </x:row>
    <x:row r="3362">
      <x:c r="G3362" t="str">
        <x:v>OMA-PHX</x:v>
      </x:c>
      <x:c r="H3362" t="str">
        <x:v>OMA</x:v>
      </x:c>
      <x:c r="I3362" t="str">
        <x:v>PHX</x:v>
      </x:c>
      <x:c r="J3362" s="23" t="n">
        <x:v>5264</x:v>
      </x:c>
      <x:c r="K3362" s="24" t="n">
        <x:v>0.15881458966565348</x:v>
      </x:c>
      <x:c r="L3362" s="24" t="n">
        <x:v>0.006648936170212766</x:v>
      </x:c>
    </x:row>
    <x:row r="3363">
      <x:c r="G3363" t="str">
        <x:v>SAT-DAL</x:v>
      </x:c>
      <x:c r="H3363" t="str">
        <x:v>SAT</x:v>
      </x:c>
      <x:c r="I3363" t="str">
        <x:v>DAL</x:v>
      </x:c>
      <x:c r="J3363" s="23" t="n">
        <x:v>8426</x:v>
      </x:c>
      <x:c r="K3363" s="24" t="n">
        <x:v>0.1587942084025635</x:v>
      </x:c>
      <x:c r="L3363" s="24" t="n">
        <x:v>0.015072394967956326</x:v>
      </x:c>
    </x:row>
    <x:row r="3364">
      <x:c r="G3364" t="str">
        <x:v>JAN-HOU</x:v>
      </x:c>
      <x:c r="H3364" t="str">
        <x:v>JAN</x:v>
      </x:c>
      <x:c r="I3364" t="str">
        <x:v>HOU</x:v>
      </x:c>
      <x:c r="J3364" s="23" t="n">
        <x:v>2602</x:v>
      </x:c>
      <x:c r="K3364" s="24" t="n">
        <x:v>0.15872405841660261</x:v>
      </x:c>
      <x:c r="L3364" s="24" t="n">
        <x:v>0.007686395080707148</x:v>
      </x:c>
    </x:row>
    <x:row r="3365">
      <x:c r="G3365" t="str">
        <x:v>PHX-MSP</x:v>
      </x:c>
      <x:c r="H3365" t="str">
        <x:v>PHX</x:v>
      </x:c>
      <x:c r="I3365" t="str">
        <x:v>MSP</x:v>
      </x:c>
      <x:c r="J3365" s="23" t="n">
        <x:v>9949</x:v>
      </x:c>
      <x:c r="K3365" s="24" t="n">
        <x:v>0.158709418031963</x:v>
      </x:c>
      <x:c r="L3365" s="24" t="n">
        <x:v>0.007337420846316212</x:v>
      </x:c>
    </x:row>
    <x:row r="3366">
      <x:c r="G3366" t="str">
        <x:v>AZO-DTW</x:v>
      </x:c>
      <x:c r="H3366" t="str">
        <x:v>AZO</x:v>
      </x:c>
      <x:c r="I3366" t="str">
        <x:v>DTW</x:v>
      </x:c>
      <x:c r="J3366" s="23" t="n">
        <x:v>2818</x:v>
      </x:c>
      <x:c r="K3366" s="24" t="n">
        <x:v>0.15862313697657912</x:v>
      </x:c>
      <x:c r="L3366" s="24" t="n">
        <x:v>0.0127750177430802</x:v>
      </x:c>
    </x:row>
    <x:row r="3367">
      <x:c r="G3367" t="str">
        <x:v>PDX-OAK</x:v>
      </x:c>
      <x:c r="H3367" t="str">
        <x:v>PDX</x:v>
      </x:c>
      <x:c r="I3367" t="str">
        <x:v>OAK</x:v>
      </x:c>
      <x:c r="J3367" s="23" t="n">
        <x:v>5573</x:v>
      </x:c>
      <x:c r="K3367" s="24" t="n">
        <x:v>0.15862192714875292</x:v>
      </x:c>
      <x:c r="L3367" s="24" t="n">
        <x:v>0.007895209043603087</x:v>
      </x:c>
    </x:row>
    <x:row r="3368">
      <x:c r="G3368" t="str">
        <x:v>JFK-BWI</x:v>
      </x:c>
      <x:c r="H3368" t="str">
        <x:v>JFK</x:v>
      </x:c>
      <x:c r="I3368" t="str">
        <x:v>BWI</x:v>
      </x:c>
      <x:c r="J3368" s="23" t="n">
        <x:v>1532</x:v>
      </x:c>
      <x:c r="K3368" s="24" t="n">
        <x:v>0.15861618798955612</x:v>
      </x:c>
      <x:c r="L3368" s="24" t="n">
        <x:v>0.04634464751958225</x:v>
      </x:c>
    </x:row>
    <x:row r="3369">
      <x:c r="G3369" t="str">
        <x:v>RDU-BWI</x:v>
      </x:c>
      <x:c r="H3369" t="str">
        <x:v>RDU</x:v>
      </x:c>
      <x:c r="I3369" t="str">
        <x:v>BWI</x:v>
      </x:c>
      <x:c r="J3369" s="23" t="n">
        <x:v>5425</x:v>
      </x:c>
      <x:c r="K3369" s="24" t="n">
        <x:v>0.1585253456221198</x:v>
      </x:c>
      <x:c r="L3369" s="24" t="n">
        <x:v>0.010506912442396314</x:v>
      </x:c>
    </x:row>
    <x:row r="3370">
      <x:c r="G3370" t="str">
        <x:v>SEA-BOI</x:v>
      </x:c>
      <x:c r="H3370" t="str">
        <x:v>SEA</x:v>
      </x:c>
      <x:c r="I3370" t="str">
        <x:v>BOI</x:v>
      </x:c>
      <x:c r="J3370" s="23" t="n">
        <x:v>12242</x:v>
      </x:c>
      <x:c r="K3370" s="24" t="n">
        <x:v>0.15847083809834994</x:v>
      </x:c>
      <x:c r="L3370" s="24" t="n">
        <x:v>0.0020421499754942002</x:v>
      </x:c>
    </x:row>
    <x:row r="3371">
      <x:c r="G3371" t="str">
        <x:v>PHX-PHL</x:v>
      </x:c>
      <x:c r="H3371" t="str">
        <x:v>PHX</x:v>
      </x:c>
      <x:c r="I3371" t="str">
        <x:v>PHL</x:v>
      </x:c>
      <x:c r="J3371" s="23" t="n">
        <x:v>7327</x:v>
      </x:c>
      <x:c r="K3371" s="24" t="n">
        <x:v>0.15845502934352396</x:v>
      </x:c>
      <x:c r="L3371" s="24" t="n">
        <x:v>0.009007779445885083</x:v>
      </x:c>
    </x:row>
    <x:row r="3372">
      <x:c r="G3372" t="str">
        <x:v>LIT-LGA</x:v>
      </x:c>
      <x:c r="H3372" t="str">
        <x:v>LIT</x:v>
      </x:c>
      <x:c r="I3372" t="str">
        <x:v>LGA</x:v>
      </x:c>
      <x:c r="J3372" s="23" t="n">
        <x:v>1439</x:v>
      </x:c>
      <x:c r="K3372" s="24" t="n">
        <x:v>0.15844336344683807</x:v>
      </x:c>
      <x:c r="L3372" s="24" t="n">
        <x:v>0.014593467685892982</x:v>
      </x:c>
    </x:row>
    <x:row r="3373">
      <x:c r="G3373" t="str">
        <x:v>LAS-MEM</x:v>
      </x:c>
      <x:c r="H3373" t="str">
        <x:v>LAS</x:v>
      </x:c>
      <x:c r="I3373" t="str">
        <x:v>MEM</x:v>
      </x:c>
      <x:c r="J3373" s="23" t="n">
        <x:v>1925</x:v>
      </x:c>
      <x:c r="K3373" s="24" t="n">
        <x:v>0.15844155844155844</x:v>
      </x:c>
      <x:c r="L3373" s="24" t="n">
        <x:v>0.004675324675324675</x:v>
      </x:c>
    </x:row>
    <x:row r="3374">
      <x:c r="G3374" t="str">
        <x:v>SGF-ATL</x:v>
      </x:c>
      <x:c r="H3374" t="str">
        <x:v>SGF</x:v>
      </x:c>
      <x:c r="I3374" t="str">
        <x:v>ATL</x:v>
      </x:c>
      <x:c r="J3374" s="23" t="n">
        <x:v>2727</x:v>
      </x:c>
      <x:c r="K3374" s="24" t="n">
        <x:v>0.15841584158415842</x:v>
      </x:c>
      <x:c r="L3374" s="24" t="n">
        <x:v>0.005133846718005134</x:v>
      </x:c>
    </x:row>
    <x:row r="3375">
      <x:c r="G3375" t="str">
        <x:v>LGA-PIT</x:v>
      </x:c>
      <x:c r="H3375" t="str">
        <x:v>LGA</x:v>
      </x:c>
      <x:c r="I3375" t="str">
        <x:v>PIT</x:v>
      </x:c>
      <x:c r="J3375" s="23" t="n">
        <x:v>9381</x:v>
      </x:c>
      <x:c r="K3375" s="24" t="n">
        <x:v>0.15829868883914294</x:v>
      </x:c>
      <x:c r="L3375" s="24" t="n">
        <x:v>0.028568382901609637</x:v>
      </x:c>
    </x:row>
    <x:row r="3376">
      <x:c r="G3376" t="str">
        <x:v>MSP-MKE</x:v>
      </x:c>
      <x:c r="H3376" t="str">
        <x:v>MSP</x:v>
      </x:c>
      <x:c r="I3376" t="str">
        <x:v>MKE</x:v>
      </x:c>
      <x:c r="J3376" s="23" t="n">
        <x:v>4388</x:v>
      </x:c>
      <x:c r="K3376" s="24" t="n">
        <x:v>0.15815861440291704</x:v>
      </x:c>
      <x:c r="L3376" s="24" t="n">
        <x:v>0.010483135824977211</x:v>
      </x:c>
    </x:row>
    <x:row r="3377">
      <x:c r="G3377" t="str">
        <x:v>MSP-HNL</x:v>
      </x:c>
      <x:c r="H3377" t="str">
        <x:v>MSP</x:v>
      </x:c>
      <x:c r="I3377" t="str">
        <x:v>HNL</x:v>
      </x:c>
      <x:c r="J3377" s="23" t="n">
        <x:v>1094</x:v>
      </x:c>
      <x:c r="K3377" s="24" t="n">
        <x:v>0.15813528336380256</x:v>
      </x:c>
      <x:c r="L3377" s="24" t="n">
        <x:v>0.008226691042047532</x:v>
      </x:c>
    </x:row>
    <x:row r="3378">
      <x:c r="G3378" t="str">
        <x:v>SRQ-STL</x:v>
      </x:c>
      <x:c r="H3378" t="str">
        <x:v>SRQ</x:v>
      </x:c>
      <x:c r="I3378" t="str">
        <x:v>STL</x:v>
      </x:c>
      <x:c r="J3378" s="23" t="n">
        <x:v>1069</x:v>
      </x:c>
      <x:c r="K3378" s="24" t="n">
        <x:v>0.1580916744621141</x:v>
      </x:c>
      <x:c r="L3378" s="24" t="n">
        <x:v>0.01216089803554724</x:v>
      </x:c>
    </x:row>
    <x:row r="3379">
      <x:c r="G3379" t="str">
        <x:v>SYR-BWI</x:v>
      </x:c>
      <x:c r="H3379" t="str">
        <x:v>SYR</x:v>
      </x:c>
      <x:c r="I3379" t="str">
        <x:v>BWI</x:v>
      </x:c>
      <x:c r="J3379" s="23" t="n">
        <x:v>1684</x:v>
      </x:c>
      <x:c r="K3379" s="24" t="n">
        <x:v>0.15795724465558195</x:v>
      </x:c>
      <x:c r="L3379" s="24" t="n">
        <x:v>0.00831353919239905</x:v>
      </x:c>
    </x:row>
    <x:row r="3380">
      <x:c r="G3380" t="str">
        <x:v>OMA-SEA</x:v>
      </x:c>
      <x:c r="H3380" t="str">
        <x:v>OMA</x:v>
      </x:c>
      <x:c r="I3380" t="str">
        <x:v>SEA</x:v>
      </x:c>
      <x:c r="J3380" s="23" t="n">
        <x:v>1368</x:v>
      </x:c>
      <x:c r="K3380" s="24" t="n">
        <x:v>0.15789473684210525</x:v>
      </x:c>
      <x:c r="L3380" s="24" t="n">
        <x:v>0.008771929824561403</x:v>
      </x:c>
    </x:row>
    <x:row r="3381">
      <x:c r="G3381" t="str">
        <x:v>PSP-OAK</x:v>
      </x:c>
      <x:c r="H3381" t="str">
        <x:v>PSP</x:v>
      </x:c>
      <x:c r="I3381" t="str">
        <x:v>OAK</x:v>
      </x:c>
      <x:c r="J3381" s="23" t="n">
        <x:v>1634</x:v>
      </x:c>
      <x:c r="K3381" s="24" t="n">
        <x:v>0.15789473684210525</x:v>
      </x:c>
      <x:c r="L3381" s="24" t="n">
        <x:v>0.004895960832313341</x:v>
      </x:c>
    </x:row>
    <x:row r="3382">
      <x:c r="G3382" t="str">
        <x:v>MCI-BNA</x:v>
      </x:c>
      <x:c r="H3382" t="str">
        <x:v>MCI</x:v>
      </x:c>
      <x:c r="I3382" t="str">
        <x:v>BNA</x:v>
      </x:c>
      <x:c r="J3382" s="23" t="n">
        <x:v>3731</x:v>
      </x:c>
      <x:c r="K3382" s="24" t="n">
        <x:v>0.15786652372018226</x:v>
      </x:c>
      <x:c r="L3382" s="24" t="n">
        <x:v>0.008308764406325383</x:v>
      </x:c>
    </x:row>
    <x:row r="3383">
      <x:c r="G3383" t="str">
        <x:v>SFO-SAT</x:v>
      </x:c>
      <x:c r="H3383" t="str">
        <x:v>SFO</x:v>
      </x:c>
      <x:c r="I3383" t="str">
        <x:v>SAT</x:v>
      </x:c>
      <x:c r="J3383" s="23" t="n">
        <x:v>1305</x:v>
      </x:c>
      <x:c r="K3383" s="24" t="n">
        <x:v>0.1578544061302682</x:v>
      </x:c>
      <x:c r="L3383" s="24" t="n">
        <x:v>0.004597701149425287</x:v>
      </x:c>
    </x:row>
    <x:row r="3384">
      <x:c r="G3384" t="str">
        <x:v>HYS-DEN</x:v>
      </x:c>
      <x:c r="H3384" t="str">
        <x:v>HYS</x:v>
      </x:c>
      <x:c r="I3384" t="str">
        <x:v>DEN</x:v>
      </x:c>
      <x:c r="J3384" s="23" t="n">
        <x:v>1508</x:v>
      </x:c>
      <x:c r="K3384" s="24" t="n">
        <x:v>0.15782493368700265</x:v>
      </x:c>
      <x:c r="L3384" s="24" t="n">
        <x:v>0.022546419098143235</x:v>
      </x:c>
    </x:row>
    <x:row r="3385">
      <x:c r="G3385" t="str">
        <x:v>MKE-LGA</x:v>
      </x:c>
      <x:c r="H3385" t="str">
        <x:v>MKE</x:v>
      </x:c>
      <x:c r="I3385" t="str">
        <x:v>LGA</x:v>
      </x:c>
      <x:c r="J3385" s="23" t="n">
        <x:v>3213</x:v>
      </x:c>
      <x:c r="K3385" s="24" t="n">
        <x:v>0.15779645191409897</x:v>
      </x:c>
      <x:c r="L3385" s="24" t="n">
        <x:v>0.03081232492997199</x:v>
      </x:c>
    </x:row>
    <x:row r="3386">
      <x:c r="G3386" t="str">
        <x:v>ATL-TLH</x:v>
      </x:c>
      <x:c r="H3386" t="str">
        <x:v>ATL</x:v>
      </x:c>
      <x:c r="I3386" t="str">
        <x:v>TLH</x:v>
      </x:c>
      <x:c r="J3386" s="23" t="n">
        <x:v>5419</x:v>
      </x:c>
      <x:c r="K3386" s="24" t="n">
        <x:v>0.1577781878575383</x:v>
      </x:c>
      <x:c r="L3386" s="24" t="n">
        <x:v>0.011256689426093374</x:v>
      </x:c>
    </x:row>
    <x:row r="3387">
      <x:c r="G3387" t="str">
        <x:v>EWR-SAT</x:v>
      </x:c>
      <x:c r="H3387" t="str">
        <x:v>EWR</x:v>
      </x:c>
      <x:c r="I3387" t="str">
        <x:v>SAT</x:v>
      </x:c>
      <x:c r="J3387" s="23" t="n">
        <x:v>2048</x:v>
      </x:c>
      <x:c r="K3387" s="24" t="n">
        <x:v>0.15771484375</x:v>
      </x:c>
      <x:c r="L3387" s="24" t="n">
        <x:v>0.0078125</x:v>
      </x:c>
    </x:row>
    <x:row r="3388">
      <x:c r="G3388" t="str">
        <x:v>SLC-MEM</x:v>
      </x:c>
      <x:c r="H3388" t="str">
        <x:v>SLC</x:v>
      </x:c>
      <x:c r="I3388" t="str">
        <x:v>MEM</x:v>
      </x:c>
      <x:c r="J3388" s="23" t="n">
        <x:v>1097</x:v>
      </x:c>
      <x:c r="K3388" s="24" t="n">
        <x:v>0.1577028258887876</x:v>
      </x:c>
      <x:c r="L3388" s="24" t="n">
        <x:v>0.006381039197812215</x:v>
      </x:c>
    </x:row>
    <x:row r="3389">
      <x:c r="G3389" t="str">
        <x:v>APN-DTW</x:v>
      </x:c>
      <x:c r="H3389" t="str">
        <x:v>APN</x:v>
      </x:c>
      <x:c r="I3389" t="str">
        <x:v>DTW</x:v>
      </x:c>
      <x:c r="J3389" s="23" t="n">
        <x:v>1643</x:v>
      </x:c>
      <x:c r="K3389" s="24" t="n">
        <x:v>0.15763846622032868</x:v>
      </x:c>
      <x:c r="L3389" s="24" t="n">
        <x:v>0.032866707242848445</x:v>
      </x:c>
    </x:row>
    <x:row r="3390">
      <x:c r="G3390" t="str">
        <x:v>TYS-MIA</x:v>
      </x:c>
      <x:c r="H3390" t="str">
        <x:v>TYS</x:v>
      </x:c>
      <x:c r="I3390" t="str">
        <x:v>MIA</x:v>
      </x:c>
      <x:c r="J3390" s="23" t="n">
        <x:v>1142</x:v>
      </x:c>
      <x:c r="K3390" s="24" t="n">
        <x:v>0.15761821366024517</x:v>
      </x:c>
      <x:c r="L3390" s="24" t="n">
        <x:v>0.0035026269702276708</x:v>
      </x:c>
    </x:row>
    <x:row r="3391">
      <x:c r="G3391" t="str">
        <x:v>DTW-SDF</x:v>
      </x:c>
      <x:c r="H3391" t="str">
        <x:v>DTW</x:v>
      </x:c>
      <x:c r="I3391" t="str">
        <x:v>SDF</x:v>
      </x:c>
      <x:c r="J3391" s="23" t="n">
        <x:v>3459</x:v>
      </x:c>
      <x:c r="K3391" s="24" t="n">
        <x:v>0.15755998843596414</x:v>
      </x:c>
      <x:c r="L3391" s="24" t="n">
        <x:v>0.0066493206128939</x:v>
      </x:c>
    </x:row>
    <x:row r="3392">
      <x:c r="G3392" t="str">
        <x:v>ATL-CSG</x:v>
      </x:c>
      <x:c r="H3392" t="str">
        <x:v>ATL</x:v>
      </x:c>
      <x:c r="I3392" t="str">
        <x:v>CSG</x:v>
      </x:c>
      <x:c r="J3392" s="23" t="n">
        <x:v>1949</x:v>
      </x:c>
      <x:c r="K3392" s="24" t="n">
        <x:v>0.15751667521806054</x:v>
      </x:c>
      <x:c r="L3392" s="24" t="n">
        <x:v>0.013340174448435094</x:v>
      </x:c>
    </x:row>
    <x:row r="3393">
      <x:c r="G3393" t="str">
        <x:v>GSP-BWI</x:v>
      </x:c>
      <x:c r="H3393" t="str">
        <x:v>GSP</x:v>
      </x:c>
      <x:c r="I3393" t="str">
        <x:v>BWI</x:v>
      </x:c>
      <x:c r="J3393" s="23" t="n">
        <x:v>1651</x:v>
      </x:c>
      <x:c r="K3393" s="24" t="n">
        <x:v>0.15748031496062992</x:v>
      </x:c>
      <x:c r="L3393" s="24" t="n">
        <x:v>0.004845548152634767</x:v>
      </x:c>
    </x:row>
    <x:row r="3394">
      <x:c r="G3394" t="str">
        <x:v>BMI-DFW</x:v>
      </x:c>
      <x:c r="H3394" t="str">
        <x:v>BMI</x:v>
      </x:c>
      <x:c r="I3394" t="str">
        <x:v>DFW</x:v>
      </x:c>
      <x:c r="J3394" s="23" t="n">
        <x:v>2083</x:v>
      </x:c>
      <x:c r="K3394" s="24" t="n">
        <x:v>0.15746519443110898</x:v>
      </x:c>
      <x:c r="L3394" s="24" t="n">
        <x:v>0.015362457993278924</x:v>
      </x:c>
    </x:row>
    <x:row r="3395">
      <x:c r="G3395" t="str">
        <x:v>GRR-DTW</x:v>
      </x:c>
      <x:c r="H3395" t="str">
        <x:v>GRR</x:v>
      </x:c>
      <x:c r="I3395" t="str">
        <x:v>DTW</x:v>
      </x:c>
      <x:c r="J3395" s="23" t="n">
        <x:v>4389</x:v>
      </x:c>
      <x:c r="K3395" s="24" t="n">
        <x:v>0.15743905217589427</x:v>
      </x:c>
      <x:c r="L3395" s="24" t="n">
        <x:v>0.008658008658008658</x:v>
      </x:c>
    </x:row>
    <x:row r="3396">
      <x:c r="G3396" t="str">
        <x:v>PIT-BNA</x:v>
      </x:c>
      <x:c r="H3396" t="str">
        <x:v>PIT</x:v>
      </x:c>
      <x:c r="I3396" t="str">
        <x:v>BNA</x:v>
      </x:c>
      <x:c r="J3396" s="23" t="n">
        <x:v>2903</x:v>
      </x:c>
      <x:c r="K3396" s="24" t="n">
        <x:v>0.15742335514984498</x:v>
      </x:c>
      <x:c r="L3396" s="24" t="n">
        <x:v>0.0037891836031691355</x:v>
      </x:c>
    </x:row>
    <x:row r="3397">
      <x:c r="G3397" t="str">
        <x:v>CMH-MDW</x:v>
      </x:c>
      <x:c r="H3397" t="str">
        <x:v>CMH</x:v>
      </x:c>
      <x:c r="I3397" t="str">
        <x:v>MDW</x:v>
      </x:c>
      <x:c r="J3397" s="23" t="n">
        <x:v>4317</x:v>
      </x:c>
      <x:c r="K3397" s="24" t="n">
        <x:v>0.15728515172573546</x:v>
      </x:c>
      <x:c r="L3397" s="24" t="n">
        <x:v>0.012740328932128793</x:v>
      </x:c>
    </x:row>
    <x:row r="3398">
      <x:c r="G3398" t="str">
        <x:v>RDM-SEA</x:v>
      </x:c>
      <x:c r="H3398" t="str">
        <x:v>RDM</x:v>
      </x:c>
      <x:c r="I3398" t="str">
        <x:v>SEA</x:v>
      </x:c>
      <x:c r="J3398" s="23" t="n">
        <x:v>5277</x:v>
      </x:c>
      <x:c r="K3398" s="24" t="n">
        <x:v>0.15709683532310026</x:v>
      </x:c>
      <x:c r="L3398" s="24" t="n">
        <x:v>0.010801591813530414</x:v>
      </x:c>
    </x:row>
    <x:row r="3399">
      <x:c r="G3399" t="str">
        <x:v>LGB-PHX</x:v>
      </x:c>
      <x:c r="H3399" t="str">
        <x:v>LGB</x:v>
      </x:c>
      <x:c r="I3399" t="str">
        <x:v>PHX</x:v>
      </x:c>
      <x:c r="J3399" s="23" t="n">
        <x:v>4184</x:v>
      </x:c>
      <x:c r="K3399" s="24" t="n">
        <x:v>0.1570267686424474</x:v>
      </x:c>
      <x:c r="L3399" s="24" t="n">
        <x:v>0.0057361376673040155</x:v>
      </x:c>
    </x:row>
    <x:row r="3400">
      <x:c r="G3400" t="str">
        <x:v>RDU-SLC</x:v>
      </x:c>
      <x:c r="H3400" t="str">
        <x:v>RDU</x:v>
      </x:c>
      <x:c r="I3400" t="str">
        <x:v>SLC</x:v>
      </x:c>
      <x:c r="J3400" s="23" t="n">
        <x:v>1223</x:v>
      </x:c>
      <x:c r="K3400" s="24" t="n">
        <x:v>0.15699100572363042</x:v>
      </x:c>
      <x:c r="L3400" s="24" t="n">
        <x:v>0.008176614881439084</x:v>
      </x:c>
    </x:row>
    <x:row r="3401">
      <x:c r="G3401" t="str">
        <x:v>DCA-CID</x:v>
      </x:c>
      <x:c r="H3401" t="str">
        <x:v>DCA</x:v>
      </x:c>
      <x:c r="I3401" t="str">
        <x:v>CID</x:v>
      </x:c>
      <x:c r="J3401" s="23" t="n">
        <x:v>1224</x:v>
      </x:c>
      <x:c r="K3401" s="24" t="n">
        <x:v>0.1568627450980392</x:v>
      </x:c>
      <x:c r="L3401" s="24" t="n">
        <x:v>0.03022875816993464</x:v>
      </x:c>
    </x:row>
    <x:row r="3402">
      <x:c r="G3402" t="str">
        <x:v>BDL-BWI</x:v>
      </x:c>
      <x:c r="H3402" t="str">
        <x:v>BDL</x:v>
      </x:c>
      <x:c r="I3402" t="str">
        <x:v>BWI</x:v>
      </x:c>
      <x:c r="J3402" s="23" t="n">
        <x:v>5113</x:v>
      </x:c>
      <x:c r="K3402" s="24" t="n">
        <x:v>0.15685507529825934</x:v>
      </x:c>
      <x:c r="L3402" s="24" t="n">
        <x:v>0.010952474085663993</x:v>
      </x:c>
    </x:row>
    <x:row r="3403">
      <x:c r="G3403" t="str">
        <x:v>PLN-DTW</x:v>
      </x:c>
      <x:c r="H3403" t="str">
        <x:v>PLN</x:v>
      </x:c>
      <x:c r="I3403" t="str">
        <x:v>DTW</x:v>
      </x:c>
      <x:c r="J3403" s="23" t="n">
        <x:v>2162</x:v>
      </x:c>
      <x:c r="K3403" s="24" t="n">
        <x:v>0.15679925994449584</x:v>
      </x:c>
      <x:c r="L3403" s="24" t="n">
        <x:v>0.02682701202590194</x:v>
      </x:c>
    </x:row>
    <x:row r="3404">
      <x:c r="G3404" t="str">
        <x:v>MSP-DTW</x:v>
      </x:c>
      <x:c r="H3404" t="str">
        <x:v>MSP</x:v>
      </x:c>
      <x:c r="I3404" t="str">
        <x:v>DTW</x:v>
      </x:c>
      <x:c r="J3404" s="23" t="n">
        <x:v>6671</x:v>
      </x:c>
      <x:c r="K3404" s="24" t="n">
        <x:v>0.15679808124718933</x:v>
      </x:c>
      <x:c r="L3404" s="24" t="n">
        <x:v>0.005246589716684155</x:v>
      </x:c>
    </x:row>
    <x:row r="3405">
      <x:c r="G3405" t="str">
        <x:v>ATL-GSO</x:v>
      </x:c>
      <x:c r="H3405" t="str">
        <x:v>ATL</x:v>
      </x:c>
      <x:c r="I3405" t="str">
        <x:v>GSO</x:v>
      </x:c>
      <x:c r="J3405" s="23" t="n">
        <x:v>7436</x:v>
      </x:c>
      <x:c r="K3405" s="24" t="n">
        <x:v>0.15667025282409897</x:v>
      </x:c>
      <x:c r="L3405" s="24" t="n">
        <x:v>0.009010220548682087</x:v>
      </x:c>
    </x:row>
    <x:row r="3406">
      <x:c r="G3406" t="str">
        <x:v>MSY-DTW</x:v>
      </x:c>
      <x:c r="H3406" t="str">
        <x:v>MSY</x:v>
      </x:c>
      <x:c r="I3406" t="str">
        <x:v>DTW</x:v>
      </x:c>
      <x:c r="J3406" s="23" t="n">
        <x:v>2407</x:v>
      </x:c>
      <x:c r="K3406" s="24" t="n">
        <x:v>0.1566265060240964</x:v>
      </x:c>
      <x:c r="L3406" s="24" t="n">
        <x:v>0.015371832156211051</x:v>
      </x:c>
    </x:row>
    <x:row r="3407">
      <x:c r="G3407" t="str">
        <x:v>PSP-PHX</x:v>
      </x:c>
      <x:c r="H3407" t="str">
        <x:v>PSP</x:v>
      </x:c>
      <x:c r="I3407" t="str">
        <x:v>PHX</x:v>
      </x:c>
      <x:c r="J3407" s="23" t="n">
        <x:v>4668</x:v>
      </x:c>
      <x:c r="K3407" s="24" t="n">
        <x:v>0.15659811482433592</x:v>
      </x:c>
      <x:c r="L3407" s="24" t="n">
        <x:v>0.004712939160239932</x:v>
      </x:c>
    </x:row>
    <x:row r="3408">
      <x:c r="G3408" t="str">
        <x:v>ATL-LIT</x:v>
      </x:c>
      <x:c r="H3408" t="str">
        <x:v>ATL</x:v>
      </x:c>
      <x:c r="I3408" t="str">
        <x:v>LIT</x:v>
      </x:c>
      <x:c r="J3408" s="23" t="n">
        <x:v>6801</x:v>
      </x:c>
      <x:c r="K3408" s="24" t="n">
        <x:v>0.15659461843846492</x:v>
      </x:c>
      <x:c r="L3408" s="24" t="n">
        <x:v>0.007204822820173504</x:v>
      </x:c>
    </x:row>
    <x:row r="3409">
      <x:c r="G3409" t="str">
        <x:v>MIA-EYW</x:v>
      </x:c>
      <x:c r="H3409" t="str">
        <x:v>MIA</x:v>
      </x:c>
      <x:c r="I3409" t="str">
        <x:v>EYW</x:v>
      </x:c>
      <x:c r="J3409" s="23" t="n">
        <x:v>3628</x:v>
      </x:c>
      <x:c r="K3409" s="24" t="n">
        <x:v>0.1565600882028666</x:v>
      </x:c>
      <x:c r="L3409" s="24" t="n">
        <x:v>0.015711135611907387</x:v>
      </x:c>
    </x:row>
    <x:row r="3410">
      <x:c r="G3410" t="str">
        <x:v>GSO-LGA</x:v>
      </x:c>
      <x:c r="H3410" t="str">
        <x:v>GSO</x:v>
      </x:c>
      <x:c r="I3410" t="str">
        <x:v>LGA</x:v>
      </x:c>
      <x:c r="J3410" s="23" t="n">
        <x:v>5916</x:v>
      </x:c>
      <x:c r="K3410" s="24" t="n">
        <x:v>0.1563556457065585</x:v>
      </x:c>
      <x:c r="L3410" s="24" t="n">
        <x:v>0.03583502366463827</x:v>
      </x:c>
    </x:row>
    <x:row r="3411">
      <x:c r="G3411" t="str">
        <x:v>EWR-SDF</x:v>
      </x:c>
      <x:c r="H3411" t="str">
        <x:v>EWR</x:v>
      </x:c>
      <x:c r="I3411" t="str">
        <x:v>SDF</x:v>
      </x:c>
      <x:c r="J3411" s="23" t="n">
        <x:v>2976</x:v>
      </x:c>
      <x:c r="K3411" s="24" t="n">
        <x:v>0.15625</x:v>
      </x:c>
      <x:c r="L3411" s="24" t="n">
        <x:v>0.03864247311827957</x:v>
      </x:c>
    </x:row>
    <x:row r="3412">
      <x:c r="G3412" t="str">
        <x:v>SWO-DFW</x:v>
      </x:c>
      <x:c r="H3412" t="str">
        <x:v>SWO</x:v>
      </x:c>
      <x:c r="I3412" t="str">
        <x:v>DFW</x:v>
      </x:c>
      <x:c r="J3412" s="23" t="n">
        <x:v>2184</x:v>
      </x:c>
      <x:c r="K3412" s="24" t="n">
        <x:v>0.15613553113553114</x:v>
      </x:c>
      <x:c r="L3412" s="24" t="n">
        <x:v>0.0260989010989011</x:v>
      </x:c>
    </x:row>
    <x:row r="3413">
      <x:c r="G3413" t="str">
        <x:v>ATL-CAE</x:v>
      </x:c>
      <x:c r="H3413" t="str">
        <x:v>ATL</x:v>
      </x:c>
      <x:c r="I3413" t="str">
        <x:v>CAE</x:v>
      </x:c>
      <x:c r="J3413" s="23" t="n">
        <x:v>6082</x:v>
      </x:c>
      <x:c r="K3413" s="24" t="n">
        <x:v>0.15603419927655376</x:v>
      </x:c>
      <x:c r="L3413" s="24" t="n">
        <x:v>0.007892140743176587</x:v>
      </x:c>
    </x:row>
    <x:row r="3414">
      <x:c r="G3414" t="str">
        <x:v>JAC-SLC</x:v>
      </x:c>
      <x:c r="H3414" t="str">
        <x:v>JAC</x:v>
      </x:c>
      <x:c r="I3414" t="str">
        <x:v>SLC</x:v>
      </x:c>
      <x:c r="J3414" s="23" t="n">
        <x:v>3321</x:v>
      </x:c>
      <x:c r="K3414" s="24" t="n">
        <x:v>0.15597711532670883</x:v>
      </x:c>
      <x:c r="L3414" s="24" t="n">
        <x:v>0.006925624811803674</x:v>
      </x:c>
    </x:row>
    <x:row r="3415">
      <x:c r="G3415" t="str">
        <x:v>BOI-PHX</x:v>
      </x:c>
      <x:c r="H3415" t="str">
        <x:v>BOI</x:v>
      </x:c>
      <x:c r="I3415" t="str">
        <x:v>PHX</x:v>
      </x:c>
      <x:c r="J3415" s="23" t="n">
        <x:v>5188</x:v>
      </x:c>
      <x:c r="K3415" s="24" t="n">
        <x:v>0.1559367771781033</x:v>
      </x:c>
      <x:c r="L3415" s="24" t="n">
        <x:v>0.0025057825751734772</x:v>
      </x:c>
    </x:row>
    <x:row r="3416">
      <x:c r="G3416" t="str">
        <x:v>ILM-LGA</x:v>
      </x:c>
      <x:c r="H3416" t="str">
        <x:v>ILM</x:v>
      </x:c>
      <x:c r="I3416" t="str">
        <x:v>LGA</x:v>
      </x:c>
      <x:c r="J3416" s="23" t="n">
        <x:v>4422</x:v>
      </x:c>
      <x:c r="K3416" s="24" t="n">
        <x:v>0.1558118498417006</x:v>
      </x:c>
      <x:c r="L3416" s="24" t="n">
        <x:v>0.037765716870194484</x:v>
      </x:c>
    </x:row>
    <x:row r="3417">
      <x:c r="G3417" t="str">
        <x:v>SLC-IAD</x:v>
      </x:c>
      <x:c r="H3417" t="str">
        <x:v>SLC</x:v>
      </x:c>
      <x:c r="I3417" t="str">
        <x:v>IAD</x:v>
      </x:c>
      <x:c r="J3417" s="23" t="n">
        <x:v>1457</x:v>
      </x:c>
      <x:c r="K3417" s="24" t="n">
        <x:v>0.15579958819492107</x:v>
      </x:c>
      <x:c r="L3417" s="24" t="n">
        <x:v>0.0075497597803706245</x:v>
      </x:c>
    </x:row>
    <x:row r="3418">
      <x:c r="G3418" t="str">
        <x:v>SAN-MIA</x:v>
      </x:c>
      <x:c r="H3418" t="str">
        <x:v>SAN</x:v>
      </x:c>
      <x:c r="I3418" t="str">
        <x:v>MIA</x:v>
      </x:c>
      <x:c r="J3418" s="23" t="n">
        <x:v>1502</x:v>
      </x:c>
      <x:c r="K3418" s="24" t="n">
        <x:v>0.15579227696404793</x:v>
      </x:c>
      <x:c r="L3418" s="24" t="n">
        <x:v>0.008655126498002663</x:v>
      </x:c>
    </x:row>
    <x:row r="3419">
      <x:c r="G3419" t="str">
        <x:v>BIS-MSP</x:v>
      </x:c>
      <x:c r="H3419" t="str">
        <x:v>BIS</x:v>
      </x:c>
      <x:c r="I3419" t="str">
        <x:v>MSP</x:v>
      </x:c>
      <x:c r="J3419" s="23" t="n">
        <x:v>4303</x:v>
      </x:c>
      <x:c r="K3419" s="24" t="n">
        <x:v>0.15570532186846386</x:v>
      </x:c>
      <x:c r="L3419" s="24" t="n">
        <x:v>0.008366256100395073</x:v>
      </x:c>
    </x:row>
    <x:row r="3420">
      <x:c r="G3420" t="str">
        <x:v>ATL-BMI</x:v>
      </x:c>
      <x:c r="H3420" t="str">
        <x:v>ATL</x:v>
      </x:c>
      <x:c r="I3420" t="str">
        <x:v>BMI</x:v>
      </x:c>
      <x:c r="J3420" s="23" t="n">
        <x:v>1601</x:v>
      </x:c>
      <x:c r="K3420" s="24" t="n">
        <x:v>0.15552779512804496</x:v>
      </x:c>
      <x:c r="L3420" s="24" t="n">
        <x:v>0.005621486570893191</x:v>
      </x:c>
    </x:row>
    <x:row r="3421">
      <x:c r="G3421" t="str">
        <x:v>PWM-EWR</x:v>
      </x:c>
      <x:c r="H3421" t="str">
        <x:v>PWM</x:v>
      </x:c>
      <x:c r="I3421" t="str">
        <x:v>EWR</x:v>
      </x:c>
      <x:c r="J3421" s="23" t="n">
        <x:v>3273</x:v>
      </x:c>
      <x:c r="K3421" s="24" t="n">
        <x:v>0.15551481820959365</x:v>
      </x:c>
      <x:c r="L3421" s="24" t="n">
        <x:v>0.03880232202871983</x:v>
      </x:c>
    </x:row>
    <x:row r="3422">
      <x:c r="G3422" t="str">
        <x:v>MKE-DTW</x:v>
      </x:c>
      <x:c r="H3422" t="str">
        <x:v>MKE</x:v>
      </x:c>
      <x:c r="I3422" t="str">
        <x:v>DTW</x:v>
      </x:c>
      <x:c r="J3422" s="23" t="n">
        <x:v>4305</x:v>
      </x:c>
      <x:c r="K3422" s="24" t="n">
        <x:v>0.1554006968641115</x:v>
      </x:c>
      <x:c r="L3422" s="24" t="n">
        <x:v>0.006968641114982578</x:v>
      </x:c>
    </x:row>
    <x:row r="3423">
      <x:c r="G3423" t="str">
        <x:v>CID-MSP</x:v>
      </x:c>
      <x:c r="H3423" t="str">
        <x:v>CID</x:v>
      </x:c>
      <x:c r="I3423" t="str">
        <x:v>MSP</x:v>
      </x:c>
      <x:c r="J3423" s="23" t="n">
        <x:v>1995</x:v>
      </x:c>
      <x:c r="K3423" s="24" t="n">
        <x:v>0.15538847117794485</x:v>
      </x:c>
      <x:c r="L3423" s="24" t="n">
        <x:v>0.014035087719298246</x:v>
      </x:c>
    </x:row>
    <x:row r="3424">
      <x:c r="G3424" t="str">
        <x:v>AUS-DTW</x:v>
      </x:c>
      <x:c r="H3424" t="str">
        <x:v>AUS</x:v>
      </x:c>
      <x:c r="I3424" t="str">
        <x:v>DTW</x:v>
      </x:c>
      <x:c r="J3424" s="23" t="n">
        <x:v>4106</x:v>
      </x:c>
      <x:c r="K3424" s="24" t="n">
        <x:v>0.15538236726741353</x:v>
      </x:c>
      <x:c r="L3424" s="24" t="n">
        <x:v>0.008280565026790063</x:v>
      </x:c>
    </x:row>
    <x:row r="3425">
      <x:c r="G3425" t="str">
        <x:v>PBI-ACY</x:v>
      </x:c>
      <x:c r="H3425" t="str">
        <x:v>PBI</x:v>
      </x:c>
      <x:c r="I3425" t="str">
        <x:v>ACY</x:v>
      </x:c>
      <x:c r="J3425" s="23" t="n">
        <x:v>1120</x:v>
      </x:c>
      <x:c r="K3425" s="24" t="n">
        <x:v>0.15535714285714286</x:v>
      </x:c>
      <x:c r="L3425" s="24" t="n">
        <x:v>0.015178571428571428</x:v>
      </x:c>
    </x:row>
    <x:row r="3426">
      <x:c r="G3426" t="str">
        <x:v>MCI-IAH</x:v>
      </x:c>
      <x:c r="H3426" t="str">
        <x:v>MCI</x:v>
      </x:c>
      <x:c r="I3426" t="str">
        <x:v>IAH</x:v>
      </x:c>
      <x:c r="J3426" s="23" t="n">
        <x:v>1532</x:v>
      </x:c>
      <x:c r="K3426" s="24" t="n">
        <x:v>0.15535248041775457</x:v>
      </x:c>
      <x:c r="L3426" s="24" t="n">
        <x:v>0.025456919060052218</x:v>
      </x:c>
    </x:row>
    <x:row r="3427">
      <x:c r="G3427" t="str">
        <x:v>TUS-HOU</x:v>
      </x:c>
      <x:c r="H3427" t="str">
        <x:v>TUS</x:v>
      </x:c>
      <x:c r="I3427" t="str">
        <x:v>HOU</x:v>
      </x:c>
      <x:c r="J3427" s="23" t="n">
        <x:v>1056</x:v>
      </x:c>
      <x:c r="K3427" s="24" t="n">
        <x:v>0.1553030303030303</x:v>
      </x:c>
      <x:c r="L3427" s="24" t="n">
        <x:v>0.005681818181818182</x:v>
      </x:c>
    </x:row>
    <x:row r="3428">
      <x:c r="G3428" t="str">
        <x:v>IAD-CLE</x:v>
      </x:c>
      <x:c r="H3428" t="str">
        <x:v>IAD</x:v>
      </x:c>
      <x:c r="I3428" t="str">
        <x:v>CLE</x:v>
      </x:c>
      <x:c r="J3428" s="23" t="n">
        <x:v>2473</x:v>
      </x:c>
      <x:c r="K3428" s="24" t="n">
        <x:v>0.15527699150828952</x:v>
      </x:c>
      <x:c r="L3428" s="24" t="n">
        <x:v>0.01293974929235746</x:v>
      </x:c>
    </x:row>
    <x:row r="3429">
      <x:c r="G3429" t="str">
        <x:v>OMA-HOU</x:v>
      </x:c>
      <x:c r="H3429" t="str">
        <x:v>OMA</x:v>
      </x:c>
      <x:c r="I3429" t="str">
        <x:v>HOU</x:v>
      </x:c>
      <x:c r="J3429" s="23" t="n">
        <x:v>1134</x:v>
      </x:c>
      <x:c r="K3429" s="24" t="n">
        <x:v>0.15520282186948853</x:v>
      </x:c>
      <x:c r="L3429" s="24" t="n">
        <x:v>0.008818342151675485</x:v>
      </x:c>
    </x:row>
    <x:row r="3430">
      <x:c r="G3430" t="str">
        <x:v>TPA-MSP</x:v>
      </x:c>
      <x:c r="H3430" t="str">
        <x:v>TPA</x:v>
      </x:c>
      <x:c r="I3430" t="str">
        <x:v>MSP</x:v>
      </x:c>
      <x:c r="J3430" s="23" t="n">
        <x:v>3589</x:v>
      </x:c>
      <x:c r="K3430" s="24" t="n">
        <x:v>0.155196433546949</x:v>
      </x:c>
      <x:c r="L3430" s="24" t="n">
        <x:v>0.014210086375034828</x:v>
      </x:c>
    </x:row>
    <x:row r="3431">
      <x:c r="G3431" t="str">
        <x:v>PDX-CLT</x:v>
      </x:c>
      <x:c r="H3431" t="str">
        <x:v>PDX</x:v>
      </x:c>
      <x:c r="I3431" t="str">
        <x:v>CLT</x:v>
      </x:c>
      <x:c r="J3431" s="23" t="n">
        <x:v>1160</x:v>
      </x:c>
      <x:c r="K3431" s="24" t="n">
        <x:v>0.15517241379310345</x:v>
      </x:c>
      <x:c r="L3431" s="24" t="n">
        <x:v>0.011206896551724138</x:v>
      </x:c>
    </x:row>
    <x:row r="3432">
      <x:c r="G3432" t="str">
        <x:v>ATL-JAN</x:v>
      </x:c>
      <x:c r="H3432" t="str">
        <x:v>ATL</x:v>
      </x:c>
      <x:c r="I3432" t="str">
        <x:v>JAN</x:v>
      </x:c>
      <x:c r="J3432" s="23" t="n">
        <x:v>8083</x:v>
      </x:c>
      <x:c r="K3432" s="24" t="n">
        <x:v>0.15501670171965853</x:v>
      </x:c>
      <x:c r="L3432" s="24" t="n">
        <x:v>0.006804404305332179</x:v>
      </x:c>
    </x:row>
    <x:row r="3433">
      <x:c r="G3433" t="str">
        <x:v>SEA-EUG</x:v>
      </x:c>
      <x:c r="H3433" t="str">
        <x:v>SEA</x:v>
      </x:c>
      <x:c r="I3433" t="str">
        <x:v>EUG</x:v>
      </x:c>
      <x:c r="J3433" s="23" t="n">
        <x:v>4756</x:v>
      </x:c>
      <x:c r="K3433" s="24" t="n">
        <x:v>0.15496215306980657</x:v>
      </x:c>
      <x:c r="L3433" s="24" t="n">
        <x:v>0.007779646761984861</x:v>
      </x:c>
    </x:row>
    <x:row r="3434">
      <x:c r="G3434" t="str">
        <x:v>CMH-HOU</x:v>
      </x:c>
      <x:c r="H3434" t="str">
        <x:v>CMH</x:v>
      </x:c>
      <x:c r="I3434" t="str">
        <x:v>HOU</x:v>
      </x:c>
      <x:c r="J3434" s="23" t="n">
        <x:v>1078</x:v>
      </x:c>
      <x:c r="K3434" s="24" t="n">
        <x:v>0.1549165120593692</x:v>
      </x:c>
      <x:c r="L3434" s="24" t="n">
        <x:v>0.0074211502782931356</x:v>
      </x:c>
    </x:row>
    <x:row r="3435">
      <x:c r="G3435" t="str">
        <x:v>SAT-ORD</x:v>
      </x:c>
      <x:c r="H3435" t="str">
        <x:v>SAT</x:v>
      </x:c>
      <x:c r="I3435" t="str">
        <x:v>ORD</x:v>
      </x:c>
      <x:c r="J3435" s="23" t="n">
        <x:v>4637</x:v>
      </x:c>
      <x:c r="K3435" s="24" t="n">
        <x:v>0.15484149234418806</x:v>
      </x:c>
      <x:c r="L3435" s="24" t="n">
        <x:v>0.014664653871037308</x:v>
      </x:c>
    </x:row>
    <x:row r="3436">
      <x:c r="G3436" t="str">
        <x:v>LAX-TPA</x:v>
      </x:c>
      <x:c r="H3436" t="str">
        <x:v>LAX</x:v>
      </x:c>
      <x:c r="I3436" t="str">
        <x:v>TPA</x:v>
      </x:c>
      <x:c r="J3436" s="23" t="n">
        <x:v>3244</x:v>
      </x:c>
      <x:c r="K3436" s="24" t="n">
        <x:v>0.15474722564734894</x:v>
      </x:c>
      <x:c r="L3436" s="24" t="n">
        <x:v>0.012022194821208384</x:v>
      </x:c>
    </x:row>
    <x:row r="3437">
      <x:c r="G3437" t="str">
        <x:v>MSP-TPA</x:v>
      </x:c>
      <x:c r="H3437" t="str">
        <x:v>MSP</x:v>
      </x:c>
      <x:c r="I3437" t="str">
        <x:v>TPA</x:v>
      </x:c>
      <x:c r="J3437" s="23" t="n">
        <x:v>3589</x:v>
      </x:c>
      <x:c r="K3437" s="24" t="n">
        <x:v>0.15463917525773196</x:v>
      </x:c>
      <x:c r="L3437" s="24" t="n">
        <x:v>0.013652828085817777</x:v>
      </x:c>
    </x:row>
    <x:row r="3438">
      <x:c r="G3438" t="str">
        <x:v>AVL-ATL</x:v>
      </x:c>
      <x:c r="H3438" t="str">
        <x:v>AVL</x:v>
      </x:c>
      <x:c r="I3438" t="str">
        <x:v>ATL</x:v>
      </x:c>
      <x:c r="J3438" s="23" t="n">
        <x:v>6137</x:v>
      </x:c>
      <x:c r="K3438" s="24" t="n">
        <x:v>0.1546358155450546</x:v>
      </x:c>
      <x:c r="L3438" s="24" t="n">
        <x:v>0.014013361577317907</x:v>
      </x:c>
    </x:row>
    <x:row r="3439">
      <x:c r="G3439" t="str">
        <x:v>DTW-CLT</x:v>
      </x:c>
      <x:c r="H3439" t="str">
        <x:v>DTW</x:v>
      </x:c>
      <x:c r="I3439" t="str">
        <x:v>CLT</x:v>
      </x:c>
      <x:c r="J3439" s="23" t="n">
        <x:v>10619</x:v>
      </x:c>
      <x:c r="K3439" s="24" t="n">
        <x:v>0.15462849609191073</x:v>
      </x:c>
      <x:c r="L3439" s="24" t="n">
        <x:v>0.008852057632545438</x:v>
      </x:c>
    </x:row>
    <x:row r="3440">
      <x:c r="G3440" t="str">
        <x:v>SHV-ATL</x:v>
      </x:c>
      <x:c r="H3440" t="str">
        <x:v>SHV</x:v>
      </x:c>
      <x:c r="I3440" t="str">
        <x:v>ATL</x:v>
      </x:c>
      <x:c r="J3440" s="23" t="n">
        <x:v>3603</x:v>
      </x:c>
      <x:c r="K3440" s="24" t="n">
        <x:v>0.15459339439356093</x:v>
      </x:c>
      <x:c r="L3440" s="24" t="n">
        <x:v>0.013044684984734944</x:v>
      </x:c>
    </x:row>
    <x:row r="3441">
      <x:c r="G3441" t="str">
        <x:v>SMF-PHX</x:v>
      </x:c>
      <x:c r="H3441" t="str">
        <x:v>SMF</x:v>
      </x:c>
      <x:c r="I3441" t="str">
        <x:v>PHX</x:v>
      </x:c>
      <x:c r="J3441" s="23" t="n">
        <x:v>10650</x:v>
      </x:c>
      <x:c r="K3441" s="24" t="n">
        <x:v>0.1544600938967136</x:v>
      </x:c>
      <x:c r="L3441" s="24" t="n">
        <x:v>0.003568075117370892</x:v>
      </x:c>
    </x:row>
    <x:row r="3442">
      <x:c r="G3442" t="str">
        <x:v>DRO-PHX</x:v>
      </x:c>
      <x:c r="H3442" t="str">
        <x:v>DRO</x:v>
      </x:c>
      <x:c r="I3442" t="str">
        <x:v>PHX</x:v>
      </x:c>
      <x:c r="J3442" s="23" t="n">
        <x:v>2734</x:v>
      </x:c>
      <x:c r="K3442" s="24" t="n">
        <x:v>0.15435259692757863</x:v>
      </x:c>
      <x:c r="L3442" s="24" t="n">
        <x:v>0.002926115581565472</x:v>
      </x:c>
    </x:row>
    <x:row r="3443">
      <x:c r="G3443" t="str">
        <x:v>SLC-ATL</x:v>
      </x:c>
      <x:c r="H3443" t="str">
        <x:v>SLC</x:v>
      </x:c>
      <x:c r="I3443" t="str">
        <x:v>ATL</x:v>
      </x:c>
      <x:c r="J3443" s="23" t="n">
        <x:v>8952</x:v>
      </x:c>
      <x:c r="K3443" s="24" t="n">
        <x:v>0.15426720285969617</x:v>
      </x:c>
      <x:c r="L3443" s="24" t="n">
        <x:v>0.005473637176050044</x:v>
      </x:c>
    </x:row>
    <x:row r="3444">
      <x:c r="G3444" t="str">
        <x:v>SLC-CVG</x:v>
      </x:c>
      <x:c r="H3444" t="str">
        <x:v>SLC</x:v>
      </x:c>
      <x:c r="I3444" t="str">
        <x:v>CVG</x:v>
      </x:c>
      <x:c r="J3444" s="23" t="n">
        <x:v>2120</x:v>
      </x:c>
      <x:c r="K3444" s="24" t="n">
        <x:v>0.15424528301886792</x:v>
      </x:c>
      <x:c r="L3444" s="24" t="n">
        <x:v>0.005188679245283019</x:v>
      </x:c>
    </x:row>
    <x:row r="3445">
      <x:c r="G3445" t="str">
        <x:v>ATL-MLI</x:v>
      </x:c>
      <x:c r="H3445" t="str">
        <x:v>ATL</x:v>
      </x:c>
      <x:c r="I3445" t="str">
        <x:v>MLI</x:v>
      </x:c>
      <x:c r="J3445" s="23" t="n">
        <x:v>1459</x:v>
      </x:c>
      <x:c r="K3445" s="24" t="n">
        <x:v>0.15421521590130227</x:v>
      </x:c>
      <x:c r="L3445" s="24" t="n">
        <x:v>0.010966415352981495</x:v>
      </x:c>
    </x:row>
    <x:row r="3446">
      <x:c r="G3446" t="str">
        <x:v>HOU-OMA</x:v>
      </x:c>
      <x:c r="H3446" t="str">
        <x:v>HOU</x:v>
      </x:c>
      <x:c r="I3446" t="str">
        <x:v>OMA</x:v>
      </x:c>
      <x:c r="J3446" s="23" t="n">
        <x:v>1136</x:v>
      </x:c>
      <x:c r="K3446" s="24" t="n">
        <x:v>0.15404929577464788</x:v>
      </x:c>
      <x:c r="L3446" s="24" t="n">
        <x:v>0.007922535211267605</x:v>
      </x:c>
    </x:row>
    <x:row r="3447">
      <x:c r="G3447" t="str">
        <x:v>ANC-SEA</x:v>
      </x:c>
      <x:c r="H3447" t="str">
        <x:v>ANC</x:v>
      </x:c>
      <x:c r="I3447" t="str">
        <x:v>SEA</x:v>
      </x:c>
      <x:c r="J3447" s="23" t="n">
        <x:v>21982</x:v>
      </x:c>
      <x:c r="K3447" s="24" t="n">
        <x:v>0.15403511964334454</x:v>
      </x:c>
      <x:c r="L3447" s="24" t="n">
        <x:v>0.009052861432080794</x:v>
      </x:c>
    </x:row>
    <x:row r="3448">
      <x:c r="G3448" t="str">
        <x:v>SJC-SEA</x:v>
      </x:c>
      <x:c r="H3448" t="str">
        <x:v>SJC</x:v>
      </x:c>
      <x:c r="I3448" t="str">
        <x:v>SEA</x:v>
      </x:c>
      <x:c r="J3448" s="23" t="n">
        <x:v>13904</x:v>
      </x:c>
      <x:c r="K3448" s="24" t="n">
        <x:v>0.15384062140391255</x:v>
      </x:c>
      <x:c r="L3448" s="24" t="n">
        <x:v>0.008199079401611048</x:v>
      </x:c>
    </x:row>
    <x:row r="3449">
      <x:c r="G3449" t="str">
        <x:v>SJC-HNL</x:v>
      </x:c>
      <x:c r="H3449" t="str">
        <x:v>SJC</x:v>
      </x:c>
      <x:c r="I3449" t="str">
        <x:v>HNL</x:v>
      </x:c>
      <x:c r="J3449" s="23" t="n">
        <x:v>3716</x:v>
      </x:c>
      <x:c r="K3449" s="24" t="n">
        <x:v>0.15365984930032292</x:v>
      </x:c>
      <x:c r="L3449" s="24" t="n">
        <x:v>0.003767491926803014</x:v>
      </x:c>
    </x:row>
    <x:row r="3450">
      <x:c r="G3450" t="str">
        <x:v>SEA-DTW</x:v>
      </x:c>
      <x:c r="H3450" t="str">
        <x:v>SEA</x:v>
      </x:c>
      <x:c r="I3450" t="str">
        <x:v>DTW</x:v>
      </x:c>
      <x:c r="J3450" s="23" t="n">
        <x:v>6150</x:v>
      </x:c>
      <x:c r="K3450" s="24" t="n">
        <x:v>0.15365853658536585</x:v>
      </x:c>
      <x:c r="L3450" s="24" t="n">
        <x:v>0.007317073170731708</x:v>
      </x:c>
    </x:row>
    <x:row r="3451">
      <x:c r="G3451" t="str">
        <x:v>PHX-BFL</x:v>
      </x:c>
      <x:c r="H3451" t="str">
        <x:v>PHX</x:v>
      </x:c>
      <x:c r="I3451" t="str">
        <x:v>BFL</x:v>
      </x:c>
      <x:c r="J3451" s="23" t="n">
        <x:v>3508</x:v>
      </x:c>
      <x:c r="K3451" s="24" t="n">
        <x:v>0.15364880273660206</x:v>
      </x:c>
      <x:c r="L3451" s="24" t="n">
        <x:v>0.004846066134549601</x:v>
      </x:c>
    </x:row>
    <x:row r="3452">
      <x:c r="G3452" t="str">
        <x:v>CVG-LGA</x:v>
      </x:c>
      <x:c r="H3452" t="str">
        <x:v>CVG</x:v>
      </x:c>
      <x:c r="I3452" t="str">
        <x:v>LGA</x:v>
      </x:c>
      <x:c r="J3452" s="23" t="n">
        <x:v>5838</x:v>
      </x:c>
      <x:c r="K3452" s="24" t="n">
        <x:v>0.15364850976361769</x:v>
      </x:c>
      <x:c r="L3452" s="24" t="n">
        <x:v>0.025865022267899964</x:v>
      </x:c>
    </x:row>
    <x:row r="3453">
      <x:c r="G3453" t="str">
        <x:v>PHX-STS</x:v>
      </x:c>
      <x:c r="H3453" t="str">
        <x:v>PHX</x:v>
      </x:c>
      <x:c r="I3453" t="str">
        <x:v>STS</x:v>
      </x:c>
      <x:c r="J3453" s="23" t="n">
        <x:v>1628</x:v>
      </x:c>
      <x:c r="K3453" s="24" t="n">
        <x:v>0.15356265356265356</x:v>
      </x:c>
      <x:c r="L3453" s="24" t="n">
        <x:v>0.002457002457002457</x:v>
      </x:c>
    </x:row>
    <x:row r="3454">
      <x:c r="G3454" t="str">
        <x:v>RIC-DTW</x:v>
      </x:c>
      <x:c r="H3454" t="str">
        <x:v>RIC</x:v>
      </x:c>
      <x:c r="I3454" t="str">
        <x:v>DTW</x:v>
      </x:c>
      <x:c r="J3454" s="23" t="n">
        <x:v>2716</x:v>
      </x:c>
      <x:c r="K3454" s="24" t="n">
        <x:v>0.15353460972017674</x:v>
      </x:c>
      <x:c r="L3454" s="24" t="n">
        <x:v>0.007731958762886598</x:v>
      </x:c>
    </x:row>
    <x:row r="3455">
      <x:c r="G3455" t="str">
        <x:v>MCI-SEA</x:v>
      </x:c>
      <x:c r="H3455" t="str">
        <x:v>MCI</x:v>
      </x:c>
      <x:c r="I3455" t="str">
        <x:v>SEA</x:v>
      </x:c>
      <x:c r="J3455" s="23" t="n">
        <x:v>3439</x:v>
      </x:c>
      <x:c r="K3455" s="24" t="n">
        <x:v>0.15353300378016865</x:v>
      </x:c>
      <x:c r="L3455" s="24" t="n">
        <x:v>0.011340505961035184</x:v>
      </x:c>
    </x:row>
    <x:row r="3456">
      <x:c r="G3456" t="str">
        <x:v>DTW-RDU</x:v>
      </x:c>
      <x:c r="H3456" t="str">
        <x:v>DTW</x:v>
      </x:c>
      <x:c r="I3456" t="str">
        <x:v>RDU</x:v>
      </x:c>
      <x:c r="J3456" s="23" t="n">
        <x:v>4583</x:v>
      </x:c>
      <x:c r="K3456" s="24" t="n">
        <x:v>0.15339297403447524</x:v>
      </x:c>
      <x:c r="L3456" s="24" t="n">
        <x:v>0.00981889591970325</x:v>
      </x:c>
    </x:row>
    <x:row r="3457">
      <x:c r="G3457" t="str">
        <x:v>BOS-CMH</x:v>
      </x:c>
      <x:c r="H3457" t="str">
        <x:v>BOS</x:v>
      </x:c>
      <x:c r="I3457" t="str">
        <x:v>CMH</x:v>
      </x:c>
      <x:c r="J3457" s="23" t="n">
        <x:v>5360</x:v>
      </x:c>
      <x:c r="K3457" s="24" t="n">
        <x:v>0.15335820895522387</x:v>
      </x:c>
      <x:c r="L3457" s="24" t="n">
        <x:v>0.013619402985074627</x:v>
      </x:c>
    </x:row>
    <x:row r="3458">
      <x:c r="G3458" t="str">
        <x:v>ELP-PHX</x:v>
      </x:c>
      <x:c r="H3458" t="str">
        <x:v>ELP</x:v>
      </x:c>
      <x:c r="I3458" t="str">
        <x:v>PHX</x:v>
      </x:c>
      <x:c r="J3458" s="23" t="n">
        <x:v>7742</x:v>
      </x:c>
      <x:c r="K3458" s="24" t="n">
        <x:v>0.15331955567036942</x:v>
      </x:c>
      <x:c r="L3458" s="24" t="n">
        <x:v>0.005037458021183157</x:v>
      </x:c>
    </x:row>
    <x:row r="3459">
      <x:c r="G3459" t="str">
        <x:v>PVD-DTW</x:v>
      </x:c>
      <x:c r="H3459" t="str">
        <x:v>PVD</x:v>
      </x:c>
      <x:c r="I3459" t="str">
        <x:v>DTW</x:v>
      </x:c>
      <x:c r="J3459" s="23" t="n">
        <x:v>2185</x:v>
      </x:c>
      <x:c r="K3459" s="24" t="n">
        <x:v>0.15331807780320367</x:v>
      </x:c>
      <x:c r="L3459" s="24" t="n">
        <x:v>0.013272311212814645</x:v>
      </x:c>
    </x:row>
    <x:row r="3460">
      <x:c r="G3460" t="str">
        <x:v>BDL-MDW</x:v>
      </x:c>
      <x:c r="H3460" t="str">
        <x:v>BDL</x:v>
      </x:c>
      <x:c r="I3460" t="str">
        <x:v>MDW</x:v>
      </x:c>
      <x:c r="J3460" s="23" t="n">
        <x:v>2205</x:v>
      </x:c>
      <x:c r="K3460" s="24" t="n">
        <x:v>0.15328798185941042</x:v>
      </x:c>
      <x:c r="L3460" s="24" t="n">
        <x:v>0.011337868480725623</x:v>
      </x:c>
    </x:row>
    <x:row r="3461">
      <x:c r="G3461" t="str">
        <x:v>ONT-PHX</x:v>
      </x:c>
      <x:c r="H3461" t="str">
        <x:v>ONT</x:v>
      </x:c>
      <x:c r="I3461" t="str">
        <x:v>PHX</x:v>
      </x:c>
      <x:c r="J3461" s="23" t="n">
        <x:v>9293</x:v>
      </x:c>
      <x:c r="K3461" s="24" t="n">
        <x:v>0.15323361670074248</x:v>
      </x:c>
      <x:c r="L3461" s="24" t="n">
        <x:v>0.005488001721726031</x:v>
      </x:c>
    </x:row>
    <x:row r="3462">
      <x:c r="G3462" t="str">
        <x:v>LGA-CHO</x:v>
      </x:c>
      <x:c r="H3462" t="str">
        <x:v>LGA</x:v>
      </x:c>
      <x:c r="I3462" t="str">
        <x:v>CHO</x:v>
      </x:c>
      <x:c r="J3462" s="23" t="n">
        <x:v>3224</x:v>
      </x:c>
      <x:c r="K3462" s="24" t="n">
        <x:v>0.1532258064516129</x:v>
      </x:c>
      <x:c r="L3462" s="24" t="n">
        <x:v>0.03318858560794045</x:v>
      </x:c>
    </x:row>
    <x:row r="3463">
      <x:c r="G3463" t="str">
        <x:v>LGA-MKE</x:v>
      </x:c>
      <x:c r="H3463" t="str">
        <x:v>LGA</x:v>
      </x:c>
      <x:c r="I3463" t="str">
        <x:v>MKE</x:v>
      </x:c>
      <x:c r="J3463" s="23" t="n">
        <x:v>3211</x:v>
      </x:c>
      <x:c r="K3463" s="24" t="n">
        <x:v>0.1532232949236998</x:v>
      </x:c>
      <x:c r="L3463" s="24" t="n">
        <x:v>0.02834008097165992</x:v>
      </x:c>
    </x:row>
    <x:row r="3464">
      <x:c r="G3464" t="str">
        <x:v>SFO-MFR</x:v>
      </x:c>
      <x:c r="H3464" t="str">
        <x:v>SFO</x:v>
      </x:c>
      <x:c r="I3464" t="str">
        <x:v>MFR</x:v>
      </x:c>
      <x:c r="J3464" s="23" t="n">
        <x:v>2846</x:v>
      </x:c>
      <x:c r="K3464" s="24" t="n">
        <x:v>0.15319747013352072</x:v>
      </x:c>
      <x:c r="L3464" s="24" t="n">
        <x:v>0.009135628952916374</x:v>
      </x:c>
    </x:row>
    <x:row r="3465">
      <x:c r="G3465" t="str">
        <x:v>SAV-MIA</x:v>
      </x:c>
      <x:c r="H3465" t="str">
        <x:v>SAV</x:v>
      </x:c>
      <x:c r="I3465" t="str">
        <x:v>MIA</x:v>
      </x:c>
      <x:c r="J3465" s="23" t="n">
        <x:v>2292</x:v>
      </x:c>
      <x:c r="K3465" s="24" t="n">
        <x:v>0.1531413612565445</x:v>
      </x:c>
      <x:c r="L3465" s="24" t="n">
        <x:v>0.017015706806282723</x:v>
      </x:c>
    </x:row>
    <x:row r="3466">
      <x:c r="G3466" t="str">
        <x:v>RDU-BNA</x:v>
      </x:c>
      <x:c r="H3466" t="str">
        <x:v>RDU</x:v>
      </x:c>
      <x:c r="I3466" t="str">
        <x:v>BNA</x:v>
      </x:c>
      <x:c r="J3466" s="23" t="n">
        <x:v>6466</x:v>
      </x:c>
      <x:c r="K3466" s="24" t="n">
        <x:v>0.15310856789359728</x:v>
      </x:c>
      <x:c r="L3466" s="24" t="n">
        <x:v>0.007423445716053201</x:v>
      </x:c>
    </x:row>
    <x:row r="3467">
      <x:c r="G3467" t="str">
        <x:v>TRI-DFW</x:v>
      </x:c>
      <x:c r="H3467" t="str">
        <x:v>TRI</x:v>
      </x:c>
      <x:c r="I3467" t="str">
        <x:v>DFW</x:v>
      </x:c>
      <x:c r="J3467" s="23" t="n">
        <x:v>1770</x:v>
      </x:c>
      <x:c r="K3467" s="24" t="n">
        <x:v>0.15310734463276837</x:v>
      </x:c>
      <x:c r="L3467" s="24" t="n">
        <x:v>0.012994350282485875</x:v>
      </x:c>
    </x:row>
    <x:row r="3468">
      <x:c r="G3468" t="str">
        <x:v>HRL-HOU</x:v>
      </x:c>
      <x:c r="H3468" t="str">
        <x:v>HRL</x:v>
      </x:c>
      <x:c r="I3468" t="str">
        <x:v>HOU</x:v>
      </x:c>
      <x:c r="J3468" s="23" t="n">
        <x:v>4037</x:v>
      </x:c>
      <x:c r="K3468" s="24" t="n">
        <x:v>0.15308397324746098</x:v>
      </x:c>
      <x:c r="L3468" s="24" t="n">
        <x:v>0.009660639088432003</x:v>
      </x:c>
    </x:row>
    <x:row r="3469">
      <x:c r="G3469" t="str">
        <x:v>LAX-SBA</x:v>
      </x:c>
      <x:c r="H3469" t="str">
        <x:v>LAX</x:v>
      </x:c>
      <x:c r="I3469" t="str">
        <x:v>SBA</x:v>
      </x:c>
      <x:c r="J3469" s="23" t="n">
        <x:v>1941</x:v>
      </x:c>
      <x:c r="K3469" s="24" t="n">
        <x:v>0.15301391035548687</x:v>
      </x:c>
      <x:c r="L3469" s="24" t="n">
        <x:v>0.014940752189592994</x:v>
      </x:c>
    </x:row>
    <x:row r="3470">
      <x:c r="G3470" t="str">
        <x:v>MDT-DTW</x:v>
      </x:c>
      <x:c r="H3470" t="str">
        <x:v>MDT</x:v>
      </x:c>
      <x:c r="I3470" t="str">
        <x:v>DTW</x:v>
      </x:c>
      <x:c r="J3470" s="23" t="n">
        <x:v>1314</x:v>
      </x:c>
      <x:c r="K3470" s="24" t="n">
        <x:v>0.15296803652968036</x:v>
      </x:c>
      <x:c r="L3470" s="24" t="n">
        <x:v>0.00532724505327245</x:v>
      </x:c>
    </x:row>
    <x:row r="3471">
      <x:c r="G3471" t="str">
        <x:v>HRL-DFW</x:v>
      </x:c>
      <x:c r="H3471" t="str">
        <x:v>HRL</x:v>
      </x:c>
      <x:c r="I3471" t="str">
        <x:v>DFW</x:v>
      </x:c>
      <x:c r="J3471" s="23" t="n">
        <x:v>4618</x:v>
      </x:c>
      <x:c r="K3471" s="24" t="n">
        <x:v>0.15288003464703334</x:v>
      </x:c>
      <x:c r="L3471" s="24" t="n">
        <x:v>0.025552187093980078</x:v>
      </x:c>
    </x:row>
    <x:row r="3472">
      <x:c r="G3472" t="str">
        <x:v>EWR-DCA</x:v>
      </x:c>
      <x:c r="H3472" t="str">
        <x:v>EWR</x:v>
      </x:c>
      <x:c r="I3472" t="str">
        <x:v>DCA</x:v>
      </x:c>
      <x:c r="J3472" s="23" t="n">
        <x:v>1341</x:v>
      </x:c>
      <x:c r="K3472" s="24" t="n">
        <x:v>0.1528709917971663</x:v>
      </x:c>
      <x:c r="L3472" s="24" t="n">
        <x:v>0.036539895600298286</x:v>
      </x:c>
    </x:row>
    <x:row r="3473">
      <x:c r="G3473" t="str">
        <x:v>IAH-DAL</x:v>
      </x:c>
      <x:c r="H3473" t="str">
        <x:v>IAH</x:v>
      </x:c>
      <x:c r="I3473" t="str">
        <x:v>DAL</x:v>
      </x:c>
      <x:c r="J3473" s="23" t="n">
        <x:v>2232</x:v>
      </x:c>
      <x:c r="K3473" s="24" t="n">
        <x:v>0.1527777777777778</x:v>
      </x:c>
      <x:c r="L3473" s="24" t="n">
        <x:v>0.0246415770609319</x:v>
      </x:c>
    </x:row>
    <x:row r="3474">
      <x:c r="G3474" t="str">
        <x:v>PHX-SLC</x:v>
      </x:c>
      <x:c r="H3474" t="str">
        <x:v>PHX</x:v>
      </x:c>
      <x:c r="I3474" t="str">
        <x:v>SLC</x:v>
      </x:c>
      <x:c r="J3474" s="23" t="n">
        <x:v>16750</x:v>
      </x:c>
      <x:c r="K3474" s="24" t="n">
        <x:v>0.15277611940298508</x:v>
      </x:c>
      <x:c r="L3474" s="24" t="n">
        <x:v>0.004</x:v>
      </x:c>
    </x:row>
    <x:row r="3475">
      <x:c r="G3475" t="str">
        <x:v>LGA-CMH</x:v>
      </x:c>
      <x:c r="H3475" t="str">
        <x:v>LGA</x:v>
      </x:c>
      <x:c r="I3475" t="str">
        <x:v>CMH</x:v>
      </x:c>
      <x:c r="J3475" s="23" t="n">
        <x:v>9418</x:v>
      </x:c>
      <x:c r="K3475" s="24" t="n">
        <x:v>0.15258016564026333</x:v>
      </x:c>
      <x:c r="L3475" s="24" t="n">
        <x:v>0.02410278190698662</x:v>
      </x:c>
    </x:row>
    <x:row r="3476">
      <x:c r="G3476" t="str">
        <x:v>BMI-ATL</x:v>
      </x:c>
      <x:c r="H3476" t="str">
        <x:v>BMI</x:v>
      </x:c>
      <x:c r="I3476" t="str">
        <x:v>ATL</x:v>
      </x:c>
      <x:c r="J3476" s="23" t="n">
        <x:v>1601</x:v>
      </x:c>
      <x:c r="K3476" s="24" t="n">
        <x:v>0.1524047470331043</x:v>
      </x:c>
      <x:c r="L3476" s="24" t="n">
        <x:v>0.006870705808869456</x:v>
      </x:c>
    </x:row>
    <x:row r="3477">
      <x:c r="G3477" t="str">
        <x:v>CMH-LGA</x:v>
      </x:c>
      <x:c r="H3477" t="str">
        <x:v>CMH</x:v>
      </x:c>
      <x:c r="I3477" t="str">
        <x:v>LGA</x:v>
      </x:c>
      <x:c r="J3477" s="23" t="n">
        <x:v>9423</x:v>
      </x:c>
      <x:c r="K3477" s="24" t="n">
        <x:v>0.15239308075984292</x:v>
      </x:c>
      <x:c r="L3477" s="24" t="n">
        <x:v>0.025469595670168738</x:v>
      </x:c>
    </x:row>
    <x:row r="3478">
      <x:c r="G3478" t="str">
        <x:v>BDL-PHL</x:v>
      </x:c>
      <x:c r="H3478" t="str">
        <x:v>BDL</x:v>
      </x:c>
      <x:c r="I3478" t="str">
        <x:v>PHL</x:v>
      </x:c>
      <x:c r="J3478" s="23" t="n">
        <x:v>1772</x:v>
      </x:c>
      <x:c r="K3478" s="24" t="n">
        <x:v>0.1523702031602709</x:v>
      </x:c>
      <x:c r="L3478" s="24" t="n">
        <x:v>0.020316027088036117</x:v>
      </x:c>
    </x:row>
    <x:row r="3479">
      <x:c r="G3479" t="str">
        <x:v>SFO-SBA</x:v>
      </x:c>
      <x:c r="H3479" t="str">
        <x:v>SFO</x:v>
      </x:c>
      <x:c r="I3479" t="str">
        <x:v>SBA</x:v>
      </x:c>
      <x:c r="J3479" s="23" t="n">
        <x:v>3997</x:v>
      </x:c>
      <x:c r="K3479" s="24" t="n">
        <x:v>0.15236427320490367</x:v>
      </x:c>
      <x:c r="L3479" s="24" t="n">
        <x:v>0.01801351013259945</x:v>
      </x:c>
    </x:row>
    <x:row r="3480">
      <x:c r="G3480" t="str">
        <x:v>SJC-PHX</x:v>
      </x:c>
      <x:c r="H3480" t="str">
        <x:v>SJC</x:v>
      </x:c>
      <x:c r="I3480" t="str">
        <x:v>PHX</x:v>
      </x:c>
      <x:c r="J3480" s="23" t="n">
        <x:v>9203</x:v>
      </x:c>
      <x:c r="K3480" s="24" t="n">
        <x:v>0.15234162773008803</x:v>
      </x:c>
      <x:c r="L3480" s="24" t="n">
        <x:v>0.003151146365315658</x:v>
      </x:c>
    </x:row>
    <x:row r="3481">
      <x:c r="G3481" t="str">
        <x:v>FAR-DFW</x:v>
      </x:c>
      <x:c r="H3481" t="str">
        <x:v>FAR</x:v>
      </x:c>
      <x:c r="I3481" t="str">
        <x:v>DFW</x:v>
      </x:c>
      <x:c r="J3481" s="23" t="n">
        <x:v>2732</x:v>
      </x:c>
      <x:c r="K3481" s="24" t="n">
        <x:v>0.15226939970717424</x:v>
      </x:c>
      <x:c r="L3481" s="24" t="n">
        <x:v>0.01281112737920937</x:v>
      </x:c>
    </x:row>
    <x:row r="3482">
      <x:c r="G3482" t="str">
        <x:v>ATL-DAB</x:v>
      </x:c>
      <x:c r="H3482" t="str">
        <x:v>ATL</x:v>
      </x:c>
      <x:c r="I3482" t="str">
        <x:v>DAB</x:v>
      </x:c>
      <x:c r="J3482" s="23" t="n">
        <x:v>4533</x:v>
      </x:c>
      <x:c r="K3482" s="24" t="n">
        <x:v>0.15221707478491064</x:v>
      </x:c>
      <x:c r="L3482" s="24" t="n">
        <x:v>0.011250827266710787</x:v>
      </x:c>
    </x:row>
    <x:row r="3483">
      <x:c r="G3483" t="str">
        <x:v>LGA-SYR</x:v>
      </x:c>
      <x:c r="H3483" t="str">
        <x:v>LGA</x:v>
      </x:c>
      <x:c r="I3483" t="str">
        <x:v>SYR</x:v>
      </x:c>
      <x:c r="J3483" s="23" t="n">
        <x:v>2235</x:v>
      </x:c>
      <x:c r="K3483" s="24" t="n">
        <x:v>0.15212527964205816</x:v>
      </x:c>
      <x:c r="L3483" s="24" t="n">
        <x:v>0.033109619686800894</x:v>
      </x:c>
    </x:row>
    <x:row r="3484">
      <x:c r="G3484" t="str">
        <x:v>IAD-CMH</x:v>
      </x:c>
      <x:c r="H3484" t="str">
        <x:v>IAD</x:v>
      </x:c>
      <x:c r="I3484" t="str">
        <x:v>CMH</x:v>
      </x:c>
      <x:c r="J3484" s="23" t="n">
        <x:v>2498</x:v>
      </x:c>
      <x:c r="K3484" s="24" t="n">
        <x:v>0.1521216973578863</x:v>
      </x:c>
      <x:c r="L3484" s="24" t="n">
        <x:v>0.010808646917534028</x:v>
      </x:c>
    </x:row>
    <x:row r="3485">
      <x:c r="G3485" t="str">
        <x:v>GRR-LGA</x:v>
      </x:c>
      <x:c r="H3485" t="str">
        <x:v>GRR</x:v>
      </x:c>
      <x:c r="I3485" t="str">
        <x:v>LGA</x:v>
      </x:c>
      <x:c r="J3485" s="23" t="n">
        <x:v>2932</x:v>
      </x:c>
      <x:c r="K3485" s="24" t="n">
        <x:v>0.15211459754433834</x:v>
      </x:c>
      <x:c r="L3485" s="24" t="n">
        <x:v>0.03137789904502047</x:v>
      </x:c>
    </x:row>
    <x:row r="3486">
      <x:c r="G3486" t="str">
        <x:v>ATL-EVV</x:v>
      </x:c>
      <x:c r="H3486" t="str">
        <x:v>ATL</x:v>
      </x:c>
      <x:c r="I3486" t="str">
        <x:v>EVV</x:v>
      </x:c>
      <x:c r="J3486" s="23" t="n">
        <x:v>2183</x:v>
      </x:c>
      <x:c r="K3486" s="24" t="n">
        <x:v>0.152084287677508</x:v>
      </x:c>
      <x:c r="L3486" s="24" t="n">
        <x:v>0.010994044892349977</x:v>
      </x:c>
    </x:row>
    <x:row r="3487">
      <x:c r="G3487" t="str">
        <x:v>MRY-PHX</x:v>
      </x:c>
      <x:c r="H3487" t="str">
        <x:v>MRY</x:v>
      </x:c>
      <x:c r="I3487" t="str">
        <x:v>PHX</x:v>
      </x:c>
      <x:c r="J3487" s="23" t="n">
        <x:v>3860</x:v>
      </x:c>
      <x:c r="K3487" s="24" t="n">
        <x:v>0.15207253886010363</x:v>
      </x:c>
      <x:c r="L3487" s="24" t="n">
        <x:v>0.005699481865284974</x:v>
      </x:c>
    </x:row>
    <x:row r="3488">
      <x:c r="G3488" t="str">
        <x:v>RIC-MIA</x:v>
      </x:c>
      <x:c r="H3488" t="str">
        <x:v>RIC</x:v>
      </x:c>
      <x:c r="I3488" t="str">
        <x:v>MIA</x:v>
      </x:c>
      <x:c r="J3488" s="23" t="n">
        <x:v>1256</x:v>
      </x:c>
      <x:c r="K3488" s="24" t="n">
        <x:v>0.1520700636942675</x:v>
      </x:c>
      <x:c r="L3488" s="24" t="n">
        <x:v>0.009554140127388535</x:v>
      </x:c>
    </x:row>
    <x:row r="3489">
      <x:c r="G3489" t="str">
        <x:v>PIT-LGA</x:v>
      </x:c>
      <x:c r="H3489" t="str">
        <x:v>PIT</x:v>
      </x:c>
      <x:c r="I3489" t="str">
        <x:v>LGA</x:v>
      </x:c>
      <x:c r="J3489" s="23" t="n">
        <x:v>9387</x:v>
      </x:c>
      <x:c r="K3489" s="24" t="n">
        <x:v>0.15201874933418558</x:v>
      </x:c>
      <x:c r="L3489" s="24" t="n">
        <x:v>0.031106849898796207</x:v>
      </x:c>
    </x:row>
    <x:row r="3490">
      <x:c r="G3490" t="str">
        <x:v>LIH-LAX</x:v>
      </x:c>
      <x:c r="H3490" t="str">
        <x:v>LIH</x:v>
      </x:c>
      <x:c r="I3490" t="str">
        <x:v>LAX</x:v>
      </x:c>
      <x:c r="J3490" s="23" t="n">
        <x:v>4572</x:v>
      </x:c>
      <x:c r="K3490" s="24" t="n">
        <x:v>0.15201224846894137</x:v>
      </x:c>
      <x:c r="L3490" s="24" t="n">
        <x:v>0.006561679790026247</x:v>
      </x:c>
    </x:row>
    <x:row r="3491">
      <x:c r="G3491" t="str">
        <x:v>SJC-BOI</x:v>
      </x:c>
      <x:c r="H3491" t="str">
        <x:v>SJC</x:v>
      </x:c>
      <x:c r="I3491" t="str">
        <x:v>BOI</x:v>
      </x:c>
      <x:c r="J3491" s="23" t="n">
        <x:v>2112</x:v>
      </x:c>
      <x:c r="K3491" s="24" t="n">
        <x:v>0.15198863636363635</x:v>
      </x:c>
      <x:c r="L3491" s="24" t="n">
        <x:v>0.000946969696969697</x:v>
      </x:c>
    </x:row>
    <x:row r="3492">
      <x:c r="G3492" t="str">
        <x:v>RNO-LAX</x:v>
      </x:c>
      <x:c r="H3492" t="str">
        <x:v>RNO</x:v>
      </x:c>
      <x:c r="I3492" t="str">
        <x:v>LAX</x:v>
      </x:c>
      <x:c r="J3492" s="23" t="n">
        <x:v>8064</x:v>
      </x:c>
      <x:c r="K3492" s="24" t="n">
        <x:v>0.1519097222222222</x:v>
      </x:c>
      <x:c r="L3492" s="24" t="n">
        <x:v>0.006820436507936508</x:v>
      </x:c>
    </x:row>
    <x:row r="3493">
      <x:c r="G3493" t="str">
        <x:v>LIH-HNL</x:v>
      </x:c>
      <x:c r="H3493" t="str">
        <x:v>LIH</x:v>
      </x:c>
      <x:c r="I3493" t="str">
        <x:v>HNL</x:v>
      </x:c>
      <x:c r="J3493" s="23" t="n">
        <x:v>25351</x:v>
      </x:c>
      <x:c r="K3493" s="24" t="n">
        <x:v>0.15167054554060982</x:v>
      </x:c>
      <x:c r="L3493" s="24" t="n">
        <x:v>0.011794406532286694</x:v>
      </x:c>
    </x:row>
    <x:row r="3494">
      <x:c r="G3494" t="str">
        <x:v>RDU-ATL</x:v>
      </x:c>
      <x:c r="H3494" t="str">
        <x:v>RDU</x:v>
      </x:c>
      <x:c r="I3494" t="str">
        <x:v>ATL</x:v>
      </x:c>
      <x:c r="J3494" s="23" t="n">
        <x:v>13840</x:v>
      </x:c>
      <x:c r="K3494" s="24" t="n">
        <x:v>0.15151734104046244</x:v>
      </x:c>
      <x:c r="L3494" s="24" t="n">
        <x:v>0.009031791907514452</x:v>
      </x:c>
    </x:row>
    <x:row r="3495">
      <x:c r="G3495" t="str">
        <x:v>MHT-MDW</x:v>
      </x:c>
      <x:c r="H3495" t="str">
        <x:v>MHT</x:v>
      </x:c>
      <x:c r="I3495" t="str">
        <x:v>MDW</x:v>
      </x:c>
      <x:c r="J3495" s="23" t="n">
        <x:v>1571</x:v>
      </x:c>
      <x:c r="K3495" s="24" t="n">
        <x:v>0.1514958625079567</x:v>
      </x:c>
      <x:c r="L3495" s="24" t="n">
        <x:v>0.010821133036282623</x:v>
      </x:c>
    </x:row>
    <x:row r="3496">
      <x:c r="G3496" t="str">
        <x:v>HNL-DEN</x:v>
      </x:c>
      <x:c r="H3496" t="str">
        <x:v>HNL</x:v>
      </x:c>
      <x:c r="I3496" t="str">
        <x:v>DEN</x:v>
      </x:c>
      <x:c r="J3496" s="23" t="n">
        <x:v>1717</x:v>
      </x:c>
      <x:c r="K3496" s="24" t="n">
        <x:v>0.151426907396622</x:v>
      </x:c>
      <x:c r="L3496" s="24" t="n">
        <x:v>0.0192195690157251</x:v>
      </x:c>
    </x:row>
    <x:row r="3497">
      <x:c r="G3497" t="str">
        <x:v>PIB-IAH</x:v>
      </x:c>
      <x:c r="H3497" t="str">
        <x:v>PIB</x:v>
      </x:c>
      <x:c r="I3497" t="str">
        <x:v>IAH</x:v>
      </x:c>
      <x:c r="J3497" s="23" t="n">
        <x:v>1493</x:v>
      </x:c>
      <x:c r="K3497" s="24" t="n">
        <x:v>0.15137307434695244</x:v>
      </x:c>
      <x:c r="L3497" s="24" t="n">
        <x:v>0.01808439383791025</x:v>
      </x:c>
    </x:row>
    <x:row r="3498">
      <x:c r="G3498" t="str">
        <x:v>MEM-LGA</x:v>
      </x:c>
      <x:c r="H3498" t="str">
        <x:v>MEM</x:v>
      </x:c>
      <x:c r="I3498" t="str">
        <x:v>LGA</x:v>
      </x:c>
      <x:c r="J3498" s="23" t="n">
        <x:v>4043</x:v>
      </x:c>
      <x:c r="K3498" s="24" t="n">
        <x:v>0.15137274301261439</x:v>
      </x:c>
      <x:c r="L3498" s="24" t="n">
        <x:v>0.027949542418995794</x:v>
      </x:c>
    </x:row>
    <x:row r="3499">
      <x:c r="G3499" t="str">
        <x:v>ONT-DAL</x:v>
      </x:c>
      <x:c r="H3499" t="str">
        <x:v>ONT</x:v>
      </x:c>
      <x:c r="I3499" t="str">
        <x:v>DAL</x:v>
      </x:c>
      <x:c r="J3499" s="23" t="n">
        <x:v>1143</x:v>
      </x:c>
      <x:c r="K3499" s="24" t="n">
        <x:v>0.15135608048993876</x:v>
      </x:c>
      <x:c r="L3499" s="24" t="n">
        <x:v>0.012248468941382326</x:v>
      </x:c>
    </x:row>
    <x:row r="3500">
      <x:c r="G3500" t="str">
        <x:v>SNA-OAK</x:v>
      </x:c>
      <x:c r="H3500" t="str">
        <x:v>SNA</x:v>
      </x:c>
      <x:c r="I3500" t="str">
        <x:v>OAK</x:v>
      </x:c>
      <x:c r="J3500" s="23" t="n">
        <x:v>7970</x:v>
      </x:c>
      <x:c r="K3500" s="24" t="n">
        <x:v>0.15131744040150566</x:v>
      </x:c>
      <x:c r="L3500" s="24" t="n">
        <x:v>0.009535759096612296</x:v>
      </x:c>
    </x:row>
    <x:row r="3501">
      <x:c r="G3501" t="str">
        <x:v>CMH-BOS</x:v>
      </x:c>
      <x:c r="H3501" t="str">
        <x:v>CMH</x:v>
      </x:c>
      <x:c r="I3501" t="str">
        <x:v>BOS</x:v>
      </x:c>
      <x:c r="J3501" s="23" t="n">
        <x:v>5365</x:v>
      </x:c>
      <x:c r="K3501" s="24" t="n">
        <x:v>0.15116495806150979</x:v>
      </x:c>
      <x:c r="L3501" s="24" t="n">
        <x:v>0.010997204100652377</x:v>
      </x:c>
    </x:row>
    <x:row r="3502">
      <x:c r="G3502" t="str">
        <x:v>JFK-CVG</x:v>
      </x:c>
      <x:c r="H3502" t="str">
        <x:v>JFK</x:v>
      </x:c>
      <x:c r="I3502" t="str">
        <x:v>CVG</x:v>
      </x:c>
      <x:c r="J3502" s="23" t="n">
        <x:v>4684</x:v>
      </x:c>
      <x:c r="K3502" s="24" t="n">
        <x:v>0.1511528608027327</x:v>
      </x:c>
      <x:c r="L3502" s="24" t="n">
        <x:v>0.02241673783091375</x:v>
      </x:c>
    </x:row>
    <x:row r="3503">
      <x:c r="G3503" t="str">
        <x:v>BLI-OAK</x:v>
      </x:c>
      <x:c r="H3503" t="str">
        <x:v>BLI</x:v>
      </x:c>
      <x:c r="I3503" t="str">
        <x:v>OAK</x:v>
      </x:c>
      <x:c r="J3503" s="23" t="n">
        <x:v>1224</x:v>
      </x:c>
      <x:c r="K3503" s="24" t="n">
        <x:v>0.1511437908496732</x:v>
      </x:c>
      <x:c r="L3503" s="24" t="n">
        <x:v>0.0032679738562091504</x:v>
      </x:c>
    </x:row>
    <x:row r="3504">
      <x:c r="G3504" t="str">
        <x:v>VCT-IAH</x:v>
      </x:c>
      <x:c r="H3504" t="str">
        <x:v>VCT</x:v>
      </x:c>
      <x:c r="I3504" t="str">
        <x:v>IAH</x:v>
      </x:c>
      <x:c r="J3504" s="23" t="n">
        <x:v>1860</x:v>
      </x:c>
      <x:c r="K3504" s="24" t="n">
        <x:v>0.1510752688172043</x:v>
      </x:c>
      <x:c r="L3504" s="24" t="n">
        <x:v>0.023655913978494623</x:v>
      </x:c>
    </x:row>
    <x:row r="3505">
      <x:c r="G3505" t="str">
        <x:v>IND-HOU</x:v>
      </x:c>
      <x:c r="H3505" t="str">
        <x:v>IND</x:v>
      </x:c>
      <x:c r="I3505" t="str">
        <x:v>HOU</x:v>
      </x:c>
      <x:c r="J3505" s="23" t="n">
        <x:v>1371</x:v>
      </x:c>
      <x:c r="K3505" s="24" t="n">
        <x:v>0.15098468271334792</x:v>
      </x:c>
      <x:c r="L3505" s="24" t="n">
        <x:v>0.011670313639679067</x:v>
      </x:c>
    </x:row>
    <x:row r="3506">
      <x:c r="G3506" t="str">
        <x:v>DTW-SLC</x:v>
      </x:c>
      <x:c r="H3506" t="str">
        <x:v>DTW</x:v>
      </x:c>
      <x:c r="I3506" t="str">
        <x:v>SLC</x:v>
      </x:c>
      <x:c r="J3506" s="23" t="n">
        <x:v>4590</x:v>
      </x:c>
      <x:c r="K3506" s="24" t="n">
        <x:v>0.15098039215686274</x:v>
      </x:c>
      <x:c r="L3506" s="24" t="n">
        <x:v>0.00392156862745098</x:v>
      </x:c>
    </x:row>
    <x:row r="3507">
      <x:c r="G3507" t="str">
        <x:v>SJU-IAD</x:v>
      </x:c>
      <x:c r="H3507" t="str">
        <x:v>SJU</x:v>
      </x:c>
      <x:c r="I3507" t="str">
        <x:v>IAD</x:v>
      </x:c>
      <x:c r="J3507" s="23" t="n">
        <x:v>1444</x:v>
      </x:c>
      <x:c r="K3507" s="24" t="n">
        <x:v>0.15096952908587258</x:v>
      </x:c>
      <x:c r="L3507" s="24" t="n">
        <x:v>0.00554016620498615</x:v>
      </x:c>
    </x:row>
    <x:row r="3508">
      <x:c r="G3508" t="str">
        <x:v>MSP-CID</x:v>
      </x:c>
      <x:c r="H3508" t="str">
        <x:v>MSP</x:v>
      </x:c>
      <x:c r="I3508" t="str">
        <x:v>CID</x:v>
      </x:c>
      <x:c r="J3508" s="23" t="n">
        <x:v>1994</x:v>
      </x:c>
      <x:c r="K3508" s="24" t="n">
        <x:v>0.15095285857572718</x:v>
      </x:c>
      <x:c r="L3508" s="24" t="n">
        <x:v>0.012537612838515547</x:v>
      </x:c>
    </x:row>
    <x:row r="3509">
      <x:c r="G3509" t="str">
        <x:v>RDU-MSP</x:v>
      </x:c>
      <x:c r="H3509" t="str">
        <x:v>RDU</x:v>
      </x:c>
      <x:c r="I3509" t="str">
        <x:v>MSP</x:v>
      </x:c>
      <x:c r="J3509" s="23" t="n">
        <x:v>3664</x:v>
      </x:c>
      <x:c r="K3509" s="24" t="n">
        <x:v>0.1509279475982533</x:v>
      </x:c>
      <x:c r="L3509" s="24" t="n">
        <x:v>0.008733624454148471</x:v>
      </x:c>
    </x:row>
    <x:row r="3510">
      <x:c r="G3510" t="str">
        <x:v>OAK-BUR</x:v>
      </x:c>
      <x:c r="H3510" t="str">
        <x:v>OAK</x:v>
      </x:c>
      <x:c r="I3510" t="str">
        <x:v>BUR</x:v>
      </x:c>
      <x:c r="J3510" s="23" t="n">
        <x:v>9813</x:v>
      </x:c>
      <x:c r="K3510" s="24" t="n">
        <x:v>0.15092224600020382</x:v>
      </x:c>
      <x:c r="L3510" s="24" t="n">
        <x:v>0.016304901661061858</x:v>
      </x:c>
    </x:row>
    <x:row r="3511">
      <x:c r="G3511" t="str">
        <x:v>ATL-ROA</x:v>
      </x:c>
      <x:c r="H3511" t="str">
        <x:v>ATL</x:v>
      </x:c>
      <x:c r="I3511" t="str">
        <x:v>ROA</x:v>
      </x:c>
      <x:c r="J3511" s="23" t="n">
        <x:v>2538</x:v>
      </x:c>
      <x:c r="K3511" s="24" t="n">
        <x:v>0.15090622537431048</x:v>
      </x:c>
      <x:c r="L3511" s="24" t="n">
        <x:v>0.011426319936958234</x:v>
      </x:c>
    </x:row>
    <x:row r="3512">
      <x:c r="G3512" t="str">
        <x:v>PAE-PHX</x:v>
      </x:c>
      <x:c r="H3512" t="str">
        <x:v>PAE</x:v>
      </x:c>
      <x:c r="I3512" t="str">
        <x:v>PHX</x:v>
      </x:c>
      <x:c r="J3512" s="23" t="n">
        <x:v>1531</x:v>
      </x:c>
      <x:c r="K3512" s="24" t="n">
        <x:v>0.15088177661659047</x:v>
      </x:c>
      <x:c r="L3512" s="24" t="n">
        <x:v>0.017635532331809273</x:v>
      </x:c>
    </x:row>
    <x:row r="3513">
      <x:c r="G3513" t="str">
        <x:v>WRG-PSG</x:v>
      </x:c>
      <x:c r="H3513" t="str">
        <x:v>WRG</x:v>
      </x:c>
      <x:c r="I3513" t="str">
        <x:v>PSG</x:v>
      </x:c>
      <x:c r="J3513" s="23" t="n">
        <x:v>1087</x:v>
      </x:c>
      <x:c r="K3513" s="24" t="n">
        <x:v>0.15087396504139836</x:v>
      </x:c>
      <x:c r="L3513" s="24" t="n">
        <x:v>0.017479300827966882</x:v>
      </x:c>
    </x:row>
    <x:row r="3514">
      <x:c r="G3514" t="str">
        <x:v>ANC-DEN</x:v>
      </x:c>
      <x:c r="H3514" t="str">
        <x:v>ANC</x:v>
      </x:c>
      <x:c r="I3514" t="str">
        <x:v>DEN</x:v>
      </x:c>
      <x:c r="J3514" s="23" t="n">
        <x:v>1757</x:v>
      </x:c>
      <x:c r="K3514" s="24" t="n">
        <x:v>0.1508252703471827</x:v>
      </x:c>
      <x:c r="L3514" s="24" t="n">
        <x:v>0.007398975526465566</x:v>
      </x:c>
    </x:row>
    <x:row r="3515">
      <x:c r="G3515" t="str">
        <x:v>ECP-ATL</x:v>
      </x:c>
      <x:c r="H3515" t="str">
        <x:v>ECP</x:v>
      </x:c>
      <x:c r="I3515" t="str">
        <x:v>ATL</x:v>
      </x:c>
      <x:c r="J3515" s="23" t="n">
        <x:v>6531</x:v>
      </x:c>
      <x:c r="K3515" s="24" t="n">
        <x:v>0.15081917011177462</x:v>
      </x:c>
      <x:c r="L3515" s="24" t="n">
        <x:v>0.011177461338233042</x:v>
      </x:c>
    </x:row>
    <x:row r="3516">
      <x:c r="G3516" t="str">
        <x:v>BUF-DTW</x:v>
      </x:c>
      <x:c r="H3516" t="str">
        <x:v>BUF</x:v>
      </x:c>
      <x:c r="I3516" t="str">
        <x:v>DTW</x:v>
      </x:c>
      <x:c r="J3516" s="23" t="n">
        <x:v>3594</x:v>
      </x:c>
      <x:c r="K3516" s="24" t="n">
        <x:v>0.15080690038953812</x:v>
      </x:c>
      <x:c r="L3516" s="24" t="n">
        <x:v>0.010294936004451864</x:v>
      </x:c>
    </x:row>
    <x:row r="3517">
      <x:c r="G3517" t="str">
        <x:v>ACY-PBI</x:v>
      </x:c>
      <x:c r="H3517" t="str">
        <x:v>ACY</x:v>
      </x:c>
      <x:c r="I3517" t="str">
        <x:v>PBI</x:v>
      </x:c>
      <x:c r="J3517" s="23" t="n">
        <x:v>1121</x:v>
      </x:c>
      <x:c r="K3517" s="24" t="n">
        <x:v>0.15075825156110614</x:v>
      </x:c>
      <x:c r="L3517" s="24" t="n">
        <x:v>0.013380909901873328</x:v>
      </x:c>
    </x:row>
    <x:row r="3518">
      <x:c r="G3518" t="str">
        <x:v>ORF-JFK</x:v>
      </x:c>
      <x:c r="H3518" t="str">
        <x:v>ORF</x:v>
      </x:c>
      <x:c r="I3518" t="str">
        <x:v>JFK</x:v>
      </x:c>
      <x:c r="J3518" s="23" t="n">
        <x:v>4511</x:v>
      </x:c>
      <x:c r="K3518" s="24" t="n">
        <x:v>0.15074262912879627</x:v>
      </x:c>
      <x:c r="L3518" s="24" t="n">
        <x:v>0.04477942806473066</x:v>
      </x:c>
    </x:row>
    <x:row r="3519">
      <x:c r="G3519" t="str">
        <x:v>DTW-LEX</x:v>
      </x:c>
      <x:c r="H3519" t="str">
        <x:v>DTW</x:v>
      </x:c>
      <x:c r="I3519" t="str">
        <x:v>LEX</x:v>
      </x:c>
      <x:c r="J3519" s="23" t="n">
        <x:v>2342</x:v>
      </x:c>
      <x:c r="K3519" s="24" t="n">
        <x:v>0.15072587532023912</x:v>
      </x:c>
      <x:c r="L3519" s="24" t="n">
        <x:v>0.007258753202391118</x:v>
      </x:c>
    </x:row>
    <x:row r="3520">
      <x:c r="G3520" t="str">
        <x:v>MFR-DEN</x:v>
      </x:c>
      <x:c r="H3520" t="str">
        <x:v>MFR</x:v>
      </x:c>
      <x:c r="I3520" t="str">
        <x:v>DEN</x:v>
      </x:c>
      <x:c r="J3520" s="23" t="n">
        <x:v>2190</x:v>
      </x:c>
      <x:c r="K3520" s="24" t="n">
        <x:v>0.1506849315068493</x:v>
      </x:c>
      <x:c r="L3520" s="24" t="n">
        <x:v>0.00821917808219178</x:v>
      </x:c>
    </x:row>
    <x:row r="3521">
      <x:c r="G3521" t="str">
        <x:v>OGG-SJC</x:v>
      </x:c>
      <x:c r="H3521" t="str">
        <x:v>OGG</x:v>
      </x:c>
      <x:c r="I3521" t="str">
        <x:v>SJC</x:v>
      </x:c>
      <x:c r="J3521" s="23" t="n">
        <x:v>2210</x:v>
      </x:c>
      <x:c r="K3521" s="24" t="n">
        <x:v>0.1506787330316742</x:v>
      </x:c>
      <x:c r="L3521" s="24" t="n">
        <x:v>0.008597285067873304</x:v>
      </x:c>
    </x:row>
    <x:row r="3522">
      <x:c r="G3522" t="str">
        <x:v>BOI-MSP</x:v>
      </x:c>
      <x:c r="H3522" t="str">
        <x:v>BOI</x:v>
      </x:c>
      <x:c r="I3522" t="str">
        <x:v>MSP</x:v>
      </x:c>
      <x:c r="J3522" s="23" t="n">
        <x:v>2410</x:v>
      </x:c>
      <x:c r="K3522" s="24" t="n">
        <x:v>0.15062240663900414</x:v>
      </x:c>
      <x:c r="L3522" s="24" t="n">
        <x:v>0.010788381742738589</x:v>
      </x:c>
    </x:row>
    <x:row r="3523">
      <x:c r="G3523" t="str">
        <x:v>GRR-MSP</x:v>
      </x:c>
      <x:c r="H3523" t="str">
        <x:v>GRR</x:v>
      </x:c>
      <x:c r="I3523" t="str">
        <x:v>MSP</x:v>
      </x:c>
      <x:c r="J3523" s="23" t="n">
        <x:v>3884</x:v>
      </x:c>
      <x:c r="K3523" s="24" t="n">
        <x:v>0.15061791967044283</x:v>
      </x:c>
      <x:c r="L3523" s="24" t="n">
        <x:v>0.008753861997940269</x:v>
      </x:c>
    </x:row>
    <x:row r="3524">
      <x:c r="G3524" t="str">
        <x:v>ADQ-ANC</x:v>
      </x:c>
      <x:c r="H3524" t="str">
        <x:v>ADQ</x:v>
      </x:c>
      <x:c r="I3524" t="str">
        <x:v>ANC</x:v>
      </x:c>
      <x:c r="J3524" s="23" t="n">
        <x:v>2470</x:v>
      </x:c>
      <x:c r="K3524" s="24" t="n">
        <x:v>0.15060728744939272</x:v>
      </x:c>
      <x:c r="L3524" s="24" t="n">
        <x:v>0.03076923076923077</x:v>
      </x:c>
    </x:row>
    <x:row r="3525">
      <x:c r="G3525" t="str">
        <x:v>SAT-ATL</x:v>
      </x:c>
      <x:c r="H3525" t="str">
        <x:v>SAT</x:v>
      </x:c>
      <x:c r="I3525" t="str">
        <x:v>ATL</x:v>
      </x:c>
      <x:c r="J3525" s="23" t="n">
        <x:v>9249</x:v>
      </x:c>
      <x:c r="K3525" s="24" t="n">
        <x:v>0.15050275705481675</x:v>
      </x:c>
      <x:c r="L3525" s="24" t="n">
        <x:v>0.009190182722456482</x:v>
      </x:c>
    </x:row>
    <x:row r="3526">
      <x:c r="G3526" t="str">
        <x:v>MSP-PDX</x:v>
      </x:c>
      <x:c r="H3526" t="str">
        <x:v>MSP</x:v>
      </x:c>
      <x:c r="I3526" t="str">
        <x:v>PDX</x:v>
      </x:c>
      <x:c r="J3526" s="23" t="n">
        <x:v>3927</x:v>
      </x:c>
      <x:c r="K3526" s="24" t="n">
        <x:v>0.15049656226126815</x:v>
      </x:c>
      <x:c r="L3526" s="24" t="n">
        <x:v>0.005092946269416858</x:v>
      </x:c>
    </x:row>
    <x:row r="3527">
      <x:c r="G3527" t="str">
        <x:v>CVG-EWR</x:v>
      </x:c>
      <x:c r="H3527" t="str">
        <x:v>CVG</x:v>
      </x:c>
      <x:c r="I3527" t="str">
        <x:v>EWR</x:v>
      </x:c>
      <x:c r="J3527" s="23" t="n">
        <x:v>4486</x:v>
      </x:c>
      <x:c r="K3527" s="24" t="n">
        <x:v>0.15046812304948728</x:v>
      </x:c>
      <x:c r="L3527" s="24" t="n">
        <x:v>0.036335265269728044</x:v>
      </x:c>
    </x:row>
    <x:row r="3528">
      <x:c r="G3528" t="str">
        <x:v>MSP-JAX</x:v>
      </x:c>
      <x:c r="H3528" t="str">
        <x:v>MSP</x:v>
      </x:c>
      <x:c r="I3528" t="str">
        <x:v>JAX</x:v>
      </x:c>
      <x:c r="J3528" s="23" t="n">
        <x:v>1038</x:v>
      </x:c>
      <x:c r="K3528" s="24" t="n">
        <x:v>0.15028901734104047</x:v>
      </x:c>
      <x:c r="L3528" s="24" t="n">
        <x:v>0.01348747591522158</x:v>
      </x:c>
    </x:row>
    <x:row r="3529">
      <x:c r="G3529" t="str">
        <x:v>CLE-MSP</x:v>
      </x:c>
      <x:c r="H3529" t="str">
        <x:v>CLE</x:v>
      </x:c>
      <x:c r="I3529" t="str">
        <x:v>MSP</x:v>
      </x:c>
      <x:c r="J3529" s="23" t="n">
        <x:v>3436</x:v>
      </x:c>
      <x:c r="K3529" s="24" t="n">
        <x:v>0.15017462165308498</x:v>
      </x:c>
      <x:c r="L3529" s="24" t="n">
        <x:v>0.008149010477299184</x:v>
      </x:c>
    </x:row>
    <x:row r="3530">
      <x:c r="G3530" t="str">
        <x:v>PNS-HOU</x:v>
      </x:c>
      <x:c r="H3530" t="str">
        <x:v>PNS</x:v>
      </x:c>
      <x:c r="I3530" t="str">
        <x:v>HOU</x:v>
      </x:c>
      <x:c r="J3530" s="23" t="n">
        <x:v>1139</x:v>
      </x:c>
      <x:c r="K3530" s="24" t="n">
        <x:v>0.15013169446883232</x:v>
      </x:c>
      <x:c r="L3530" s="24" t="n">
        <x:v>0.007023705004389816</x:v>
      </x:c>
    </x:row>
    <x:row r="3531">
      <x:c r="G3531" t="str">
        <x:v>ROC-LGA</x:v>
      </x:c>
      <x:c r="H3531" t="str">
        <x:v>ROC</x:v>
      </x:c>
      <x:c r="I3531" t="str">
        <x:v>LGA</x:v>
      </x:c>
      <x:c r="J3531" s="23" t="n">
        <x:v>2318</x:v>
      </x:c>
      <x:c r="K3531" s="24" t="n">
        <x:v>0.15012942191544434</x:v>
      </x:c>
      <x:c r="L3531" s="24" t="n">
        <x:v>0.032355478861087146</x:v>
      </x:c>
    </x:row>
    <x:row r="3532">
      <x:c r="G3532" t="str">
        <x:v>LAX-IAH</x:v>
      </x:c>
      <x:c r="H3532" t="str">
        <x:v>LAX</x:v>
      </x:c>
      <x:c r="I3532" t="str">
        <x:v>IAH</x:v>
      </x:c>
      <x:c r="J3532" s="23" t="n">
        <x:v>16097</x:v>
      </x:c>
      <x:c r="K3532" s="24" t="n">
        <x:v>0.15009007889668882</x:v>
      </x:c>
      <x:c r="L3532" s="24" t="n">
        <x:v>0.010747344225632106</x:v>
      </x:c>
    </x:row>
    <x:row r="3533">
      <x:c r="G3533" t="str">
        <x:v>OAK-ONT</x:v>
      </x:c>
      <x:c r="H3533" t="str">
        <x:v>OAK</x:v>
      </x:c>
      <x:c r="I3533" t="str">
        <x:v>ONT</x:v>
      </x:c>
      <x:c r="J3533" s="23" t="n">
        <x:v>4759</x:v>
      </x:c>
      <x:c r="K3533" s="24" t="n">
        <x:v>0.1500315192267283</x:v>
      </x:c>
      <x:c r="L3533" s="24" t="n">
        <x:v>0.005463332632906073</x:v>
      </x:c>
    </x:row>
    <x:row r="3534">
      <x:c r="G3534" t="str">
        <x:v>LIT-DAL</x:v>
      </x:c>
      <x:c r="H3534" t="str">
        <x:v>LIT</x:v>
      </x:c>
      <x:c r="I3534" t="str">
        <x:v>DAL</x:v>
      </x:c>
      <x:c r="J3534" s="23" t="n">
        <x:v>3080</x:v>
      </x:c>
      <x:c r="K3534" s="24" t="n">
        <x:v>0.15</x:v>
      </x:c>
      <x:c r="L3534" s="24" t="n">
        <x:v>0.008766233766233766</x:v>
      </x:c>
    </x:row>
    <x:row r="3535">
      <x:c r="G3535" t="str">
        <x:v>PDX-KOA</x:v>
      </x:c>
      <x:c r="H3535" t="str">
        <x:v>PDX</x:v>
      </x:c>
      <x:c r="I3535" t="str">
        <x:v>KOA</x:v>
      </x:c>
      <x:c r="J3535" s="23" t="n">
        <x:v>1020</x:v>
      </x:c>
      <x:c r="K3535" s="24" t="n">
        <x:v>0.15</x:v>
      </x:c>
      <x:c r="L3535" s="24" t="n">
        <x:v>0.006862745098039216</x:v>
      </x:c>
    </x:row>
    <x:row r="3536">
      <x:c r="G3536" t="str">
        <x:v>PDX-FAT</x:v>
      </x:c>
      <x:c r="H3536" t="str">
        <x:v>PDX</x:v>
      </x:c>
      <x:c r="I3536" t="str">
        <x:v>FAT</x:v>
      </x:c>
      <x:c r="J3536" s="23" t="n">
        <x:v>1721</x:v>
      </x:c>
      <x:c r="K3536" s="24" t="n">
        <x:v>0.14991284137129576</x:v>
      </x:c>
      <x:c r="L3536" s="24" t="n">
        <x:v>0.002324230098779779</x:v>
      </x:c>
    </x:row>
    <x:row r="3537">
      <x:c r="G3537" t="str">
        <x:v>LAX-IAD</x:v>
      </x:c>
      <x:c r="H3537" t="str">
        <x:v>LAX</x:v>
      </x:c>
      <x:c r="I3537" t="str">
        <x:v>IAD</x:v>
      </x:c>
      <x:c r="J3537" s="23" t="n">
        <x:v>7451</x:v>
      </x:c>
      <x:c r="K3537" s="24" t="n">
        <x:v>0.14991276338746476</x:v>
      </x:c>
      <x:c r="L3537" s="24" t="n">
        <x:v>0.0080526103878674</x:v>
      </x:c>
    </x:row>
    <x:row r="3538">
      <x:c r="G3538" t="str">
        <x:v>IAD-MSP</x:v>
      </x:c>
      <x:c r="H3538" t="str">
        <x:v>IAD</x:v>
      </x:c>
      <x:c r="I3538" t="str">
        <x:v>MSP</x:v>
      </x:c>
      <x:c r="J3538" s="23" t="n">
        <x:v>2715</x:v>
      </x:c>
      <x:c r="K3538" s="24" t="n">
        <x:v>0.14990791896869246</x:v>
      </x:c>
      <x:c r="L3538" s="24" t="n">
        <x:v>0.007366482504604052</x:v>
      </x:c>
    </x:row>
    <x:row r="3539">
      <x:c r="G3539" t="str">
        <x:v>LGA-MVY</x:v>
      </x:c>
      <x:c r="H3539" t="str">
        <x:v>LGA</x:v>
      </x:c>
      <x:c r="I3539" t="str">
        <x:v>MVY</x:v>
      </x:c>
      <x:c r="J3539" s="23" t="n">
        <x:v>1041</x:v>
      </x:c>
      <x:c r="K3539" s="24" t="n">
        <x:v>0.14985590778097982</x:v>
      </x:c>
      <x:c r="L3539" s="24" t="n">
        <x:v>0.02881844380403458</x:v>
      </x:c>
    </x:row>
    <x:row r="3540">
      <x:c r="G3540" t="str">
        <x:v>KOA-SEA</x:v>
      </x:c>
      <x:c r="H3540" t="str">
        <x:v>KOA</x:v>
      </x:c>
      <x:c r="I3540" t="str">
        <x:v>SEA</x:v>
      </x:c>
      <x:c r="J3540" s="23" t="n">
        <x:v>4246</x:v>
      </x:c>
      <x:c r="K3540" s="24" t="n">
        <x:v>0.1497880357983985</x:v>
      </x:c>
      <x:c r="L3540" s="24" t="n">
        <x:v>0.017192651907677815</x:v>
      </x:c>
    </x:row>
    <x:row r="3541">
      <x:c r="G3541" t="str">
        <x:v>LFT-CLT</x:v>
      </x:c>
      <x:c r="H3541" t="str">
        <x:v>LFT</x:v>
      </x:c>
      <x:c r="I3541" t="str">
        <x:v>CLT</x:v>
      </x:c>
      <x:c r="J3541" s="23" t="n">
        <x:v>1089</x:v>
      </x:c>
      <x:c r="K3541" s="24" t="n">
        <x:v>0.14967860422405876</x:v>
      </x:c>
      <x:c r="L3541" s="24" t="n">
        <x:v>0.020202020202020204</x:v>
      </x:c>
    </x:row>
    <x:row r="3542">
      <x:c r="G3542" t="str">
        <x:v>TUL-IAH</x:v>
      </x:c>
      <x:c r="H3542" t="str">
        <x:v>TUL</x:v>
      </x:c>
      <x:c r="I3542" t="str">
        <x:v>IAH</x:v>
      </x:c>
      <x:c r="J3542" s="23" t="n">
        <x:v>2220</x:v>
      </x:c>
      <x:c r="K3542" s="24" t="n">
        <x:v>0.14954954954954955</x:v>
      </x:c>
      <x:c r="L3542" s="24" t="n">
        <x:v>0.013963963963963964</x:v>
      </x:c>
    </x:row>
    <x:row r="3543">
      <x:c r="G3543" t="str">
        <x:v>RNO-SLC</x:v>
      </x:c>
      <x:c r="H3543" t="str">
        <x:v>RNO</x:v>
      </x:c>
      <x:c r="I3543" t="str">
        <x:v>SLC</x:v>
      </x:c>
      <x:c r="J3543" s="23" t="n">
        <x:v>3357</x:v>
      </x:c>
      <x:c r="K3543" s="24" t="n">
        <x:v>0.1495382782246053</x:v>
      </x:c>
      <x:c r="L3543" s="24" t="n">
        <x:v>0.0038725052129877867</x:v>
      </x:c>
    </x:row>
    <x:row r="3544">
      <x:c r="G3544" t="str">
        <x:v>OKC-LGA</x:v>
      </x:c>
      <x:c r="H3544" t="str">
        <x:v>OKC</x:v>
      </x:c>
      <x:c r="I3544" t="str">
        <x:v>LGA</x:v>
      </x:c>
      <x:c r="J3544" s="23" t="n">
        <x:v>2906</x:v>
      </x:c>
      <x:c r="K3544" s="24" t="n">
        <x:v>0.14934618031658636</x:v>
      </x:c>
      <x:c r="L3544" s="24" t="n">
        <x:v>0.02718513420509291</x:v>
      </x:c>
    </x:row>
    <x:row r="3545">
      <x:c r="G3545" t="str">
        <x:v>JAX-ATL</x:v>
      </x:c>
      <x:c r="H3545" t="str">
        <x:v>JAX</x:v>
      </x:c>
      <x:c r="I3545" t="str">
        <x:v>ATL</x:v>
      </x:c>
      <x:c r="J3545" s="23" t="n">
        <x:v>12911</x:v>
      </x:c>
      <x:c r="K3545" s="24" t="n">
        <x:v>0.14925257532336766</x:v>
      </x:c>
      <x:c r="L3545" s="24" t="n">
        <x:v>0.010998373479978313</x:v>
      </x:c>
    </x:row>
    <x:row r="3546">
      <x:c r="G3546" t="str">
        <x:v>MYR-BWI</x:v>
      </x:c>
      <x:c r="H3546" t="str">
        <x:v>MYR</x:v>
      </x:c>
      <x:c r="I3546" t="str">
        <x:v>BWI</x:v>
      </x:c>
      <x:c r="J3546" s="23" t="n">
        <x:v>3219</x:v>
      </x:c>
      <x:c r="K3546" s="24" t="n">
        <x:v>0.14911463187325255</x:v>
      </x:c>
      <x:c r="L3546" s="24" t="n">
        <x:v>0.008387698042870456</x:v>
      </x:c>
    </x:row>
    <x:row r="3547">
      <x:c r="G3547" t="str">
        <x:v>SFO-PIT</x:v>
      </x:c>
      <x:c r="H3547" t="str">
        <x:v>SFO</x:v>
      </x:c>
      <x:c r="I3547" t="str">
        <x:v>PIT</x:v>
      </x:c>
      <x:c r="J3547" s="23" t="n">
        <x:v>1631</x:v>
      </x:c>
      <x:c r="K3547" s="24" t="n">
        <x:v>0.1489883507050889</x:v>
      </x:c>
      <x:c r="L3547" s="24" t="n">
        <x:v>0.0030656039239730227</x:v>
      </x:c>
    </x:row>
    <x:row r="3548">
      <x:c r="G3548" t="str">
        <x:v>ATL-GNV</x:v>
      </x:c>
      <x:c r="H3548" t="str">
        <x:v>ATL</x:v>
      </x:c>
      <x:c r="I3548" t="str">
        <x:v>GNV</x:v>
      </x:c>
      <x:c r="J3548" s="23" t="n">
        <x:v>4887</x:v>
      </x:c>
      <x:c r="K3548" s="24" t="n">
        <x:v>0.14896664620421526</x:v>
      </x:c>
      <x:c r="L3548" s="24" t="n">
        <x:v>0.01023122570083896</x:v>
      </x:c>
    </x:row>
    <x:row r="3549">
      <x:c r="G3549" t="str">
        <x:v>OGG-HNL</x:v>
      </x:c>
      <x:c r="H3549" t="str">
        <x:v>OGG</x:v>
      </x:c>
      <x:c r="I3549" t="str">
        <x:v>HNL</x:v>
      </x:c>
      <x:c r="J3549" s="23" t="n">
        <x:v>34956</x:v>
      </x:c>
      <x:c r="K3549" s="24" t="n">
        <x:v>0.14895869092573522</x:v>
      </x:c>
      <x:c r="L3549" s="24" t="n">
        <x:v>0.011929282526604875</x:v>
      </x:c>
    </x:row>
    <x:row r="3550">
      <x:c r="G3550" t="str">
        <x:v>TUS-LAX</x:v>
      </x:c>
      <x:c r="H3550" t="str">
        <x:v>TUS</x:v>
      </x:c>
      <x:c r="I3550" t="str">
        <x:v>LAX</x:v>
      </x:c>
      <x:c r="J3550" s="23" t="n">
        <x:v>7573</x:v>
      </x:c>
      <x:c r="K3550" s="24" t="n">
        <x:v>0.14895021787930807</x:v>
      </x:c>
      <x:c r="L3550" s="24" t="n">
        <x:v>0.00277300937541265</x:v>
      </x:c>
    </x:row>
    <x:row r="3551">
      <x:c r="G3551" t="str">
        <x:v>MSP-GFK</x:v>
      </x:c>
      <x:c r="H3551" t="str">
        <x:v>MSP</x:v>
      </x:c>
      <x:c r="I3551" t="str">
        <x:v>GFK</x:v>
      </x:c>
      <x:c r="J3551" s="23" t="n">
        <x:v>2793</x:v>
      </x:c>
      <x:c r="K3551" s="24" t="n">
        <x:v>0.1489437880415324</x:v>
      </x:c>
      <x:c r="L3551" s="24" t="n">
        <x:v>0.011457214464733263</x:v>
      </x:c>
    </x:row>
    <x:row r="3552">
      <x:c r="G3552" t="str">
        <x:v>GEG-PHX</x:v>
      </x:c>
      <x:c r="H3552" t="str">
        <x:v>GEG</x:v>
      </x:c>
      <x:c r="I3552" t="str">
        <x:v>PHX</x:v>
      </x:c>
      <x:c r="J3552" s="23" t="n">
        <x:v>3243</x:v>
      </x:c>
      <x:c r="K3552" s="24" t="n">
        <x:v>0.14893617021276595</x:v>
      </x:c>
      <x:c r="L3552" s="24" t="n">
        <x:v>0.0012334258402713536</x:v>
      </x:c>
    </x:row>
    <x:row r="3553">
      <x:c r="G3553" t="str">
        <x:v>BUF-LGA</x:v>
      </x:c>
      <x:c r="H3553" t="str">
        <x:v>BUF</x:v>
      </x:c>
      <x:c r="I3553" t="str">
        <x:v>LGA</x:v>
      </x:c>
      <x:c r="J3553" s="23" t="n">
        <x:v>5849</x:v>
      </x:c>
      <x:c r="K3553" s="24" t="n">
        <x:v>0.1489143443323645</x:v>
      </x:c>
      <x:c r="L3553" s="24" t="n">
        <x:v>0.039322961189947</x:v>
      </x:c>
    </x:row>
    <x:row r="3554">
      <x:c r="G3554" t="str">
        <x:v>SEA-MSP</x:v>
      </x:c>
      <x:c r="H3554" t="str">
        <x:v>SEA</x:v>
      </x:c>
      <x:c r="I3554" t="str">
        <x:v>MSP</x:v>
      </x:c>
      <x:c r="J3554" s="23" t="n">
        <x:v>8080</x:v>
      </x:c>
      <x:c r="K3554" s="24" t="n">
        <x:v>0.14888613861386138</x:v>
      </x:c>
      <x:c r="L3554" s="24" t="n">
        <x:v>0.006559405940594059</x:v>
      </x:c>
    </x:row>
    <x:row r="3555">
      <x:c r="G3555" t="str">
        <x:v>JAX-LGA</x:v>
      </x:c>
      <x:c r="H3555" t="str">
        <x:v>JAX</x:v>
      </x:c>
      <x:c r="I3555" t="str">
        <x:v>LGA</x:v>
      </x:c>
      <x:c r="J3555" s="23" t="n">
        <x:v>3124</x:v>
      </x:c>
      <x:c r="K3555" s="24" t="n">
        <x:v>0.14884763124199743</x:v>
      </x:c>
      <x:c r="L3555" s="24" t="n">
        <x:v>0.02144686299615877</x:v>
      </x:c>
    </x:row>
    <x:row r="3556">
      <x:c r="G3556" t="str">
        <x:v>BNA-VPS</x:v>
      </x:c>
      <x:c r="H3556" t="str">
        <x:v>BNA</x:v>
      </x:c>
      <x:c r="I3556" t="str">
        <x:v>VPS</x:v>
      </x:c>
      <x:c r="J3556" s="23" t="n">
        <x:v>2675</x:v>
      </x:c>
      <x:c r="K3556" s="24" t="n">
        <x:v>0.14878504672897197</x:v>
      </x:c>
      <x:c r="L3556" s="24" t="n">
        <x:v>0.00411214953271028</x:v>
      </x:c>
    </x:row>
    <x:row r="3557">
      <x:c r="G3557" t="str">
        <x:v>BTV-LGA</x:v>
      </x:c>
      <x:c r="H3557" t="str">
        <x:v>BTV</x:v>
      </x:c>
      <x:c r="I3557" t="str">
        <x:v>LGA</x:v>
      </x:c>
      <x:c r="J3557" s="23" t="n">
        <x:v>1903</x:v>
      </x:c>
      <x:c r="K3557" s="24" t="n">
        <x:v>0.1487125591171834</x:v>
      </x:c>
      <x:c r="L3557" s="24" t="n">
        <x:v>0.03310562270099842</x:v>
      </x:c>
    </x:row>
    <x:row r="3558">
      <x:c r="G3558" t="str">
        <x:v>SMF-BUR</x:v>
      </x:c>
      <x:c r="H3558" t="str">
        <x:v>SMF</x:v>
      </x:c>
      <x:c r="I3558" t="str">
        <x:v>BUR</x:v>
      </x:c>
      <x:c r="J3558" s="23" t="n">
        <x:v>8582</x:v>
      </x:c>
      <x:c r="K3558" s="24" t="n">
        <x:v>0.14868329060824984</x:v>
      </x:c>
      <x:c r="L3558" s="24" t="n">
        <x:v>0.015264507107900257</x:v>
      </x:c>
    </x:row>
    <x:row r="3559">
      <x:c r="G3559" t="str">
        <x:v>ATL-HSV</x:v>
      </x:c>
      <x:c r="H3559" t="str">
        <x:v>ATL</x:v>
      </x:c>
      <x:c r="I3559" t="str">
        <x:v>HSV</x:v>
      </x:c>
      <x:c r="J3559" s="23" t="n">
        <x:v>6848</x:v>
      </x:c>
      <x:c r="K3559" s="24" t="n">
        <x:v>0.14865654205607476</x:v>
      </x:c>
      <x:c r="L3559" s="24" t="n">
        <x:v>0.010952102803738317</x:v>
      </x:c>
    </x:row>
    <x:row r="3560">
      <x:c r="G3560" t="str">
        <x:v>SJC-ONT</x:v>
      </x:c>
      <x:c r="H3560" t="str">
        <x:v>SJC</x:v>
      </x:c>
      <x:c r="I3560" t="str">
        <x:v>ONT</x:v>
      </x:c>
      <x:c r="J3560" s="23" t="n">
        <x:v>4225</x:v>
      </x:c>
      <x:c r="K3560" s="24" t="n">
        <x:v>0.14863905325443788</x:v>
      </x:c>
      <x:c r="L3560" s="24" t="n">
        <x:v>0.004733727810650888</x:v>
      </x:c>
    </x:row>
    <x:row r="3561">
      <x:c r="G3561" t="str">
        <x:v>IND-EWR</x:v>
      </x:c>
      <x:c r="H3561" t="str">
        <x:v>IND</x:v>
      </x:c>
      <x:c r="I3561" t="str">
        <x:v>EWR</x:v>
      </x:c>
      <x:c r="J3561" s="23" t="n">
        <x:v>6709</x:v>
      </x:c>
      <x:c r="K3561" s="24" t="n">
        <x:v>0.14860634967953495</x:v>
      </x:c>
      <x:c r="L3561" s="24" t="n">
        <x:v>0.03681621702191087</x:v>
      </x:c>
    </x:row>
    <x:row r="3562">
      <x:c r="G3562" t="str">
        <x:v>BOI-SEA</x:v>
      </x:c>
      <x:c r="H3562" t="str">
        <x:v>BOI</x:v>
      </x:c>
      <x:c r="I3562" t="str">
        <x:v>SEA</x:v>
      </x:c>
      <x:c r="J3562" s="23" t="n">
        <x:v>11736</x:v>
      </x:c>
      <x:c r="K3562" s="24" t="n">
        <x:v>0.14860259032038173</x:v>
      </x:c>
      <x:c r="L3562" s="24" t="n">
        <x:v>0.002130197682344922</x:v>
      </x:c>
    </x:row>
    <x:row r="3563">
      <x:c r="G3563" t="str">
        <x:v>DSM-LGA</x:v>
      </x:c>
      <x:c r="H3563" t="str">
        <x:v>DSM</x:v>
      </x:c>
      <x:c r="I3563" t="str">
        <x:v>LGA</x:v>
      </x:c>
      <x:c r="J3563" s="23" t="n">
        <x:v>1898</x:v>
      </x:c>
      <x:c r="K3563" s="24" t="n">
        <x:v>0.14857744994731295</x:v>
      </x:c>
      <x:c r="L3563" s="24" t="n">
        <x:v>0.030558482613277135</x:v>
      </x:c>
    </x:row>
    <x:row r="3564">
      <x:c r="G3564" t="str">
        <x:v>TUS-PHX</x:v>
      </x:c>
      <x:c r="H3564" t="str">
        <x:v>TUS</x:v>
      </x:c>
      <x:c r="I3564" t="str">
        <x:v>PHX</x:v>
      </x:c>
      <x:c r="J3564" s="23" t="n">
        <x:v>9033</x:v>
      </x:c>
      <x:c r="K3564" s="24" t="n">
        <x:v>0.14856636776264806</x:v>
      </x:c>
      <x:c r="L3564" s="24" t="n">
        <x:v>0.0036532713384257723</x:v>
      </x:c>
    </x:row>
    <x:row r="3565">
      <x:c r="G3565" t="str">
        <x:v>MKE-BWI</x:v>
      </x:c>
      <x:c r="H3565" t="str">
        <x:v>MKE</x:v>
      </x:c>
      <x:c r="I3565" t="str">
        <x:v>BWI</x:v>
      </x:c>
      <x:c r="J3565" s="23" t="n">
        <x:v>2594</x:v>
      </x:c>
      <x:c r="K3565" s="24" t="n">
        <x:v>0.14841942945258288</x:v>
      </x:c>
      <x:c r="L3565" s="24" t="n">
        <x:v>0.01233616037008481</x:v>
      </x:c>
    </x:row>
    <x:row r="3566">
      <x:c r="G3566" t="str">
        <x:v>IAD-RSW</x:v>
      </x:c>
      <x:c r="H3566" t="str">
        <x:v>IAD</x:v>
      </x:c>
      <x:c r="I3566" t="str">
        <x:v>RSW</x:v>
      </x:c>
      <x:c r="J3566" s="23" t="n">
        <x:v>1543</x:v>
      </x:c>
      <x:c r="K3566" s="24" t="n">
        <x:v>0.14841218405703174</x:v>
      </x:c>
      <x:c r="L3566" s="24" t="n">
        <x:v>0.010369410239792612</x:v>
      </x:c>
    </x:row>
    <x:row r="3567">
      <x:c r="G3567" t="str">
        <x:v>CVG-BWI</x:v>
      </x:c>
      <x:c r="H3567" t="str">
        <x:v>CVG</x:v>
      </x:c>
      <x:c r="I3567" t="str">
        <x:v>BWI</x:v>
      </x:c>
      <x:c r="J3567" s="23" t="n">
        <x:v>2392</x:v>
      </x:c>
      <x:c r="K3567" s="24" t="n">
        <x:v>0.1484113712374582</x:v>
      </x:c>
      <x:c r="L3567" s="24" t="n">
        <x:v>0.008361204013377926</x:v>
      </x:c>
    </x:row>
    <x:row r="3568">
      <x:c r="G3568" t="str">
        <x:v>ATL-TUL</x:v>
      </x:c>
      <x:c r="H3568" t="str">
        <x:v>ATL</x:v>
      </x:c>
      <x:c r="I3568" t="str">
        <x:v>TUL</x:v>
      </x:c>
      <x:c r="J3568" s="23" t="n">
        <x:v>4562</x:v>
      </x:c>
      <x:c r="K3568" s="24" t="n">
        <x:v>0.14839982463831652</x:v>
      </x:c>
      <x:c r="L3568" s="24" t="n">
        <x:v>0.010083296799649276</x:v>
      </x:c>
    </x:row>
    <x:row r="3569">
      <x:c r="G3569" t="str">
        <x:v>FAY-ATL</x:v>
      </x:c>
      <x:c r="H3569" t="str">
        <x:v>FAY</x:v>
      </x:c>
      <x:c r="I3569" t="str">
        <x:v>ATL</x:v>
      </x:c>
      <x:c r="J3569" s="23" t="n">
        <x:v>1759</x:v>
      </x:c>
      <x:c r="K3569" s="24" t="n">
        <x:v>0.14837976122797045</x:v>
      </x:c>
      <x:c r="L3569" s="24" t="n">
        <x:v>0.010801591813530414</x:v>
      </x:c>
    </x:row>
    <x:row r="3570">
      <x:c r="G3570" t="str">
        <x:v>GEG-MSP</x:v>
      </x:c>
      <x:c r="H3570" t="str">
        <x:v>GEG</x:v>
      </x:c>
      <x:c r="I3570" t="str">
        <x:v>MSP</x:v>
      </x:c>
      <x:c r="J3570" s="23" t="n">
        <x:v>2380</x:v>
      </x:c>
      <x:c r="K3570" s="24" t="n">
        <x:v>0.14831932773109244</x:v>
      </x:c>
      <x:c r="L3570" s="24" t="n">
        <x:v>0.008403361344537815</x:v>
      </x:c>
    </x:row>
    <x:row r="3571">
      <x:c r="G3571" t="str">
        <x:v>SAT-MIA</x:v>
      </x:c>
      <x:c r="H3571" t="str">
        <x:v>SAT</x:v>
      </x:c>
      <x:c r="I3571" t="str">
        <x:v>MIA</x:v>
      </x:c>
      <x:c r="J3571" s="23" t="n">
        <x:v>1517</x:v>
      </x:c>
      <x:c r="K3571" s="24" t="n">
        <x:v>0.14831905075807514</x:v>
      </x:c>
      <x:c r="L3571" s="24" t="n">
        <x:v>0.016479894528675015</x:v>
      </x:c>
    </x:row>
    <x:row r="3572">
      <x:c r="G3572" t="str">
        <x:v>SEA-SNA</x:v>
      </x:c>
      <x:c r="H3572" t="str">
        <x:v>SEA</x:v>
      </x:c>
      <x:c r="I3572" t="str">
        <x:v>SNA</x:v>
      </x:c>
      <x:c r="J3572" s="23" t="n">
        <x:v>12076</x:v>
      </x:c>
      <x:c r="K3572" s="24" t="n">
        <x:v>0.14822789002981118</x:v>
      </x:c>
      <x:c r="L3572" s="24" t="n">
        <x:v>0.008943358728055647</x:v>
      </x:c>
    </x:row>
    <x:row r="3573">
      <x:c r="G3573" t="str">
        <x:v>CLE-JFK</x:v>
      </x:c>
      <x:c r="H3573" t="str">
        <x:v>CLE</x:v>
      </x:c>
      <x:c r="I3573" t="str">
        <x:v>JFK</x:v>
      </x:c>
      <x:c r="J3573" s="23" t="n">
        <x:v>4400</x:v>
      </x:c>
      <x:c r="K3573" s="24" t="n">
        <x:v>0.1481818181818182</x:v>
      </x:c>
      <x:c r="L3573" s="24" t="n">
        <x:v>0.03295454545454545</x:v>
      </x:c>
    </x:row>
    <x:row r="3574">
      <x:c r="G3574" t="str">
        <x:v>PVD-PHL</x:v>
      </x:c>
      <x:c r="H3574" t="str">
        <x:v>PVD</x:v>
      </x:c>
      <x:c r="I3574" t="str">
        <x:v>PHL</x:v>
      </x:c>
      <x:c r="J3574" s="23" t="n">
        <x:v>2133</x:v>
      </x:c>
      <x:c r="K3574" s="24" t="n">
        <x:v>0.14814814814814814</x:v>
      </x:c>
      <x:c r="L3574" s="24" t="n">
        <x:v>0.01875293014533521</x:v>
      </x:c>
    </x:row>
    <x:row r="3575">
      <x:c r="G3575" t="str">
        <x:v>LAX-SEA</x:v>
      </x:c>
      <x:c r="H3575" t="str">
        <x:v>LAX</x:v>
      </x:c>
      <x:c r="I3575" t="str">
        <x:v>SEA</x:v>
      </x:c>
      <x:c r="J3575" s="23" t="n">
        <x:v>22428</x:v>
      </x:c>
      <x:c r="K3575" s="24" t="n">
        <x:v>0.14811842339932227</x:v>
      </x:c>
      <x:c r="L3575" s="24" t="n">
        <x:v>0.008962011771000535</x:v>
      </x:c>
    </x:row>
    <x:row r="3576">
      <x:c r="G3576" t="str">
        <x:v>MSP-SEA</x:v>
      </x:c>
      <x:c r="H3576" t="str">
        <x:v>MSP</x:v>
      </x:c>
      <x:c r="I3576" t="str">
        <x:v>SEA</x:v>
      </x:c>
      <x:c r="J3576" s="23" t="n">
        <x:v>8085</x:v>
      </x:c>
      <x:c r="K3576" s="24" t="n">
        <x:v>0.14805194805194805</x:v>
      </x:c>
      <x:c r="L3576" s="24" t="n">
        <x:v>0.0074211502782931356</x:v>
      </x:c>
    </x:row>
    <x:row r="3577">
      <x:c r="G3577" t="str">
        <x:v>PIT-STL</x:v>
      </x:c>
      <x:c r="H3577" t="str">
        <x:v>PIT</x:v>
      </x:c>
      <x:c r="I3577" t="str">
        <x:v>STL</x:v>
      </x:c>
      <x:c r="J3577" s="23" t="n">
        <x:v>1149</x:v>
      </x:c>
      <x:c r="K3577" s="24" t="n">
        <x:v>0.14795474325500435</x:v>
      </x:c>
      <x:c r="L3577" s="24" t="n">
        <x:v>0.0017406440382941688</x:v>
      </x:c>
    </x:row>
    <x:row r="3578">
      <x:c r="G3578" t="str">
        <x:v>DTW-MYR</x:v>
      </x:c>
      <x:c r="H3578" t="str">
        <x:v>DTW</x:v>
      </x:c>
      <x:c r="I3578" t="str">
        <x:v>MYR</x:v>
      </x:c>
      <x:c r="J3578" s="23" t="n">
        <x:v>1825</x:v>
      </x:c>
      <x:c r="K3578" s="24" t="n">
        <x:v>0.14794520547945206</x:v>
      </x:c>
      <x:c r="L3578" s="24" t="n">
        <x:v>0.011506849315068493</x:v>
      </x:c>
    </x:row>
    <x:row r="3579">
      <x:c r="G3579" t="str">
        <x:v>ATL-DHN</x:v>
      </x:c>
      <x:c r="H3579" t="str">
        <x:v>ATL</x:v>
      </x:c>
      <x:c r="I3579" t="str">
        <x:v>DHN</x:v>
      </x:c>
      <x:c r="J3579" s="23" t="n">
        <x:v>1548</x:v>
      </x:c>
      <x:c r="K3579" s="24" t="n">
        <x:v>0.1479328165374677</x:v>
      </x:c>
      <x:c r="L3579" s="24" t="n">
        <x:v>0.003875968992248062</x:v>
      </x:c>
    </x:row>
    <x:row r="3580">
      <x:c r="G3580" t="str">
        <x:v>MKE-MSP</x:v>
      </x:c>
      <x:c r="H3580" t="str">
        <x:v>MKE</x:v>
      </x:c>
      <x:c r="I3580" t="str">
        <x:v>MSP</x:v>
      </x:c>
      <x:c r="J3580" s="23" t="n">
        <x:v>4388</x:v>
      </x:c>
      <x:c r="K3580" s="24" t="n">
        <x:v>0.14790337283500457</x:v>
      </x:c>
      <x:c r="L3580" s="24" t="n">
        <x:v>0.010711030082041932</x:v>
      </x:c>
    </x:row>
    <x:row r="3581">
      <x:c r="G3581" t="str">
        <x:v>BUR-PHX</x:v>
      </x:c>
      <x:c r="H3581" t="str">
        <x:v>BUR</x:v>
      </x:c>
      <x:c r="I3581" t="str">
        <x:v>PHX</x:v>
      </x:c>
      <x:c r="J3581" s="23" t="n">
        <x:v>9681</x:v>
      </x:c>
      <x:c r="K3581" s="24" t="n">
        <x:v>0.14781530833591572</x:v>
      </x:c>
      <x:c r="L3581" s="24" t="n">
        <x:v>0.01105257721309782</x:v>
      </x:c>
    </x:row>
    <x:row r="3582">
      <x:c r="G3582" t="str">
        <x:v>SLC-DCA</x:v>
      </x:c>
      <x:c r="H3582" t="str">
        <x:v>SLC</x:v>
      </x:c>
      <x:c r="I3582" t="str">
        <x:v>DCA</x:v>
      </x:c>
      <x:c r="J3582" s="23" t="n">
        <x:v>1096</x:v>
      </x:c>
      <x:c r="K3582" s="24" t="n">
        <x:v>0.1478102189781022</x:v>
      </x:c>
      <x:c r="L3582" s="24" t="n">
        <x:v>0.009124087591240875</x:v>
      </x:c>
    </x:row>
    <x:row r="3583">
      <x:c r="G3583" t="str">
        <x:v>RDM-LAX</x:v>
      </x:c>
      <x:c r="H3583" t="str">
        <x:v>RDM</x:v>
      </x:c>
      <x:c r="I3583" t="str">
        <x:v>LAX</x:v>
      </x:c>
      <x:c r="J3583" s="23" t="n">
        <x:v>1482</x:v>
      </x:c>
      <x:c r="K3583" s="24" t="n">
        <x:v>0.14777327935222673</x:v>
      </x:c>
      <x:c r="L3583" s="24" t="n">
        <x:v>0.011470985155195682</x:v>
      </x:c>
    </x:row>
    <x:row r="3584">
      <x:c r="G3584" t="str">
        <x:v>GEG-SEA</x:v>
      </x:c>
      <x:c r="H3584" t="str">
        <x:v>GEG</x:v>
      </x:c>
      <x:c r="I3584" t="str">
        <x:v>SEA</x:v>
      </x:c>
      <x:c r="J3584" s="23" t="n">
        <x:v>15525</x:v>
      </x:c>
      <x:c r="K3584" s="24" t="n">
        <x:v>0.1476328502415459</x:v>
      </x:c>
      <x:c r="L3584" s="24" t="n">
        <x:v>0.00605475040257649</x:v>
      </x:c>
    </x:row>
    <x:row r="3585">
      <x:c r="G3585" t="str">
        <x:v>CLE-MDW</x:v>
      </x:c>
      <x:c r="H3585" t="str">
        <x:v>CLE</x:v>
      </x:c>
      <x:c r="I3585" t="str">
        <x:v>MDW</x:v>
      </x:c>
      <x:c r="J3585" s="23" t="n">
        <x:v>3781</x:v>
      </x:c>
      <x:c r="K3585" s="24" t="n">
        <x:v>0.14758000528960594</x:v>
      </x:c>
      <x:c r="L3585" s="24" t="n">
        <x:v>0.012430573922242793</x:v>
      </x:c>
    </x:row>
    <x:row r="3586">
      <x:c r="G3586" t="str">
        <x:v>EWR-AVL</x:v>
      </x:c>
      <x:c r="H3586" t="str">
        <x:v>EWR</x:v>
      </x:c>
      <x:c r="I3586" t="str">
        <x:v>AVL</x:v>
      </x:c>
      <x:c r="J3586" s="23" t="n">
        <x:v>1478</x:v>
      </x:c>
      <x:c r="K3586" s="24" t="n">
        <x:v>0.14749661705006767</x:v>
      </x:c>
      <x:c r="L3586" s="24" t="n">
        <x:v>0.04330175913396482</x:v>
      </x:c>
    </x:row>
    <x:row r="3587">
      <x:c r="G3587" t="str">
        <x:v>CLE-DTW</x:v>
      </x:c>
      <x:c r="H3587" t="str">
        <x:v>CLE</x:v>
      </x:c>
      <x:c r="I3587" t="str">
        <x:v>DTW</x:v>
      </x:c>
      <x:c r="J3587" s="23" t="n">
        <x:v>3614</x:v>
      </x:c>
      <x:c r="K3587" s="24" t="n">
        <x:v>0.1474820143884892</x:v>
      </x:c>
      <x:c r="L3587" s="24" t="n">
        <x:v>0.00691754288876591</x:v>
      </x:c>
    </x:row>
    <x:row r="3588">
      <x:c r="G3588" t="str">
        <x:v>PDX-ONT</x:v>
      </x:c>
      <x:c r="H3588" t="str">
        <x:v>PDX</x:v>
      </x:c>
      <x:c r="I3588" t="str">
        <x:v>ONT</x:v>
      </x:c>
      <x:c r="J3588" s="23" t="n">
        <x:v>1641</x:v>
      </x:c>
      <x:c r="K3588" s="24" t="n">
        <x:v>0.14747105423522242</x:v>
      </x:c>
      <x:c r="L3588" s="24" t="n">
        <x:v>0.017062766605728214</x:v>
      </x:c>
    </x:row>
    <x:row r="3589">
      <x:c r="G3589" t="str">
        <x:v>PSP-SEA</x:v>
      </x:c>
      <x:c r="H3589" t="str">
        <x:v>PSP</x:v>
      </x:c>
      <x:c r="I3589" t="str">
        <x:v>SEA</x:v>
      </x:c>
      <x:c r="J3589" s="23" t="n">
        <x:v>4789</x:v>
      </x:c>
      <x:c r="K3589" s="24" t="n">
        <x:v>0.14742117352265607</x:v>
      </x:c>
      <x:c r="L3589" s="24" t="n">
        <x:v>0.012319899770306954</x:v>
      </x:c>
    </x:row>
    <x:row r="3590">
      <x:c r="G3590" t="str">
        <x:v>PHX-IAD</x:v>
      </x:c>
      <x:c r="H3590" t="str">
        <x:v>PHX</x:v>
      </x:c>
      <x:c r="I3590" t="str">
        <x:v>IAD</x:v>
      </x:c>
      <x:c r="J3590" s="23" t="n">
        <x:v>2877</x:v>
      </x:c>
      <x:c r="K3590" s="24" t="n">
        <x:v>0.14737573861661452</x:v>
      </x:c>
      <x:c r="L3590" s="24" t="n">
        <x:v>0.008342022940563087</x:v>
      </x:c>
    </x:row>
    <x:row r="3591">
      <x:c r="G3591" t="str">
        <x:v>IAD-BTV</x:v>
      </x:c>
      <x:c r="H3591" t="str">
        <x:v>IAD</x:v>
      </x:c>
      <x:c r="I3591" t="str">
        <x:v>BTV</x:v>
      </x:c>
      <x:c r="J3591" s="23" t="n">
        <x:v>1643</x:v>
      </x:c>
      <x:c r="K3591" s="24" t="n">
        <x:v>0.1472915398660986</x:v>
      </x:c>
      <x:c r="L3591" s="24" t="n">
        <x:v>0.017650639074863056</x:v>
      </x:c>
    </x:row>
    <x:row r="3592">
      <x:c r="G3592" t="str">
        <x:v>GRB-ATL</x:v>
      </x:c>
      <x:c r="H3592" t="str">
        <x:v>GRB</x:v>
      </x:c>
      <x:c r="I3592" t="str">
        <x:v>ATL</x:v>
      </x:c>
      <x:c r="J3592" s="23" t="n">
        <x:v>1100</x:v>
      </x:c>
      <x:c r="K3592" s="24" t="n">
        <x:v>0.14727272727272728</x:v>
      </x:c>
      <x:c r="L3592" s="24" t="n">
        <x:v>0.01</x:v>
      </x:c>
    </x:row>
    <x:row r="3593">
      <x:c r="G3593" t="str">
        <x:v>KOA-LAX</x:v>
      </x:c>
      <x:c r="H3593" t="str">
        <x:v>KOA</x:v>
      </x:c>
      <x:c r="I3593" t="str">
        <x:v>LAX</x:v>
      </x:c>
      <x:c r="J3593" s="23" t="n">
        <x:v>4951</x:v>
      </x:c>
      <x:c r="K3593" s="24" t="n">
        <x:v>0.14724298121591597</x:v>
      </x:c>
      <x:c r="L3593" s="24" t="n">
        <x:v>0.00888709351646132</x:v>
      </x:c>
    </x:row>
    <x:row r="3594">
      <x:c r="G3594" t="str">
        <x:v>BDL-MSP</x:v>
      </x:c>
      <x:c r="H3594" t="str">
        <x:v>BDL</x:v>
      </x:c>
      <x:c r="I3594" t="str">
        <x:v>MSP</x:v>
      </x:c>
      <x:c r="J3594" s="23" t="n">
        <x:v>2588</x:v>
      </x:c>
      <x:c r="K3594" s="24" t="n">
        <x:v>0.1472179289026275</x:v>
      </x:c>
      <x:c r="L3594" s="24" t="n">
        <x:v>0.0061823802163833074</x:v>
      </x:c>
    </x:row>
    <x:row r="3595">
      <x:c r="G3595" t="str">
        <x:v>LGA-ROC</x:v>
      </x:c>
      <x:c r="H3595" t="str">
        <x:v>LGA</x:v>
      </x:c>
      <x:c r="I3595" t="str">
        <x:v>ROC</x:v>
      </x:c>
      <x:c r="J3595" s="23" t="n">
        <x:v>2317</x:v>
      </x:c>
      <x:c r="K3595" s="24" t="n">
        <x:v>0.1471730686232197</x:v>
      </x:c>
      <x:c r="L3595" s="24" t="n">
        <x:v>0.03366422097539922</x:v>
      </x:c>
    </x:row>
    <x:row r="3596">
      <x:c r="G3596" t="str">
        <x:v>LGB-HOU</x:v>
      </x:c>
      <x:c r="H3596" t="str">
        <x:v>LGB</x:v>
      </x:c>
      <x:c r="I3596" t="str">
        <x:v>HOU</x:v>
      </x:c>
      <x:c r="J3596" s="23" t="n">
        <x:v>1815</x:v>
      </x:c>
      <x:c r="K3596" s="24" t="n">
        <x:v>0.14710743801652892</x:v>
      </x:c>
      <x:c r="L3596" s="24" t="n">
        <x:v>0.003856749311294766</x:v>
      </x:c>
    </x:row>
    <x:row r="3597">
      <x:c r="G3597" t="str">
        <x:v>TUL-AUS</x:v>
      </x:c>
      <x:c r="H3597" t="str">
        <x:v>TUL</x:v>
      </x:c>
      <x:c r="I3597" t="str">
        <x:v>AUS</x:v>
      </x:c>
      <x:c r="J3597" s="23" t="n">
        <x:v>1312</x:v>
      </x:c>
      <x:c r="K3597" s="24" t="n">
        <x:v>0.14710365853658536</x:v>
      </x:c>
      <x:c r="L3597" s="24" t="n">
        <x:v>0.012195121951219513</x:v>
      </x:c>
    </x:row>
    <x:row r="3598">
      <x:c r="G3598" t="str">
        <x:v>FLG-PHX</x:v>
      </x:c>
      <x:c r="H3598" t="str">
        <x:v>FLG</x:v>
      </x:c>
      <x:c r="I3598" t="str">
        <x:v>PHX</x:v>
      </x:c>
      <x:c r="J3598" s="23" t="n">
        <x:v>3923</x:v>
      </x:c>
      <x:c r="K3598" s="24" t="n">
        <x:v>0.14708131531990823</x:v>
      </x:c>
      <x:c r="L3598" s="24" t="n">
        <x:v>0.015549324496558756</x:v>
      </x:c>
    </x:row>
    <x:row r="3599">
      <x:c r="G3599" t="str">
        <x:v>MYR-LGA</x:v>
      </x:c>
      <x:c r="H3599" t="str">
        <x:v>MYR</x:v>
      </x:c>
      <x:c r="I3599" t="str">
        <x:v>LGA</x:v>
      </x:c>
      <x:c r="J3599" s="23" t="n">
        <x:v>3121</x:v>
      </x:c>
      <x:c r="K3599" s="24" t="n">
        <x:v>0.14706824735661647</x:v>
      </x:c>
      <x:c r="L3599" s="24" t="n">
        <x:v>0.024351169496956104</x:v>
      </x:c>
    </x:row>
    <x:row r="3600">
      <x:c r="G3600" t="str">
        <x:v>ORD-HNL</x:v>
      </x:c>
      <x:c r="H3600" t="str">
        <x:v>ORD</x:v>
      </x:c>
      <x:c r="I3600" t="str">
        <x:v>HNL</x:v>
      </x:c>
      <x:c r="J3600" s="23" t="n">
        <x:v>1231</x:v>
      </x:c>
      <x:c r="K3600" s="24" t="n">
        <x:v>0.14703493095044678</x:v>
      </x:c>
      <x:c r="L3600" s="24" t="n">
        <x:v>0.003249390739236393</x:v>
      </x:c>
    </x:row>
    <x:row r="3601">
      <x:c r="G3601" t="str">
        <x:v>MSP-BJI</x:v>
      </x:c>
      <x:c r="H3601" t="str">
        <x:v>MSP</x:v>
      </x:c>
      <x:c r="I3601" t="str">
        <x:v>BJI</x:v>
      </x:c>
      <x:c r="J3601" s="23" t="n">
        <x:v>2170</x:v>
      </x:c>
      <x:c r="K3601" s="24" t="n">
        <x:v>0.14700460829493087</x:v>
      </x:c>
      <x:c r="L3601" s="24" t="n">
        <x:v>0.01152073732718894</x:v>
      </x:c>
    </x:row>
    <x:row r="3602">
      <x:c r="G3602" t="str">
        <x:v>SDF-BWI</x:v>
      </x:c>
      <x:c r="H3602" t="str">
        <x:v>SDF</x:v>
      </x:c>
      <x:c r="I3602" t="str">
        <x:v>BWI</x:v>
      </x:c>
      <x:c r="J3602" s="23" t="n">
        <x:v>2653</x:v>
      </x:c>
      <x:c r="K3602" s="24" t="n">
        <x:v>0.14700339238597815</x:v>
      </x:c>
      <x:c r="L3602" s="24" t="n">
        <x:v>0.013192612137203167</x:v>
      </x:c>
    </x:row>
    <x:row r="3603">
      <x:c r="G3603" t="str">
        <x:v>DTW-ROC</x:v>
      </x:c>
      <x:c r="H3603" t="str">
        <x:v>DTW</x:v>
      </x:c>
      <x:c r="I3603" t="str">
        <x:v>ROC</x:v>
      </x:c>
      <x:c r="J3603" s="23" t="n">
        <x:v>3083</x:v>
      </x:c>
      <x:c r="K3603" s="24" t="n">
        <x:v>0.14693480376256893</x:v>
      </x:c>
      <x:c r="L3603" s="24" t="n">
        <x:v>0.006811547194291274</x:v>
      </x:c>
    </x:row>
    <x:row r="3604">
      <x:c r="G3604" t="str">
        <x:v>JFK-CLE</x:v>
      </x:c>
      <x:c r="H3604" t="str">
        <x:v>JFK</x:v>
      </x:c>
      <x:c r="I3604" t="str">
        <x:v>CLE</x:v>
      </x:c>
      <x:c r="J3604" s="23" t="n">
        <x:v>4399</x:v>
      </x:c>
      <x:c r="K3604" s="24" t="n">
        <x:v>0.14685155717208456</x:v>
      </x:c>
      <x:c r="L3604" s="24" t="n">
        <x:v>0.028642873380313707</x:v>
      </x:c>
    </x:row>
    <x:row r="3605">
      <x:c r="G3605" t="str">
        <x:v>SJC-BUR</x:v>
      </x:c>
      <x:c r="H3605" t="str">
        <x:v>SJC</x:v>
      </x:c>
      <x:c r="I3605" t="str">
        <x:v>BUR</x:v>
      </x:c>
      <x:c r="J3605" s="23" t="n">
        <x:v>7810</x:v>
      </x:c>
      <x:c r="K3605" s="24" t="n">
        <x:v>0.1467349551856594</x:v>
      </x:c>
      <x:c r="L3605" s="24" t="n">
        <x:v>0.015108834827144686</x:v>
      </x:c>
    </x:row>
    <x:row r="3606">
      <x:c r="G3606" t="str">
        <x:v>MKE-SEA</x:v>
      </x:c>
      <x:c r="H3606" t="str">
        <x:v>MKE</x:v>
      </x:c>
      <x:c r="I3606" t="str">
        <x:v>SEA</x:v>
      </x:c>
      <x:c r="J3606" s="23" t="n">
        <x:v>1350</x:v>
      </x:c>
      <x:c r="K3606" s="24" t="n">
        <x:v>0.14666666666666667</x:v>
      </x:c>
      <x:c r="L3606" s="24" t="n">
        <x:v>0.005925925925925926</x:v>
      </x:c>
    </x:row>
    <x:row r="3607">
      <x:c r="G3607" t="str">
        <x:v>OMA-IAH</x:v>
      </x:c>
      <x:c r="H3607" t="str">
        <x:v>OMA</x:v>
      </x:c>
      <x:c r="I3607" t="str">
        <x:v>IAH</x:v>
      </x:c>
      <x:c r="J3607" s="23" t="n">
        <x:v>1766</x:v>
      </x:c>
      <x:c r="K3607" s="24" t="n">
        <x:v>0.14665911664779163</x:v>
      </x:c>
      <x:c r="L3607" s="24" t="n">
        <x:v>0.01812004530011325</x:v>
      </x:c>
    </x:row>
    <x:row r="3608">
      <x:c r="G3608" t="str">
        <x:v>ANC-ADQ</x:v>
      </x:c>
      <x:c r="H3608" t="str">
        <x:v>ANC</x:v>
      </x:c>
      <x:c r="I3608" t="str">
        <x:v>ADQ</x:v>
      </x:c>
      <x:c r="J3608" s="23" t="n">
        <x:v>2470</x:v>
      </x:c>
      <x:c r="K3608" s="24" t="n">
        <x:v>0.1465587044534413</x:v>
      </x:c>
      <x:c r="L3608" s="24" t="n">
        <x:v>0.03724696356275304</x:v>
      </x:c>
    </x:row>
    <x:row r="3609">
      <x:c r="G3609" t="str">
        <x:v>MSN-MSP</x:v>
      </x:c>
      <x:c r="H3609" t="str">
        <x:v>MSN</x:v>
      </x:c>
      <x:c r="I3609" t="str">
        <x:v>MSP</x:v>
      </x:c>
      <x:c r="J3609" s="23" t="n">
        <x:v>4033</x:v>
      </x:c>
      <x:c r="K3609" s="24" t="n">
        <x:v>0.14654103644929334</x:v>
      </x:c>
      <x:c r="L3609" s="24" t="n">
        <x:v>0.007686585668237045</x:v>
      </x:c>
    </x:row>
    <x:row r="3610">
      <x:c r="G3610" t="str">
        <x:v>BNA-BDL</x:v>
      </x:c>
      <x:c r="H3610" t="str">
        <x:v>BNA</x:v>
      </x:c>
      <x:c r="I3610" t="str">
        <x:v>BDL</x:v>
      </x:c>
      <x:c r="J3610" s="23" t="n">
        <x:v>1126</x:v>
      </x:c>
      <x:c r="K3610" s="24" t="n">
        <x:v>0.14653641207815277</x:v>
      </x:c>
      <x:c r="L3610" s="24" t="n">
        <x:v>0.0026642984014209592</x:v>
      </x:c>
    </x:row>
    <x:row r="3611">
      <x:c r="G3611" t="str">
        <x:v>JAX-BNA</x:v>
      </x:c>
      <x:c r="H3611" t="str">
        <x:v>JAX</x:v>
      </x:c>
      <x:c r="I3611" t="str">
        <x:v>BNA</x:v>
      </x:c>
      <x:c r="J3611" s="23" t="n">
        <x:v>3003</x:v>
      </x:c>
      <x:c r="K3611" s="24" t="n">
        <x:v>0.14652014652014653</x:v>
      </x:c>
      <x:c r="L3611" s="24" t="n">
        <x:v>0.007992007992007992</x:v>
      </x:c>
    </x:row>
    <x:row r="3612">
      <x:c r="G3612" t="str">
        <x:v>SLC-BUR</x:v>
      </x:c>
      <x:c r="H3612" t="str">
        <x:v>SLC</x:v>
      </x:c>
      <x:c r="I3612" t="str">
        <x:v>BUR</x:v>
      </x:c>
      <x:c r="J3612" s="23" t="n">
        <x:v>4307</x:v>
      </x:c>
      <x:c r="K3612" s="24" t="n">
        <x:v>0.14650568841420944</x:v>
      </x:c>
      <x:c r="L3612" s="24" t="n">
        <x:v>0.003018342233573253</x:v>
      </x:c>
    </x:row>
    <x:row r="3613">
      <x:c r="G3613" t="str">
        <x:v>SMF-SNA</x:v>
      </x:c>
      <x:c r="H3613" t="str">
        <x:v>SMF</x:v>
      </x:c>
      <x:c r="I3613" t="str">
        <x:v>SNA</x:v>
      </x:c>
      <x:c r="J3613" s="23" t="n">
        <x:v>6804</x:v>
      </x:c>
      <x:c r="K3613" s="24" t="n">
        <x:v>0.14623750734861846</x:v>
      </x:c>
      <x:c r="L3613" s="24" t="n">
        <x:v>0.005731922398589065</x:v>
      </x:c>
    </x:row>
    <x:row r="3614">
      <x:c r="G3614" t="str">
        <x:v>OAK-LIH</x:v>
      </x:c>
      <x:c r="H3614" t="str">
        <x:v>OAK</x:v>
      </x:c>
      <x:c r="I3614" t="str">
        <x:v>LIH</x:v>
      </x:c>
      <x:c r="J3614" s="23" t="n">
        <x:v>2059</x:v>
      </x:c>
      <x:c r="K3614" s="24" t="n">
        <x:v>0.14618746964545895</x:v>
      </x:c>
      <x:c r="L3614" s="24" t="n">
        <x:v>0.00825643516270034</x:v>
      </x:c>
    </x:row>
    <x:row r="3615">
      <x:c r="G3615" t="str">
        <x:v>OAK-HOU</x:v>
      </x:c>
      <x:c r="H3615" t="str">
        <x:v>OAK</x:v>
      </x:c>
      <x:c r="I3615" t="str">
        <x:v>HOU</x:v>
      </x:c>
      <x:c r="J3615" s="23" t="n">
        <x:v>1307</x:v>
      </x:c>
      <x:c r="K3615" s="24" t="n">
        <x:v>0.14613618974751338</x:v>
      </x:c>
      <x:c r="L3615" s="24" t="n">
        <x:v>0.0045906656465187455</x:v>
      </x:c>
    </x:row>
    <x:row r="3616">
      <x:c r="G3616" t="str">
        <x:v>FAT-DEN</x:v>
      </x:c>
      <x:c r="H3616" t="str">
        <x:v>FAT</x:v>
      </x:c>
      <x:c r="I3616" t="str">
        <x:v>DEN</x:v>
      </x:c>
      <x:c r="J3616" s="23" t="n">
        <x:v>4360</x:v>
      </x:c>
      <x:c r="K3616" s="24" t="n">
        <x:v>0.14610091743119266</x:v>
      </x:c>
      <x:c r="L3616" s="24" t="n">
        <x:v>0.005275229357798165</x:v>
      </x:c>
    </x:row>
    <x:row r="3617">
      <x:c r="G3617" t="str">
        <x:v>DTW-CMH</x:v>
      </x:c>
      <x:c r="H3617" t="str">
        <x:v>DTW</x:v>
      </x:c>
      <x:c r="I3617" t="str">
        <x:v>CMH</x:v>
      </x:c>
      <x:c r="J3617" s="23" t="n">
        <x:v>4244</x:v>
      </x:c>
      <x:c r="K3617" s="24" t="n">
        <x:v>0.1460885956644675</x:v>
      </x:c>
      <x:c r="L3617" s="24" t="n">
        <x:v>0.004241281809613572</x:v>
      </x:c>
    </x:row>
    <x:row r="3618">
      <x:c r="G3618" t="str">
        <x:v>CLE-BNA</x:v>
      </x:c>
      <x:c r="H3618" t="str">
        <x:v>CLE</x:v>
      </x:c>
      <x:c r="I3618" t="str">
        <x:v>BNA</x:v>
      </x:c>
      <x:c r="J3618" s="23" t="n">
        <x:v>2465</x:v>
      </x:c>
      <x:c r="K3618" s="24" t="n">
        <x:v>0.1460446247464503</x:v>
      </x:c>
      <x:c r="L3618" s="24" t="n">
        <x:v>0.004462474645030426</x:v>
      </x:c>
    </x:row>
    <x:row r="3619">
      <x:c r="G3619" t="str">
        <x:v>MLI-ATL</x:v>
      </x:c>
      <x:c r="H3619" t="str">
        <x:v>MLI</x:v>
      </x:c>
      <x:c r="I3619" t="str">
        <x:v>ATL</x:v>
      </x:c>
      <x:c r="J3619" s="23" t="n">
        <x:v>1459</x:v>
      </x:c>
      <x:c r="K3619" s="24" t="n">
        <x:v>0.14599040438656613</x:v>
      </x:c>
      <x:c r="L3619" s="24" t="n">
        <x:v>0.011651816312542838</x:v>
      </x:c>
    </x:row>
    <x:row r="3620">
      <x:c r="G3620" t="str">
        <x:v>DLH-MSP</x:v>
      </x:c>
      <x:c r="H3620" t="str">
        <x:v>DLH</x:v>
      </x:c>
      <x:c r="I3620" t="str">
        <x:v>MSP</x:v>
      </x:c>
      <x:c r="J3620" s="23" t="n">
        <x:v>3433</x:v>
      </x:c>
      <x:c r="K3620" s="24" t="n">
        <x:v>0.14593649868919312</x:v>
      </x:c>
      <x:c r="L3620" s="24" t="n">
        <x:v>0.01077774541217594</x:v>
      </x:c>
    </x:row>
    <x:row r="3621">
      <x:c r="G3621" t="str">
        <x:v>SAN-DTW</x:v>
      </x:c>
      <x:c r="H3621" t="str">
        <x:v>SAN</x:v>
      </x:c>
      <x:c r="I3621" t="str">
        <x:v>DTW</x:v>
      </x:c>
      <x:c r="J3621" s="23" t="n">
        <x:v>3666</x:v>
      </x:c>
      <x:c r="K3621" s="24" t="n">
        <x:v>0.1459356246590289</x:v>
      </x:c>
      <x:c r="L3621" s="24" t="n">
        <x:v>0.007637752318603383</x:v>
      </x:c>
    </x:row>
    <x:row r="3622">
      <x:c r="G3622" t="str">
        <x:v>FAR-MSP</x:v>
      </x:c>
      <x:c r="H3622" t="str">
        <x:v>FAR</x:v>
      </x:c>
      <x:c r="I3622" t="str">
        <x:v>MSP</x:v>
      </x:c>
      <x:c r="J3622" s="23" t="n">
        <x:v>4793</x:v>
      </x:c>
      <x:c r="K3622" s="24" t="n">
        <x:v>0.14583767994992697</x:v>
      </x:c>
      <x:c r="L3622" s="24" t="n">
        <x:v>0.008345503859795536</x:v>
      </x:c>
    </x:row>
    <x:row r="3623">
      <x:c r="G3623" t="str">
        <x:v>PNS-DAL</x:v>
      </x:c>
      <x:c r="H3623" t="str">
        <x:v>PNS</x:v>
      </x:c>
      <x:c r="I3623" t="str">
        <x:v>DAL</x:v>
      </x:c>
      <x:c r="J3623" s="23" t="n">
        <x:v>1344</x:v>
      </x:c>
      <x:c r="K3623" s="24" t="n">
        <x:v>0.14583333333333334</x:v>
      </x:c>
      <x:c r="L3623" s="24" t="n">
        <x:v>0.005208333333333333</x:v>
      </x:c>
    </x:row>
    <x:row r="3624">
      <x:c r="G3624" t="str">
        <x:v>PDX-PSP</x:v>
      </x:c>
      <x:c r="H3624" t="str">
        <x:v>PDX</x:v>
      </x:c>
      <x:c r="I3624" t="str">
        <x:v>PSP</x:v>
      </x:c>
      <x:c r="J3624" s="23" t="n">
        <x:v>1680</x:v>
      </x:c>
      <x:c r="K3624" s="24" t="n">
        <x:v>0.14583333333333334</x:v>
      </x:c>
      <x:c r="L3624" s="24" t="n">
        <x:v>0.014285714285714285</x:v>
      </x:c>
    </x:row>
    <x:row r="3625">
      <x:c r="G3625" t="str">
        <x:v>SLC-BNA</x:v>
      </x:c>
      <x:c r="H3625" t="str">
        <x:v>SLC</x:v>
      </x:c>
      <x:c r="I3625" t="str">
        <x:v>BNA</x:v>
      </x:c>
      <x:c r="J3625" s="23" t="n">
        <x:v>3059</x:v>
      </x:c>
      <x:c r="K3625" s="24" t="n">
        <x:v>0.14579928081072246</x:v>
      </x:c>
      <x:c r="L3625" s="24" t="n">
        <x:v>0.005557371690094802</x:v>
      </x:c>
    </x:row>
    <x:row r="3626">
      <x:c r="G3626" t="str">
        <x:v>MSP-BRD</x:v>
      </x:c>
      <x:c r="H3626" t="str">
        <x:v>MSP</x:v>
      </x:c>
      <x:c r="I3626" t="str">
        <x:v>BRD</x:v>
      </x:c>
      <x:c r="J3626" s="23" t="n">
        <x:v>1900</x:v>
      </x:c>
      <x:c r="K3626" s="24" t="n">
        <x:v>0.14578947368421052</x:v>
      </x:c>
      <x:c r="L3626" s="24" t="n">
        <x:v>0.011052631578947368</x:v>
      </x:c>
    </x:row>
    <x:row r="3627">
      <x:c r="G3627" t="str">
        <x:v>BRD-MSP</x:v>
      </x:c>
      <x:c r="H3627" t="str">
        <x:v>BRD</x:v>
      </x:c>
      <x:c r="I3627" t="str">
        <x:v>MSP</x:v>
      </x:c>
      <x:c r="J3627" s="23" t="n">
        <x:v>1900</x:v>
      </x:c>
      <x:c r="K3627" s="24" t="n">
        <x:v>0.14578947368421052</x:v>
      </x:c>
      <x:c r="L3627" s="24" t="n">
        <x:v>0.011052631578947368</x:v>
      </x:c>
    </x:row>
    <x:row r="3628">
      <x:c r="G3628" t="str">
        <x:v>SLC-SMF</x:v>
      </x:c>
      <x:c r="H3628" t="str">
        <x:v>SLC</x:v>
      </x:c>
      <x:c r="I3628" t="str">
        <x:v>SMF</x:v>
      </x:c>
      <x:c r="J3628" s="23" t="n">
        <x:v>5983</x:v>
      </x:c>
      <x:c r="K3628" s="24" t="n">
        <x:v>0.14574628112986796</x:v>
      </x:c>
      <x:c r="L3628" s="24" t="n">
        <x:v>0.004345645996991476</x:v>
      </x:c>
    </x:row>
    <x:row r="3629">
      <x:c r="G3629" t="str">
        <x:v>BDL-MIA</x:v>
      </x:c>
      <x:c r="H3629" t="str">
        <x:v>BDL</x:v>
      </x:c>
      <x:c r="I3629" t="str">
        <x:v>MIA</x:v>
      </x:c>
      <x:c r="J3629" s="23" t="n">
        <x:v>1462</x:v>
      </x:c>
      <x:c r="K3629" s="24" t="n">
        <x:v>0.1456908344733242</x:v>
      </x:c>
      <x:c r="L3629" s="24" t="n">
        <x:v>0.011627906976744186</x:v>
      </x:c>
    </x:row>
    <x:row r="3630">
      <x:c r="G3630" t="str">
        <x:v>DSM-MSP</x:v>
      </x:c>
      <x:c r="H3630" t="str">
        <x:v>DSM</x:v>
      </x:c>
      <x:c r="I3630" t="str">
        <x:v>MSP</x:v>
      </x:c>
      <x:c r="J3630" s="23" t="n">
        <x:v>2087</x:v>
      </x:c>
      <x:c r="K3630" s="24" t="n">
        <x:v>0.1456636320076665</x:v>
      </x:c>
      <x:c r="L3630" s="24" t="n">
        <x:v>0.010062290368950648</x:v>
      </x:c>
    </x:row>
    <x:row r="3631">
      <x:c r="G3631" t="str">
        <x:v>PDX-SJC</x:v>
      </x:c>
      <x:c r="H3631" t="str">
        <x:v>PDX</x:v>
      </x:c>
      <x:c r="I3631" t="str">
        <x:v>SJC</x:v>
      </x:c>
      <x:c r="J3631" s="23" t="n">
        <x:v>6945</x:v>
      </x:c>
      <x:c r="K3631" s="24" t="n">
        <x:v>0.14557235421166306</x:v>
      </x:c>
      <x:c r="L3631" s="24" t="n">
        <x:v>0.005183585313174946</x:v>
      </x:c>
    </x:row>
    <x:row r="3632">
      <x:c r="G3632" t="str">
        <x:v>MCI-MSP</x:v>
      </x:c>
      <x:c r="H3632" t="str">
        <x:v>MCI</x:v>
      </x:c>
      <x:c r="I3632" t="str">
        <x:v>MSP</x:v>
      </x:c>
      <x:c r="J3632" s="23" t="n">
        <x:v>4343</x:v>
      </x:c>
      <x:c r="K3632" s="24" t="n">
        <x:v>0.14552152889707576</x:v>
      </x:c>
      <x:c r="L3632" s="24" t="n">
        <x:v>0.010131245682707806</x:v>
      </x:c>
    </x:row>
    <x:row r="3633">
      <x:c r="G3633" t="str">
        <x:v>RST-MSP</x:v>
      </x:c>
      <x:c r="H3633" t="str">
        <x:v>RST</x:v>
      </x:c>
      <x:c r="I3633" t="str">
        <x:v>MSP</x:v>
      </x:c>
      <x:c r="J3633" s="23" t="n">
        <x:v>2063</x:v>
      </x:c>
      <x:c r="K3633" s="24" t="n">
        <x:v>0.1454192922927775</x:v>
      </x:c>
      <x:c r="L3633" s="24" t="n">
        <x:v>0.015511391177896268</x:v>
      </x:c>
    </x:row>
    <x:row r="3634">
      <x:c r="G3634" t="str">
        <x:v>LGA-PHL</x:v>
      </x:c>
      <x:c r="H3634" t="str">
        <x:v>LGA</x:v>
      </x:c>
      <x:c r="I3634" t="str">
        <x:v>PHL</x:v>
      </x:c>
      <x:c r="J3634" s="23" t="n">
        <x:v>1754</x:v>
      </x:c>
      <x:c r="K3634" s="24" t="n">
        <x:v>0.14538198403648803</x:v>
      </x:c>
      <x:c r="L3634" s="24" t="n">
        <x:v>0.02565564424173318</x:v>
      </x:c>
    </x:row>
    <x:row r="3635">
      <x:c r="G3635" t="str">
        <x:v>SJC-PDX</x:v>
      </x:c>
      <x:c r="H3635" t="str">
        <x:v>SJC</x:v>
      </x:c>
      <x:c r="I3635" t="str">
        <x:v>PDX</x:v>
      </x:c>
      <x:c r="J3635" s="23" t="n">
        <x:v>6914</x:v>
      </x:c>
      <x:c r="K3635" s="24" t="n">
        <x:v>0.145357246167197</x:v>
      </x:c>
      <x:c r="L3635" s="24" t="n">
        <x:v>0.004339022273647671</x:v>
      </x:c>
    </x:row>
    <x:row r="3636">
      <x:c r="G3636" t="str">
        <x:v>SDF-MSP</x:v>
      </x:c>
      <x:c r="H3636" t="str">
        <x:v>SDF</x:v>
      </x:c>
      <x:c r="I3636" t="str">
        <x:v>MSP</x:v>
      </x:c>
      <x:c r="J3636" s="23" t="n">
        <x:v>2230</x:v>
      </x:c>
      <x:c r="K3636" s="24" t="n">
        <x:v>0.1452914798206278</x:v>
      </x:c>
      <x:c r="L3636" s="24" t="n">
        <x:v>0.008071748878923767</x:v>
      </x:c>
    </x:row>
    <x:row r="3637">
      <x:c r="G3637" t="str">
        <x:v>OKC-LAX</x:v>
      </x:c>
      <x:c r="H3637" t="str">
        <x:v>OKC</x:v>
      </x:c>
      <x:c r="I3637" t="str">
        <x:v>LAX</x:v>
      </x:c>
      <x:c r="J3637" s="23" t="n">
        <x:v>2299</x:v>
      </x:c>
      <x:c r="K3637" s="24" t="n">
        <x:v>0.14528055676381035</x:v>
      </x:c>
      <x:c r="L3637" s="24" t="n">
        <x:v>0.0017398869073510222</x:v>
      </x:c>
    </x:row>
    <x:row r="3638">
      <x:c r="G3638" t="str">
        <x:v>OGG-SFO</x:v>
      </x:c>
      <x:c r="H3638" t="str">
        <x:v>OGG</x:v>
      </x:c>
      <x:c r="I3638" t="str">
        <x:v>SFO</x:v>
      </x:c>
      <x:c r="J3638" s="23" t="n">
        <x:v>4547</x:v>
      </x:c>
      <x:c r="K3638" s="24" t="n">
        <x:v>0.145150648779415</x:v>
      </x:c>
      <x:c r="L3638" s="24" t="n">
        <x:v>0.013855289201671431</x:v>
      </x:c>
    </x:row>
    <x:row r="3639">
      <x:c r="G3639" t="str">
        <x:v>OKC-MDW</x:v>
      </x:c>
      <x:c r="H3639" t="str">
        <x:v>OKC</x:v>
      </x:c>
      <x:c r="I3639" t="str">
        <x:v>MDW</x:v>
      </x:c>
      <x:c r="J3639" s="23" t="n">
        <x:v>1565</x:v>
      </x:c>
      <x:c r="K3639" s="24" t="n">
        <x:v>0.1450479233226837</x:v>
      </x:c>
      <x:c r="L3639" s="24" t="n">
        <x:v>0.005750798722044728</x:v>
      </x:c>
    </x:row>
    <x:row r="3640">
      <x:c r="G3640" t="str">
        <x:v>ATL-LEX</x:v>
      </x:c>
      <x:c r="H3640" t="str">
        <x:v>ATL</x:v>
      </x:c>
      <x:c r="I3640" t="str">
        <x:v>LEX</x:v>
      </x:c>
      <x:c r="J3640" s="23" t="n">
        <x:v>6063</x:v>
      </x:c>
      <x:c r="K3640" s="24" t="n">
        <x:v>0.14497773379515091</x:v>
      </x:c>
      <x:c r="L3640" s="24" t="n">
        <x:v>0.010390895596239486</x:v>
      </x:c>
    </x:row>
    <x:row r="3641">
      <x:c r="G3641" t="str">
        <x:v>GRB-MSP</x:v>
      </x:c>
      <x:c r="H3641" t="str">
        <x:v>GRB</x:v>
      </x:c>
      <x:c r="I3641" t="str">
        <x:v>MSP</x:v>
      </x:c>
      <x:c r="J3641" s="23" t="n">
        <x:v>2810</x:v>
      </x:c>
      <x:c r="K3641" s="24" t="n">
        <x:v>0.14483985765124555</x:v>
      </x:c>
      <x:c r="L3641" s="24" t="n">
        <x:v>0.01103202846975089</x:v>
      </x:c>
    </x:row>
    <x:row r="3642">
      <x:c r="G3642" t="str">
        <x:v>OGG-LAX</x:v>
      </x:c>
      <x:c r="H3642" t="str">
        <x:v>OGG</x:v>
      </x:c>
      <x:c r="I3642" t="str">
        <x:v>LAX</x:v>
      </x:c>
      <x:c r="J3642" s="23" t="n">
        <x:v>6602</x:v>
      </x:c>
      <x:c r="K3642" s="24" t="n">
        <x:v>0.14480460466525297</x:v>
      </x:c>
      <x:c r="L3642" s="24" t="n">
        <x:v>0.008179339594062406</x:v>
      </x:c>
    </x:row>
    <x:row r="3643">
      <x:c r="G3643" t="str">
        <x:v>DHN-ATL</x:v>
      </x:c>
      <x:c r="H3643" t="str">
        <x:v>DHN</x:v>
      </x:c>
      <x:c r="I3643" t="str">
        <x:v>ATL</x:v>
      </x:c>
      <x:c r="J3643" s="23" t="n">
        <x:v>1547</x:v>
      </x:c>
      <x:c r="K3643" s="24" t="n">
        <x:v>0.14479638009049775</x:v>
      </x:c>
      <x:c r="L3643" s="24" t="n">
        <x:v>0.005171299288946348</x:v>
      </x:c>
    </x:row>
    <x:row r="3644">
      <x:c r="G3644" t="str">
        <x:v>SAN-IAD</x:v>
      </x:c>
      <x:c r="H3644" t="str">
        <x:v>SAN</x:v>
      </x:c>
      <x:c r="I3644" t="str">
        <x:v>IAD</x:v>
      </x:c>
      <x:c r="J3644" s="23" t="n">
        <x:v>4447</x:v>
      </x:c>
      <x:c r="K3644" s="24" t="n">
        <x:v>0.1445918596806836</x:v>
      </x:c>
      <x:c r="L3644" s="24" t="n">
        <x:v>0.012592759163480998</x:v>
      </x:c>
    </x:row>
    <x:row r="3645">
      <x:c r="G3645" t="str">
        <x:v>PSG-WRG</x:v>
      </x:c>
      <x:c r="H3645" t="str">
        <x:v>PSG</x:v>
      </x:c>
      <x:c r="I3645" t="str">
        <x:v>WRG</x:v>
      </x:c>
      <x:c r="J3645" s="23" t="n">
        <x:v>1087</x:v>
      </x:c>
      <x:c r="K3645" s="24" t="n">
        <x:v>0.14443422263109476</x:v>
      </x:c>
      <x:c r="L3645" s="24" t="n">
        <x:v>0.022999080036798528</x:v>
      </x:c>
    </x:row>
    <x:row r="3646">
      <x:c r="G3646" t="str">
        <x:v>PDX-BOI</x:v>
      </x:c>
      <x:c r="H3646" t="str">
        <x:v>PDX</x:v>
      </x:c>
      <x:c r="I3646" t="str">
        <x:v>BOI</x:v>
      </x:c>
      <x:c r="J3646" s="23" t="n">
        <x:v>2618</x:v>
      </x:c>
      <x:c r="K3646" s="24" t="n">
        <x:v>0.1443850267379679</x:v>
      </x:c>
      <x:c r="L3646" s="24" t="n">
        <x:v>0.006111535523300229</x:v>
      </x:c>
    </x:row>
    <x:row r="3647">
      <x:c r="G3647" t="str">
        <x:v>SDF-PHL</x:v>
      </x:c>
      <x:c r="H3647" t="str">
        <x:v>SDF</x:v>
      </x:c>
      <x:c r="I3647" t="str">
        <x:v>PHL</x:v>
      </x:c>
      <x:c r="J3647" s="23" t="n">
        <x:v>1323</x:v>
      </x:c>
      <x:c r="K3647" s="24" t="n">
        <x:v>0.14436885865457294</x:v>
      </x:c>
      <x:c r="L3647" s="24" t="n">
        <x:v>0.012093726379440665</x:v>
      </x:c>
    </x:row>
    <x:row r="3648">
      <x:c r="G3648" t="str">
        <x:v>RIC-ATL</x:v>
      </x:c>
      <x:c r="H3648" t="str">
        <x:v>RIC</x:v>
      </x:c>
      <x:c r="I3648" t="str">
        <x:v>ATL</x:v>
      </x:c>
      <x:c r="J3648" s="23" t="n">
        <x:v>9247</x:v>
      </x:c>
      <x:c r="K3648" s="24" t="n">
        <x:v>0.1442630042175841</x:v>
      </x:c>
      <x:c r="L3648" s="24" t="n">
        <x:v>0.009084027252081756</x:v>
      </x:c>
    </x:row>
    <x:row r="3649">
      <x:c r="G3649" t="str">
        <x:v>JFK-ORF</x:v>
      </x:c>
      <x:c r="H3649" t="str">
        <x:v>JFK</x:v>
      </x:c>
      <x:c r="I3649" t="str">
        <x:v>ORF</x:v>
      </x:c>
      <x:c r="J3649" s="23" t="n">
        <x:v>4514</x:v>
      </x:c>
      <x:c r="K3649" s="24" t="n">
        <x:v>0.14421798848028355</x:v>
      </x:c>
      <x:c r="L3649" s="24" t="n">
        <x:v>0.03389455028799291</x:v>
      </x:c>
    </x:row>
    <x:row r="3650">
      <x:c r="G3650" t="str">
        <x:v>STL-ATL</x:v>
      </x:c>
      <x:c r="H3650" t="str">
        <x:v>STL</x:v>
      </x:c>
      <x:c r="I3650" t="str">
        <x:v>ATL</x:v>
      </x:c>
      <x:c r="J3650" s="23" t="n">
        <x:v>10560</x:v>
      </x:c>
      <x:c r="K3650" s="24" t="n">
        <x:v>0.14412878787878788</x:v>
      </x:c>
      <x:c r="L3650" s="24" t="n">
        <x:v>0.008901515151515152</x:v>
      </x:c>
    </x:row>
    <x:row r="3651">
      <x:c r="G3651" t="str">
        <x:v>PHX-PAE</x:v>
      </x:c>
      <x:c r="H3651" t="str">
        <x:v>PHX</x:v>
      </x:c>
      <x:c r="I3651" t="str">
        <x:v>PAE</x:v>
      </x:c>
      <x:c r="J3651" s="23" t="n">
        <x:v>1534</x:v>
      </x:c>
      <x:c r="K3651" s="24" t="n">
        <x:v>0.1440677966101695</x:v>
      </x:c>
      <x:c r="L3651" s="24" t="n">
        <x:v>0.009126466753585397</x:v>
      </x:c>
    </x:row>
    <x:row r="3652">
      <x:c r="G3652" t="str">
        <x:v>RIW-DEN</x:v>
      </x:c>
      <x:c r="H3652" t="str">
        <x:v>RIW</x:v>
      </x:c>
      <x:c r="I3652" t="str">
        <x:v>DEN</x:v>
      </x:c>
      <x:c r="J3652" s="23" t="n">
        <x:v>1785</x:v>
      </x:c>
      <x:c r="K3652" s="24" t="n">
        <x:v>0.14397759103641455</x:v>
      </x:c>
      <x:c r="L3652" s="24" t="n">
        <x:v>0.013445378151260505</x:v>
      </x:c>
    </x:row>
    <x:row r="3653">
      <x:c r="G3653" t="str">
        <x:v>SAT-LAX</x:v>
      </x:c>
      <x:c r="H3653" t="str">
        <x:v>SAT</x:v>
      </x:c>
      <x:c r="I3653" t="str">
        <x:v>LAX</x:v>
      </x:c>
      <x:c r="J3653" s="23" t="n">
        <x:v>6259</x:v>
      </x:c>
      <x:c r="K3653" s="24" t="n">
        <x:v>0.14395270810033553</x:v>
      </x:c>
      <x:c r="L3653" s="24" t="n">
        <x:v>0.003994248282473239</x:v>
      </x:c>
    </x:row>
    <x:row r="3654">
      <x:c r="G3654" t="str">
        <x:v>CVG-MDW</x:v>
      </x:c>
      <x:c r="H3654" t="str">
        <x:v>CVG</x:v>
      </x:c>
      <x:c r="I3654" t="str">
        <x:v>MDW</x:v>
      </x:c>
      <x:c r="J3654" s="23" t="n">
        <x:v>2349</x:v>
      </x:c>
      <x:c r="K3654" s="24" t="n">
        <x:v>0.14389101745423585</x:v>
      </x:c>
      <x:c r="L3654" s="24" t="n">
        <x:v>0.008088548318433376</x:v>
      </x:c>
    </x:row>
    <x:row r="3655">
      <x:c r="G3655" t="str">
        <x:v>SLC-MSP</x:v>
      </x:c>
      <x:c r="H3655" t="str">
        <x:v>SLC</x:v>
      </x:c>
      <x:c r="I3655" t="str">
        <x:v>MSP</x:v>
      </x:c>
      <x:c r="J3655" s="23" t="n">
        <x:v>4740</x:v>
      </x:c>
      <x:c r="K3655" s="24" t="n">
        <x:v>0.1438818565400844</x:v>
      </x:c>
      <x:c r="L3655" s="24" t="n">
        <x:v>0.004430379746835443</x:v>
      </x:c>
    </x:row>
    <x:row r="3656">
      <x:c r="G3656" t="str">
        <x:v>PHX-XNA</x:v>
      </x:c>
      <x:c r="H3656" t="str">
        <x:v>PHX</x:v>
      </x:c>
      <x:c r="I3656" t="str">
        <x:v>XNA</x:v>
      </x:c>
      <x:c r="J3656" s="23" t="n">
        <x:v>1543</x:v>
      </x:c>
      <x:c r="K3656" s="24" t="n">
        <x:v>0.14387556707712248</x:v>
      </x:c>
      <x:c r="L3656" s="24" t="n">
        <x:v>0.0038885288399222295</x:v>
      </x:c>
    </x:row>
    <x:row r="3657">
      <x:c r="G3657" t="str">
        <x:v>ATL-GPT</x:v>
      </x:c>
      <x:c r="H3657" t="str">
        <x:v>ATL</x:v>
      </x:c>
      <x:c r="I3657" t="str">
        <x:v>GPT</x:v>
      </x:c>
      <x:c r="J3657" s="23" t="n">
        <x:v>3727</x:v>
      </x:c>
      <x:c r="K3657" s="24" t="n">
        <x:v>0.1438154011269117</x:v>
      </x:c>
      <x:c r="L3657" s="24" t="n">
        <x:v>0.011805741883552455</x:v>
      </x:c>
    </x:row>
    <x:row r="3658">
      <x:c r="G3658" t="str">
        <x:v>DSM-STL</x:v>
      </x:c>
      <x:c r="H3658" t="str">
        <x:v>DSM</x:v>
      </x:c>
      <x:c r="I3658" t="str">
        <x:v>STL</x:v>
      </x:c>
      <x:c r="J3658" s="23" t="n">
        <x:v>2026</x:v>
      </x:c>
      <x:c r="K3658" s="24" t="n">
        <x:v>0.14363277393879564</x:v>
      </x:c>
      <x:c r="L3658" s="24" t="n">
        <x:v>0.007897334649555774</x:v>
      </x:c>
    </x:row>
    <x:row r="3659">
      <x:c r="G3659" t="str">
        <x:v>LGA-AVL</x:v>
      </x:c>
      <x:c r="H3659" t="str">
        <x:v>LGA</x:v>
      </x:c>
      <x:c r="I3659" t="str">
        <x:v>AVL</x:v>
      </x:c>
      <x:c r="J3659" s="23" t="n">
        <x:v>2444</x:v>
      </x:c>
      <x:c r="K3659" s="24" t="n">
        <x:v>0.14361702127659576</x:v>
      </x:c>
      <x:c r="L3659" s="24" t="n">
        <x:v>0.022504091653027823</x:v>
      </x:c>
    </x:row>
    <x:row r="3660">
      <x:c r="G3660" t="str">
        <x:v>RNO-PHX</x:v>
      </x:c>
      <x:c r="H3660" t="str">
        <x:v>RNO</x:v>
      </x:c>
      <x:c r="I3660" t="str">
        <x:v>PHX</x:v>
      </x:c>
      <x:c r="J3660" s="23" t="n">
        <x:v>6870</x:v>
      </x:c>
      <x:c r="K3660" s="24" t="n">
        <x:v>0.14352256186317322</x:v>
      </x:c>
      <x:c r="L3660" s="24" t="n">
        <x:v>0.005385735080058224</x:v>
      </x:c>
    </x:row>
    <x:row r="3661">
      <x:c r="G3661" t="str">
        <x:v>IND-MSP</x:v>
      </x:c>
      <x:c r="H3661" t="str">
        <x:v>IND</x:v>
      </x:c>
      <x:c r="I3661" t="str">
        <x:v>MSP</x:v>
      </x:c>
      <x:c r="J3661" s="23" t="n">
        <x:v>3835</x:v>
      </x:c>
      <x:c r="K3661" s="24" t="n">
        <x:v>0.14341590612777053</x:v>
      </x:c>
      <x:c r="L3661" s="24" t="n">
        <x:v>0.009126466753585397</x:v>
      </x:c>
    </x:row>
    <x:row r="3662">
      <x:c r="G3662" t="str">
        <x:v>MSP-DLH</x:v>
      </x:c>
      <x:c r="H3662" t="str">
        <x:v>MSP</x:v>
      </x:c>
      <x:c r="I3662" t="str">
        <x:v>DLH</x:v>
      </x:c>
      <x:c r="J3662" s="23" t="n">
        <x:v>3433</x:v>
      </x:c>
      <x:c r="K3662" s="24" t="n">
        <x:v>0.14331488494028546</x:v>
      </x:c>
      <x:c r="L3662" s="24" t="n">
        <x:v>0.011360326245266531</x:v>
      </x:c>
    </x:row>
    <x:row r="3663">
      <x:c r="G3663" t="str">
        <x:v>ABE-ATL</x:v>
      </x:c>
      <x:c r="H3663" t="str">
        <x:v>ABE</x:v>
      </x:c>
      <x:c r="I3663" t="str">
        <x:v>ATL</x:v>
      </x:c>
      <x:c r="J3663" s="23" t="n">
        <x:v>2011</x:v>
      </x:c>
      <x:c r="K3663" s="24" t="n">
        <x:v>0.14321233217304824</x:v>
      </x:c>
      <x:c r="L3663" s="24" t="n">
        <x:v>0.008453505718547987</x:v>
      </x:c>
    </x:row>
    <x:row r="3664">
      <x:c r="G3664" t="str">
        <x:v>GRR-EWR</x:v>
      </x:c>
      <x:c r="H3664" t="str">
        <x:v>GRR</x:v>
      </x:c>
      <x:c r="I3664" t="str">
        <x:v>EWR</x:v>
      </x:c>
      <x:c r="J3664" s="23" t="n">
        <x:v>2515</x:v>
      </x:c>
      <x:c r="K3664" s="24" t="n">
        <x:v>0.14314115308151093</x:v>
      </x:c>
      <x:c r="L3664" s="24" t="n">
        <x:v>0.044532803180914515</x:v>
      </x:c>
    </x:row>
    <x:row r="3665">
      <x:c r="G3665" t="str">
        <x:v>PHX-SGU</x:v>
      </x:c>
      <x:c r="H3665" t="str">
        <x:v>PHX</x:v>
      </x:c>
      <x:c r="I3665" t="str">
        <x:v>SGU</x:v>
      </x:c>
      <x:c r="J3665" s="23" t="n">
        <x:v>2012</x:v>
      </x:c>
      <x:c r="K3665" s="24" t="n">
        <x:v>0.14314115308151093</x:v>
      </x:c>
      <x:c r="L3665" s="24" t="n">
        <x:v>0</x:v>
      </x:c>
    </x:row>
    <x:row r="3666">
      <x:c r="G3666" t="str">
        <x:v>SNA-SEA</x:v>
      </x:c>
      <x:c r="H3666" t="str">
        <x:v>SNA</x:v>
      </x:c>
      <x:c r="I3666" t="str">
        <x:v>SEA</x:v>
      </x:c>
      <x:c r="J3666" s="23" t="n">
        <x:v>12068</x:v>
      </x:c>
      <x:c r="K3666" s="24" t="n">
        <x:v>0.14310573417301956</x:v>
      </x:c>
      <x:c r="L3666" s="24" t="n">
        <x:v>0.011849519390122638</x:v>
      </x:c>
    </x:row>
    <x:row r="3667">
      <x:c r="G3667" t="str">
        <x:v>IND-JFK</x:v>
      </x:c>
      <x:c r="H3667" t="str">
        <x:v>IND</x:v>
      </x:c>
      <x:c r="I3667" t="str">
        <x:v>JFK</x:v>
      </x:c>
      <x:c r="J3667" s="23" t="n">
        <x:v>5418</x:v>
      </x:c>
      <x:c r="K3667" s="24" t="n">
        <x:v>0.14304171280915468</x:v>
      </x:c>
      <x:c r="L3667" s="24" t="n">
        <x:v>0.027131782945736434</x:v>
      </x:c>
    </x:row>
    <x:row r="3668">
      <x:c r="G3668" t="str">
        <x:v>GSP-LGA</x:v>
      </x:c>
      <x:c r="H3668" t="str">
        <x:v>GSP</x:v>
      </x:c>
      <x:c r="I3668" t="str">
        <x:v>LGA</x:v>
      </x:c>
      <x:c r="J3668" s="23" t="n">
        <x:v>3978</x:v>
      </x:c>
      <x:c r="K3668" s="24" t="n">
        <x:v>0.14303670186023126</x:v>
      </x:c>
      <x:c r="L3668" s="24" t="n">
        <x:v>0.0379587732528909</x:v>
      </x:c>
    </x:row>
    <x:row r="3669">
      <x:c r="G3669" t="str">
        <x:v>ATL-ICT</x:v>
      </x:c>
      <x:c r="H3669" t="str">
        <x:v>ATL</x:v>
      </x:c>
      <x:c r="I3669" t="str">
        <x:v>ICT</x:v>
      </x:c>
      <x:c r="J3669" s="23" t="n">
        <x:v>3203</x:v>
      </x:c>
      <x:c r="K3669" s="24" t="n">
        <x:v>0.1429909459881361</x:v>
      </x:c>
      <x:c r="L3669" s="24" t="n">
        <x:v>0.005931938807368093</x:v>
      </x:c>
    </x:row>
    <x:row r="3670">
      <x:c r="G3670" t="str">
        <x:v>BUF-BWI</x:v>
      </x:c>
      <x:c r="H3670" t="str">
        <x:v>BUF</x:v>
      </x:c>
      <x:c r="I3670" t="str">
        <x:v>BWI</x:v>
      </x:c>
      <x:c r="J3670" s="23" t="n">
        <x:v>5135</x:v>
      </x:c>
      <x:c r="K3670" s="24" t="n">
        <x:v>0.14294060370009737</x:v>
      </x:c>
      <x:c r="L3670" s="24" t="n">
        <x:v>0.011879259980525803</x:v>
      </x:c>
    </x:row>
    <x:row r="3671">
      <x:c r="G3671" t="str">
        <x:v>KTN-SEA</x:v>
      </x:c>
      <x:c r="H3671" t="str">
        <x:v>KTN</x:v>
      </x:c>
      <x:c r="I3671" t="str">
        <x:v>SEA</x:v>
      </x:c>
      <x:c r="J3671" s="23" t="n">
        <x:v>4123</x:v>
      </x:c>
      <x:c r="K3671" s="24" t="n">
        <x:v>0.14285714285714285</x:v>
      </x:c>
      <x:c r="L3671" s="24" t="n">
        <x:v>0.01867572156196944</x:v>
      </x:c>
    </x:row>
    <x:row r="3672">
      <x:c r="G3672" t="str">
        <x:v>SFO-CLE</x:v>
      </x:c>
      <x:c r="H3672" t="str">
        <x:v>SFO</x:v>
      </x:c>
      <x:c r="I3672" t="str">
        <x:v>CLE</x:v>
      </x:c>
      <x:c r="J3672" s="23" t="n">
        <x:v>1751</x:v>
      </x:c>
      <x:c r="K3672" s="24" t="n">
        <x:v>0.1427755568246716</x:v>
      </x:c>
      <x:c r="L3672" s="24" t="n">
        <x:v>0.014277555682467162</x:v>
      </x:c>
    </x:row>
    <x:row r="3673">
      <x:c r="G3673" t="str">
        <x:v>SFO-OGG</x:v>
      </x:c>
      <x:c r="H3673" t="str">
        <x:v>SFO</x:v>
      </x:c>
      <x:c r="I3673" t="str">
        <x:v>OGG</x:v>
      </x:c>
      <x:c r="J3673" s="23" t="n">
        <x:v>4547</x:v>
      </x:c>
      <x:c r="K3673" s="24" t="n">
        <x:v>0.14273147129975808</x:v>
      </x:c>
      <x:c r="L3673" s="24" t="n">
        <x:v>0.01341543875082472</x:v>
      </x:c>
    </x:row>
    <x:row r="3674">
      <x:c r="G3674" t="str">
        <x:v>RSW-MSP</x:v>
      </x:c>
      <x:c r="H3674" t="str">
        <x:v>RSW</x:v>
      </x:c>
      <x:c r="I3674" t="str">
        <x:v>MSP</x:v>
      </x:c>
      <x:c r="J3674" s="23" t="n">
        <x:v>3715</x:v>
      </x:c>
      <x:c r="K3674" s="24" t="n">
        <x:v>0.1426648721399731</x:v>
      </x:c>
      <x:c r="L3674" s="24" t="n">
        <x:v>0.012920592193808884</x:v>
      </x:c>
    </x:row>
    <x:row r="3675">
      <x:c r="G3675" t="str">
        <x:v>MSP-HIB</x:v>
      </x:c>
      <x:c r="H3675" t="str">
        <x:v>MSP</x:v>
      </x:c>
      <x:c r="I3675" t="str">
        <x:v>HIB</x:v>
      </x:c>
      <x:c r="J3675" s="23" t="n">
        <x:v>1844</x:v>
      </x:c>
      <x:c r="K3675" s="24" t="n">
        <x:v>0.14262472885032537</x:v>
      </x:c>
      <x:c r="L3675" s="24" t="n">
        <x:v>0.010845986984815618</x:v>
      </x:c>
    </x:row>
    <x:row r="3676">
      <x:c r="G3676" t="str">
        <x:v>CDV-YAK</x:v>
      </x:c>
      <x:c r="H3676" t="str">
        <x:v>CDV</x:v>
      </x:c>
      <x:c r="I3676" t="str">
        <x:v>YAK</x:v>
      </x:c>
      <x:c r="J3676" s="23" t="n">
        <x:v>1087</x:v>
      </x:c>
      <x:c r="K3676" s="24" t="n">
        <x:v>0.14259429622815087</x:v>
      </x:c>
      <x:c r="L3676" s="24" t="n">
        <x:v>0.011039558417663294</x:v>
      </x:c>
    </x:row>
    <x:row r="3677">
      <x:c r="G3677" t="str">
        <x:v>MKE-STL</x:v>
      </x:c>
      <x:c r="H3677" t="str">
        <x:v>MKE</x:v>
      </x:c>
      <x:c r="I3677" t="str">
        <x:v>STL</x:v>
      </x:c>
      <x:c r="J3677" s="23" t="n">
        <x:v>2055</x:v>
      </x:c>
      <x:c r="K3677" s="24" t="n">
        <x:v>0.14257907542579076</x:v>
      </x:c>
      <x:c r="L3677" s="24" t="n">
        <x:v>0.0072992700729927005</x:v>
      </x:c>
    </x:row>
    <x:row r="3678">
      <x:c r="G3678" t="str">
        <x:v>GSP-MIA</x:v>
      </x:c>
      <x:c r="H3678" t="str">
        <x:v>GSP</x:v>
      </x:c>
      <x:c r="I3678" t="str">
        <x:v>MIA</x:v>
      </x:c>
      <x:c r="J3678" s="23" t="n">
        <x:v>1466</x:v>
      </x:c>
      <x:c r="K3678" s="24" t="n">
        <x:v>0.14256480218281037</x:v>
      </x:c>
      <x:c r="L3678" s="24" t="n">
        <x:v>0.004092769440654843</x:v>
      </x:c>
    </x:row>
    <x:row r="3679">
      <x:c r="G3679" t="str">
        <x:v>IAD-SLC</x:v>
      </x:c>
      <x:c r="H3679" t="str">
        <x:v>IAD</x:v>
      </x:c>
      <x:c r="I3679" t="str">
        <x:v>SLC</x:v>
      </x:c>
      <x:c r="J3679" s="23" t="n">
        <x:v>1459</x:v>
      </x:c>
      <x:c r="K3679" s="24" t="n">
        <x:v>0.14256339958875944</x:v>
      </x:c>
      <x:c r="L3679" s="24" t="n">
        <x:v>0.00616860863605209</x:v>
      </x:c>
    </x:row>
    <x:row r="3680">
      <x:c r="G3680" t="str">
        <x:v>HNL-PHX</x:v>
      </x:c>
      <x:c r="H3680" t="str">
        <x:v>HNL</x:v>
      </x:c>
      <x:c r="I3680" t="str">
        <x:v>PHX</x:v>
      </x:c>
      <x:c r="J3680" s="23" t="n">
        <x:v>3992</x:v>
      </x:c>
      <x:c r="K3680" s="24" t="n">
        <x:v>0.14253507014028055</x:v>
      </x:c>
      <x:c r="L3680" s="24" t="n">
        <x:v>0.0022545090180360722</x:v>
      </x:c>
    </x:row>
    <x:row r="3681">
      <x:c r="G3681" t="str">
        <x:v>SMF-OGG</x:v>
      </x:c>
      <x:c r="H3681" t="str">
        <x:v>SMF</x:v>
      </x:c>
      <x:c r="I3681" t="str">
        <x:v>OGG</x:v>
      </x:c>
      <x:c r="J3681" s="23" t="n">
        <x:v>1593</x:v>
      </x:c>
      <x:c r="K3681" s="24" t="n">
        <x:v>0.14249843063402384</x:v>
      </x:c>
      <x:c r="L3681" s="24" t="n">
        <x:v>0.004394224733207784</x:v>
      </x:c>
    </x:row>
    <x:row r="3682">
      <x:c r="G3682" t="str">
        <x:v>MQT-DTW</x:v>
      </x:c>
      <x:c r="H3682" t="str">
        <x:v>MQT</x:v>
      </x:c>
      <x:c r="I3682" t="str">
        <x:v>DTW</x:v>
      </x:c>
      <x:c r="J3682" s="23" t="n">
        <x:v>1095</x:v>
      </x:c>
      <x:c r="K3682" s="24" t="n">
        <x:v>0.14246575342465753</x:v>
      </x:c>
      <x:c r="L3682" s="24" t="n">
        <x:v>0.02009132420091324</x:v>
      </x:c>
    </x:row>
    <x:row r="3683">
      <x:c r="G3683" t="str">
        <x:v>MSP-INL</x:v>
      </x:c>
      <x:c r="H3683" t="str">
        <x:v>MSP</x:v>
      </x:c>
      <x:c r="I3683" t="str">
        <x:v>INL</x:v>
      </x:c>
      <x:c r="J3683" s="23" t="n">
        <x:v>1819</x:v>
      </x:c>
      <x:c r="K3683" s="24" t="n">
        <x:v>0.1423859263331501</x:v>
      </x:c>
      <x:c r="L3683" s="24" t="n">
        <x:v>0.010445299615173173</x:v>
      </x:c>
    </x:row>
    <x:row r="3684">
      <x:c r="G3684" t="str">
        <x:v>PHX-TUS</x:v>
      </x:c>
      <x:c r="H3684" t="str">
        <x:v>PHX</x:v>
      </x:c>
      <x:c r="I3684" t="str">
        <x:v>TUS</x:v>
      </x:c>
      <x:c r="J3684" s="23" t="n">
        <x:v>9039</x:v>
      </x:c>
      <x:c r="K3684" s="24" t="n">
        <x:v>0.14238300696979755</x:v>
      </x:c>
      <x:c r="L3684" s="24" t="n">
        <x:v>0.004093373160747871</x:v>
      </x:c>
    </x:row>
    <x:row r="3685">
      <x:c r="G3685" t="str">
        <x:v>SAT-SFO</x:v>
      </x:c>
      <x:c r="H3685" t="str">
        <x:v>SAT</x:v>
      </x:c>
      <x:c r="I3685" t="str">
        <x:v>SFO</x:v>
      </x:c>
      <x:c r="J3685" s="23" t="n">
        <x:v>1307</x:v>
      </x:c>
      <x:c r="K3685" s="24" t="n">
        <x:v>0.1423106350420811</x:v>
      </x:c>
      <x:c r="L3685" s="24" t="n">
        <x:v>0.006885998469778117</x:v>
      </x:c>
    </x:row>
    <x:row r="3686">
      <x:c r="G3686" t="str">
        <x:v>DTW-MCI</x:v>
      </x:c>
      <x:c r="H3686" t="str">
        <x:v>DTW</x:v>
      </x:c>
      <x:c r="I3686" t="str">
        <x:v>MCI</x:v>
      </x:c>
      <x:c r="J3686" s="23" t="n">
        <x:v>4042</x:v>
      </x:c>
      <x:c r="K3686" s="24" t="n">
        <x:v>0.14225630875804057</x:v>
      </x:c>
      <x:c r="L3686" s="24" t="n">
        <x:v>0.005937654626422563</x:v>
      </x:c>
    </x:row>
    <x:row r="3687">
      <x:c r="G3687" t="str">
        <x:v>DTW-GSO</x:v>
      </x:c>
      <x:c r="H3687" t="str">
        <x:v>DTW</x:v>
      </x:c>
      <x:c r="I3687" t="str">
        <x:v>GSO</x:v>
      </x:c>
      <x:c r="J3687" s="23" t="n">
        <x:v>1083</x:v>
      </x:c>
      <x:c r="K3687" s="24" t="n">
        <x:v>0.14219759926131118</x:v>
      </x:c>
      <x:c r="L3687" s="24" t="n">
        <x:v>0.007386888273314866</x:v>
      </x:c>
    </x:row>
    <x:row r="3688">
      <x:c r="G3688" t="str">
        <x:v>ATL-MSN</x:v>
      </x:c>
      <x:c r="H3688" t="str">
        <x:v>ATL</x:v>
      </x:c>
      <x:c r="I3688" t="str">
        <x:v>MSN</x:v>
      </x:c>
      <x:c r="J3688" s="23" t="n">
        <x:v>3060</x:v>
      </x:c>
      <x:c r="K3688" s="24" t="n">
        <x:v>0.14215686274509803</x:v>
      </x:c>
      <x:c r="L3688" s="24" t="n">
        <x:v>0.00849673202614379</x:v>
      </x:c>
    </x:row>
    <x:row r="3689">
      <x:c r="G3689" t="str">
        <x:v>IND-ATL</x:v>
      </x:c>
      <x:c r="H3689" t="str">
        <x:v>IND</x:v>
      </x:c>
      <x:c r="I3689" t="str">
        <x:v>ATL</x:v>
      </x:c>
      <x:c r="J3689" s="23" t="n">
        <x:v>9969</x:v>
      </x:c>
      <x:c r="K3689" s="24" t="n">
        <x:v>0.1420403250075233</x:v>
      </x:c>
      <x:c r="L3689" s="24" t="n">
        <x:v>0.007723944227104022</x:v>
      </x:c>
    </x:row>
    <x:row r="3690">
      <x:c r="G3690" t="str">
        <x:v>MSO-MSP</x:v>
      </x:c>
      <x:c r="H3690" t="str">
        <x:v>MSO</x:v>
      </x:c>
      <x:c r="I3690" t="str">
        <x:v>MSP</x:v>
      </x:c>
      <x:c r="J3690" s="23" t="n">
        <x:v>1402</x:v>
      </x:c>
      <x:c r="K3690" s="24" t="n">
        <x:v>0.1419400855920114</x:v>
      </x:c>
      <x:c r="L3690" s="24" t="n">
        <x:v>0.007132667617689016</x:v>
      </x:c>
    </x:row>
    <x:row r="3691">
      <x:c r="G3691" t="str">
        <x:v>DCA-PHX</x:v>
      </x:c>
      <x:c r="H3691" t="str">
        <x:v>DCA</x:v>
      </x:c>
      <x:c r="I3691" t="str">
        <x:v>PHX</x:v>
      </x:c>
      <x:c r="J3691" s="23" t="n">
        <x:v>3270</x:v>
      </x:c>
      <x:c r="K3691" s="24" t="n">
        <x:v>0.1418960244648318</x:v>
      </x:c>
      <x:c r="L3691" s="24" t="n">
        <x:v>0.00764525993883792</x:v>
      </x:c>
    </x:row>
    <x:row r="3692">
      <x:c r="G3692" t="str">
        <x:v>MLU-ATL</x:v>
      </x:c>
      <x:c r="H3692" t="str">
        <x:v>MLU</x:v>
      </x:c>
      <x:c r="I3692" t="str">
        <x:v>ATL</x:v>
      </x:c>
      <x:c r="J3692" s="23" t="n">
        <x:v>1621</x:v>
      </x:c>
      <x:c r="K3692" s="24" t="n">
        <x:v>0.1418877236273905</x:v>
      </x:c>
      <x:c r="L3692" s="24" t="n">
        <x:v>0.005552128315854411</x:v>
      </x:c>
    </x:row>
    <x:row r="3693">
      <x:c r="G3693" t="str">
        <x:v>KOA-SFO</x:v>
      </x:c>
      <x:c r="H3693" t="str">
        <x:v>KOA</x:v>
      </x:c>
      <x:c r="I3693" t="str">
        <x:v>SFO</x:v>
      </x:c>
      <x:c r="J3693" s="23" t="n">
        <x:v>2333</x:v>
      </x:c>
      <x:c r="K3693" s="24" t="n">
        <x:v>0.14187741105872267</x:v>
      </x:c>
      <x:c r="L3693" s="24" t="n">
        <x:v>0.011144449207029576</x:v>
      </x:c>
    </x:row>
    <x:row r="3694">
      <x:c r="G3694" t="str">
        <x:v>MSP-RHI</x:v>
      </x:c>
      <x:c r="H3694" t="str">
        <x:v>MSP</x:v>
      </x:c>
      <x:c r="I3694" t="str">
        <x:v>RHI</x:v>
      </x:c>
      <x:c r="J3694" s="23" t="n">
        <x:v>2277</x:v>
      </x:c>
      <x:c r="K3694" s="24" t="n">
        <x:v>0.14185331576635923</x:v>
      </x:c>
      <x:c r="L3694" s="24" t="n">
        <x:v>0.012736056214317084</x:v>
      </x:c>
    </x:row>
    <x:row r="3695">
      <x:c r="G3695" t="str">
        <x:v>LGA-DAY</x:v>
      </x:c>
      <x:c r="H3695" t="str">
        <x:v>LGA</x:v>
      </x:c>
      <x:c r="I3695" t="str">
        <x:v>DAY</x:v>
      </x:c>
      <x:c r="J3695" s="23" t="n">
        <x:v>1347</x:v>
      </x:c>
      <x:c r="K3695" s="24" t="n">
        <x:v>0.14179658500371195</x:v>
      </x:c>
      <x:c r="L3695" s="24" t="n">
        <x:v>0.0334075723830735</x:v>
      </x:c>
    </x:row>
    <x:row r="3696">
      <x:c r="G3696" t="str">
        <x:v>ISP-BWI</x:v>
      </x:c>
      <x:c r="H3696" t="str">
        <x:v>ISP</x:v>
      </x:c>
      <x:c r="I3696" t="str">
        <x:v>BWI</x:v>
      </x:c>
      <x:c r="J3696" s="23" t="n">
        <x:v>3901</x:v>
      </x:c>
      <x:c r="K3696" s="24" t="n">
        <x:v>0.14175852345552423</x:v>
      </x:c>
      <x:c r="L3696" s="24" t="n">
        <x:v>0.0066649577031530375</x:v>
      </x:c>
    </x:row>
    <x:row r="3697">
      <x:c r="G3697" t="str">
        <x:v>BUR-SMF</x:v>
      </x:c>
      <x:c r="H3697" t="str">
        <x:v>BUR</x:v>
      </x:c>
      <x:c r="I3697" t="str">
        <x:v>SMF</x:v>
      </x:c>
      <x:c r="J3697" s="23" t="n">
        <x:v>8578</x:v>
      </x:c>
      <x:c r="K3697" s="24" t="n">
        <x:v>0.14175798554441596</x:v>
      </x:c>
      <x:c r="L3697" s="24" t="n">
        <x:v>0.015971088831895547</x:v>
      </x:c>
    </x:row>
    <x:row r="3698">
      <x:c r="G3698" t="str">
        <x:v>GEG-SMF</x:v>
      </x:c>
      <x:c r="H3698" t="str">
        <x:v>GEG</x:v>
      </x:c>
      <x:c r="I3698" t="str">
        <x:v>SMF</x:v>
      </x:c>
      <x:c r="J3698" s="23" t="n">
        <x:v>1933</x:v>
      </x:c>
      <x:c r="K3698" s="24" t="n">
        <x:v>0.14174857734092086</x:v>
      </x:c>
      <x:c r="L3698" s="24" t="n">
        <x:v>0.0005173305742369374</x:v>
      </x:c>
    </x:row>
    <x:row r="3699">
      <x:c r="G3699" t="str">
        <x:v>ELP-AUS</x:v>
      </x:c>
      <x:c r="H3699" t="str">
        <x:v>ELP</x:v>
      </x:c>
      <x:c r="I3699" t="str">
        <x:v>AUS</x:v>
      </x:c>
      <x:c r="J3699" s="23" t="n">
        <x:v>4016</x:v>
      </x:c>
      <x:c r="K3699" s="24" t="n">
        <x:v>0.14168326693227093</x:v>
      </x:c>
      <x:c r="L3699" s="24" t="n">
        <x:v>0.007719123505976096</x:v>
      </x:c>
    </x:row>
    <x:row r="3700">
      <x:c r="G3700" t="str">
        <x:v>RIC-JFK</x:v>
      </x:c>
      <x:c r="H3700" t="str">
        <x:v>RIC</x:v>
      </x:c>
      <x:c r="I3700" t="str">
        <x:v>JFK</x:v>
      </x:c>
      <x:c r="J3700" s="23" t="n">
        <x:v>1821</x:v>
      </x:c>
      <x:c r="K3700" s="24" t="n">
        <x:v>0.1416803953871499</x:v>
      </x:c>
      <x:c r="L3700" s="24" t="n">
        <x:v>0.02416254805052169</x:v>
      </x:c>
    </x:row>
    <x:row r="3701">
      <x:c r="G3701" t="str">
        <x:v>SAN-MSP</x:v>
      </x:c>
      <x:c r="H3701" t="str">
        <x:v>SAN</x:v>
      </x:c>
      <x:c r="I3701" t="str">
        <x:v>MSP</x:v>
      </x:c>
      <x:c r="J3701" s="23" t="n">
        <x:v>3967</x:v>
      </x:c>
      <x:c r="K3701" s="24" t="n">
        <x:v>0.14166876733047643</x:v>
      </x:c>
      <x:c r="L3701" s="24" t="n">
        <x:v>0.005293672800604991</x:v>
      </x:c>
    </x:row>
    <x:row r="3702">
      <x:c r="G3702" t="str">
        <x:v>PSC-DEN</x:v>
      </x:c>
      <x:c r="H3702" t="str">
        <x:v>PSC</x:v>
      </x:c>
      <x:c r="I3702" t="str">
        <x:v>DEN</x:v>
      </x:c>
      <x:c r="J3702" s="23" t="n">
        <x:v>2189</x:v>
      </x:c>
      <x:c r="K3702" s="24" t="n">
        <x:v>0.1416171767930562</x:v>
      </x:c>
      <x:c r="L3702" s="24" t="n">
        <x:v>0.00548195523069895</x:v>
      </x:c>
    </x:row>
    <x:row r="3703">
      <x:c r="G3703" t="str">
        <x:v>LGA-MSP</x:v>
      </x:c>
      <x:c r="H3703" t="str">
        <x:v>LGA</x:v>
      </x:c>
      <x:c r="I3703" t="str">
        <x:v>MSP</x:v>
      </x:c>
      <x:c r="J3703" s="23" t="n">
        <x:v>6860</x:v>
      </x:c>
      <x:c r="K3703" s="24" t="n">
        <x:v>0.14154518950437317</x:v>
      </x:c>
      <x:c r="L3703" s="24" t="n">
        <x:v>0.015160349854227406</x:v>
      </x:c>
    </x:row>
    <x:row r="3704">
      <x:c r="G3704" t="str">
        <x:v>MHK-DFW</x:v>
      </x:c>
      <x:c r="H3704" t="str">
        <x:v>MHK</x:v>
      </x:c>
      <x:c r="I3704" t="str">
        <x:v>DFW</x:v>
      </x:c>
      <x:c r="J3704" s="23" t="n">
        <x:v>2665</x:v>
      </x:c>
      <x:c r="K3704" s="24" t="n">
        <x:v>0.14146341463414633</x:v>
      </x:c>
      <x:c r="L3704" s="24" t="n">
        <x:v>0.026641651031894933</x:v>
      </x:c>
    </x:row>
    <x:row r="3705">
      <x:c r="G3705" t="str">
        <x:v>DSM-IAH</x:v>
      </x:c>
      <x:c r="H3705" t="str">
        <x:v>DSM</x:v>
      </x:c>
      <x:c r="I3705" t="str">
        <x:v>IAH</x:v>
      </x:c>
      <x:c r="J3705" s="23" t="n">
        <x:v>1230</x:v>
      </x:c>
      <x:c r="K3705" s="24" t="n">
        <x:v>0.14146341463414633</x:v>
      </x:c>
      <x:c r="L3705" s="24" t="n">
        <x:v>0.02113821138211382</x:v>
      </x:c>
    </x:row>
    <x:row r="3706">
      <x:c r="G3706" t="str">
        <x:v>MYR-MDW</x:v>
      </x:c>
      <x:c r="H3706" t="str">
        <x:v>MYR</x:v>
      </x:c>
      <x:c r="I3706" t="str">
        <x:v>MDW</x:v>
      </x:c>
      <x:c r="J3706" s="23" t="n">
        <x:v>1308</x:v>
      </x:c>
      <x:c r="K3706" s="24" t="n">
        <x:v>0.14143730886850153</x:v>
      </x:c>
      <x:c r="L3706" s="24" t="n">
        <x:v>0.00764525993883792</x:v>
      </x:c>
    </x:row>
    <x:row r="3707">
      <x:c r="G3707" t="str">
        <x:v>LGA-PVD</x:v>
      </x:c>
      <x:c r="H3707" t="str">
        <x:v>LGA</x:v>
      </x:c>
      <x:c r="I3707" t="str">
        <x:v>PVD</x:v>
      </x:c>
      <x:c r="J3707" s="23" t="n">
        <x:v>1308</x:v>
      </x:c>
      <x:c r="K3707" s="24" t="n">
        <x:v>0.14143730886850153</x:v>
      </x:c>
      <x:c r="L3707" s="24" t="n">
        <x:v>0.026758409785932722</x:v>
      </x:c>
    </x:row>
    <x:row r="3708">
      <x:c r="G3708" t="str">
        <x:v>CLE-IAH</x:v>
      </x:c>
      <x:c r="H3708" t="str">
        <x:v>CLE</x:v>
      </x:c>
      <x:c r="I3708" t="str">
        <x:v>IAH</x:v>
      </x:c>
      <x:c r="J3708" s="23" t="n">
        <x:v>3112</x:v>
      </x:c>
      <x:c r="K3708" s="24" t="n">
        <x:v>0.14138817480719795</x:v>
      </x:c>
      <x:c r="L3708" s="24" t="n">
        <x:v>0.008033419023136246</x:v>
      </x:c>
    </x:row>
    <x:row r="3709">
      <x:c r="G3709" t="str">
        <x:v>ANC-JNU</x:v>
      </x:c>
      <x:c r="H3709" t="str">
        <x:v>ANC</x:v>
      </x:c>
      <x:c r="I3709" t="str">
        <x:v>JNU</x:v>
      </x:c>
      <x:c r="J3709" s="23" t="n">
        <x:v>3630</x:v>
      </x:c>
      <x:c r="K3709" s="24" t="n">
        <x:v>0.14132231404958678</x:v>
      </x:c>
      <x:c r="L3709" s="24" t="n">
        <x:v>0.004407713498622589</x:v>
      </x:c>
    </x:row>
    <x:row r="3710">
      <x:c r="G3710" t="str">
        <x:v>DTW-TYS</x:v>
      </x:c>
      <x:c r="H3710" t="str">
        <x:v>DTW</x:v>
      </x:c>
      <x:c r="I3710" t="str">
        <x:v>TYS</x:v>
      </x:c>
      <x:c r="J3710" s="23" t="n">
        <x:v>1012</x:v>
      </x:c>
      <x:c r="K3710" s="24" t="n">
        <x:v>0.14130434782608695</x:v>
      </x:c>
      <x:c r="L3710" s="24" t="n">
        <x:v>0.008893280632411068</x:v>
      </x:c>
    </x:row>
    <x:row r="3711">
      <x:c r="G3711" t="str">
        <x:v>PDX-IAH</x:v>
      </x:c>
      <x:c r="H3711" t="str">
        <x:v>PDX</x:v>
      </x:c>
      <x:c r="I3711" t="str">
        <x:v>IAH</x:v>
      </x:c>
      <x:c r="J3711" s="23" t="n">
        <x:v>2813</x:v>
      </x:c>
      <x:c r="K3711" s="24" t="n">
        <x:v>0.14113046569498755</x:v>
      </x:c>
      <x:c r="L3711" s="24" t="n">
        <x:v>0.014930678990401706</x:v>
      </x:c>
    </x:row>
    <x:row r="3712">
      <x:c r="G3712" t="str">
        <x:v>LAX-RNO</x:v>
      </x:c>
      <x:c r="H3712" t="str">
        <x:v>LAX</x:v>
      </x:c>
      <x:c r="I3712" t="str">
        <x:v>RNO</x:v>
      </x:c>
      <x:c r="J3712" s="23" t="n">
        <x:v>8079</x:v>
      </x:c>
      <x:c r="K3712" s="24" t="n">
        <x:v>0.14110657259561826</x:v>
      </x:c>
      <x:c r="L3712" s="24" t="n">
        <x:v>0.0051986632008912</x:v>
      </x:c>
    </x:row>
    <x:row r="3713">
      <x:c r="G3713" t="str">
        <x:v>LAX-ACV</x:v>
      </x:c>
      <x:c r="H3713" t="str">
        <x:v>LAX</x:v>
      </x:c>
      <x:c r="I3713" t="str">
        <x:v>ACV</x:v>
      </x:c>
      <x:c r="J3713" s="23" t="n">
        <x:v>1085</x:v>
      </x:c>
      <x:c r="K3713" s="24" t="n">
        <x:v>0.14101382488479264</x:v>
      </x:c>
      <x:c r="L3713" s="24" t="n">
        <x:v>0.0027649769585253456</x:v>
      </x:c>
    </x:row>
    <x:row r="3714">
      <x:c r="G3714" t="str">
        <x:v>OMA-LGA</x:v>
      </x:c>
      <x:c r="H3714" t="str">
        <x:v>OMA</x:v>
      </x:c>
      <x:c r="I3714" t="str">
        <x:v>LGA</x:v>
      </x:c>
      <x:c r="J3714" s="23" t="n">
        <x:v>2993</x:v>
      </x:c>
      <x:c r="K3714" s="24" t="n">
        <x:v>0.1409956565319078</x:v>
      </x:c>
      <x:c r="L3714" s="24" t="n">
        <x:v>0.02906782492482459</x:v>
      </x:c>
    </x:row>
    <x:row r="3715">
      <x:c r="G3715" t="str">
        <x:v>LAX-MSP</x:v>
      </x:c>
      <x:c r="H3715" t="str">
        <x:v>LAX</x:v>
      </x:c>
      <x:c r="I3715" t="str">
        <x:v>MSP</x:v>
      </x:c>
      <x:c r="J3715" s="23" t="n">
        <x:v>6967</x:v>
      </x:c>
      <x:c r="K3715" s="24" t="n">
        <x:v>0.14095019377063298</x:v>
      </x:c>
      <x:c r="L3715" s="24" t="n">
        <x:v>0.0070331563083106076</x:v>
      </x:c>
    </x:row>
    <x:row r="3716">
      <x:c r="G3716" t="str">
        <x:v>CMH-BNA</x:v>
      </x:c>
      <x:c r="H3716" t="str">
        <x:v>CMH</x:v>
      </x:c>
      <x:c r="I3716" t="str">
        <x:v>BNA</x:v>
      </x:c>
      <x:c r="J3716" s="23" t="n">
        <x:v>2448</x:v>
      </x:c>
      <x:c r="K3716" s="24" t="n">
        <x:v>0.1409313725490196</x:v>
      </x:c>
      <x:c r="L3716" s="24" t="n">
        <x:v>0.006944444444444444</x:v>
      </x:c>
    </x:row>
    <x:row r="3717">
      <x:c r="G3717" t="str">
        <x:v>BNA-MSP</x:v>
      </x:c>
      <x:c r="H3717" t="str">
        <x:v>BNA</x:v>
      </x:c>
      <x:c r="I3717" t="str">
        <x:v>MSP</x:v>
      </x:c>
      <x:c r="J3717" s="23" t="n">
        <x:v>4883</x:v>
      </x:c>
      <x:c r="K3717" s="24" t="n">
        <x:v>0.14089698955560107</x:v>
      </x:c>
      <x:c r="L3717" s="24" t="n">
        <x:v>0.008601269711243089</x:v>
      </x:c>
    </x:row>
    <x:row r="3718">
      <x:c r="G3718" t="str">
        <x:v>SLC-JAC</x:v>
      </x:c>
      <x:c r="H3718" t="str">
        <x:v>SLC</x:v>
      </x:c>
      <x:c r="I3718" t="str">
        <x:v>JAC</x:v>
      </x:c>
      <x:c r="J3718" s="23" t="n">
        <x:v>3322</x:v>
      </x:c>
      <x:c r="K3718" s="24" t="n">
        <x:v>0.14087898856110775</x:v>
      </x:c>
      <x:c r="L3718" s="24" t="n">
        <x:v>0.006321493076459964</x:v>
      </x:c>
    </x:row>
    <x:row r="3719">
      <x:c r="G3719" t="str">
        <x:v>BUR-AUS</x:v>
      </x:c>
      <x:c r="H3719" t="str">
        <x:v>BUR</x:v>
      </x:c>
      <x:c r="I3719" t="str">
        <x:v>AUS</x:v>
      </x:c>
      <x:c r="J3719" s="23" t="n">
        <x:v>1165</x:v>
      </x:c>
      <x:c r="K3719" s="24" t="n">
        <x:v>0.1407725321888412</x:v>
      </x:c>
      <x:c r="L3719" s="24" t="n">
        <x:v>0.005150214592274678</x:v>
      </x:c>
    </x:row>
    <x:row r="3720">
      <x:c r="G3720" t="str">
        <x:v>SLC-RDU</x:v>
      </x:c>
      <x:c r="H3720" t="str">
        <x:v>SLC</x:v>
      </x:c>
      <x:c r="I3720" t="str">
        <x:v>RDU</x:v>
      </x:c>
      <x:c r="J3720" s="23" t="n">
        <x:v>1222</x:v>
      </x:c>
      <x:c r="K3720" s="24" t="n">
        <x:v>0.1407528641571195</x:v>
      </x:c>
      <x:c r="L3720" s="24" t="n">
        <x:v>0.008183306055646482</x:v>
      </x:c>
    </x:row>
    <x:row r="3721">
      <x:c r="G3721" t="str">
        <x:v>LAX-OGG</x:v>
      </x:c>
      <x:c r="H3721" t="str">
        <x:v>LAX</x:v>
      </x:c>
      <x:c r="I3721" t="str">
        <x:v>OGG</x:v>
      </x:c>
      <x:c r="J3721" s="23" t="n">
        <x:v>6602</x:v>
      </x:c>
      <x:c r="K3721" s="24" t="n">
        <x:v>0.14071493486822176</x:v>
      </x:c>
      <x:c r="L3721" s="24" t="n">
        <x:v>0.0071190548318691305</x:v>
      </x:c>
    </x:row>
    <x:row r="3722">
      <x:c r="G3722" t="str">
        <x:v>ABE-CLT</x:v>
      </x:c>
      <x:c r="H3722" t="str">
        <x:v>ABE</x:v>
      </x:c>
      <x:c r="I3722" t="str">
        <x:v>CLT</x:v>
      </x:c>
      <x:c r="J3722" s="23" t="n">
        <x:v>3177</x:v>
      </x:c>
      <x:c r="K3722" s="24" t="n">
        <x:v>0.14069877242681775</x:v>
      </x:c>
      <x:c r="L3722" s="24" t="n">
        <x:v>0.015738117721120555</x:v>
      </x:c>
    </x:row>
    <x:row r="3723">
      <x:c r="G3723" t="str">
        <x:v>LAS-MFE</x:v>
      </x:c>
      <x:c r="H3723" t="str">
        <x:v>LAS</x:v>
      </x:c>
      <x:c r="I3723" t="str">
        <x:v>MFE</x:v>
      </x:c>
      <x:c r="J3723" s="23" t="n">
        <x:v>1123</x:v>
      </x:c>
      <x:c r="K3723" s="24" t="n">
        <x:v>0.14069456812110417</x:v>
      </x:c>
      <x:c r="L3723" s="24" t="n">
        <x:v>0.0008904719501335708</x:v>
      </x:c>
    </x:row>
    <x:row r="3724">
      <x:c r="G3724" t="str">
        <x:v>OMA-DCA</x:v>
      </x:c>
      <x:c r="H3724" t="str">
        <x:v>OMA</x:v>
      </x:c>
      <x:c r="I3724" t="str">
        <x:v>DCA</x:v>
      </x:c>
      <x:c r="J3724" s="23" t="n">
        <x:v>1934</x:v>
      </x:c>
      <x:c r="K3724" s="24" t="n">
        <x:v>0.140641158221303</x:v>
      </x:c>
      <x:c r="L3724" s="24" t="n">
        <x:v>0.008790072388831437</x:v>
      </x:c>
    </x:row>
    <x:row r="3725">
      <x:c r="G3725" t="str">
        <x:v>PHL-LGA</x:v>
      </x:c>
      <x:c r="H3725" t="str">
        <x:v>PHL</x:v>
      </x:c>
      <x:c r="I3725" t="str">
        <x:v>LGA</x:v>
      </x:c>
      <x:c r="J3725" s="23" t="n">
        <x:v>1750</x:v>
      </x:c>
      <x:c r="K3725" s="24" t="n">
        <x:v>0.14057142857142857</x:v>
      </x:c>
      <x:c r="L3725" s="24" t="n">
        <x:v>0.025142857142857144</x:v>
      </x:c>
    </x:row>
    <x:row r="3726">
      <x:c r="G3726" t="str">
        <x:v>VPS-ATL</x:v>
      </x:c>
      <x:c r="H3726" t="str">
        <x:v>VPS</x:v>
      </x:c>
      <x:c r="I3726" t="str">
        <x:v>ATL</x:v>
      </x:c>
      <x:c r="J3726" s="23" t="n">
        <x:v>6525</x:v>
      </x:c>
      <x:c r="K3726" s="24" t="n">
        <x:v>0.14053639846743296</x:v>
      </x:c>
      <x:c r="L3726" s="24" t="n">
        <x:v>0.013026819923371647</x:v>
      </x:c>
    </x:row>
    <x:row r="3727">
      <x:c r="G3727" t="str">
        <x:v>ATL-DSM</x:v>
      </x:c>
      <x:c r="H3727" t="str">
        <x:v>ATL</x:v>
      </x:c>
      <x:c r="I3727" t="str">
        <x:v>DSM</x:v>
      </x:c>
      <x:c r="J3727" s="23" t="n">
        <x:v>3509</x:v>
      </x:c>
      <x:c r="K3727" s="24" t="n">
        <x:v>0.14049586776859505</x:v>
      </x:c>
      <x:c r="L3727" s="24" t="n">
        <x:v>0.00968937019093759</x:v>
      </x:c>
    </x:row>
    <x:row r="3728">
      <x:c r="G3728" t="str">
        <x:v>ROC-EWR</x:v>
      </x:c>
      <x:c r="H3728" t="str">
        <x:v>ROC</x:v>
      </x:c>
      <x:c r="I3728" t="str">
        <x:v>EWR</x:v>
      </x:c>
      <x:c r="J3728" s="23" t="n">
        <x:v>1808</x:v>
      </x:c>
      <x:c r="K3728" s="24" t="n">
        <x:v>0.1404867256637168</x:v>
      </x:c>
      <x:c r="L3728" s="24" t="n">
        <x:v>0.03871681415929203</x:v>
      </x:c>
    </x:row>
    <x:row r="3729">
      <x:c r="G3729" t="str">
        <x:v>ATL-ILM</x:v>
      </x:c>
      <x:c r="H3729" t="str">
        <x:v>ATL</x:v>
      </x:c>
      <x:c r="I3729" t="str">
        <x:v>ILM</x:v>
      </x:c>
      <x:c r="J3729" s="23" t="n">
        <x:v>3512</x:v>
      </x:c>
      <x:c r="K3729" s="24" t="n">
        <x:v>0.14037585421412302</x:v>
      </x:c>
      <x:c r="L3729" s="24" t="n">
        <x:v>0.0071184510250569474</x:v>
      </x:c>
    </x:row>
    <x:row r="3730">
      <x:c r="G3730" t="str">
        <x:v>ATL-SJC</x:v>
      </x:c>
      <x:c r="H3730" t="str">
        <x:v>ATL</x:v>
      </x:c>
      <x:c r="I3730" t="str">
        <x:v>SJC</x:v>
      </x:c>
      <x:c r="J3730" s="23" t="n">
        <x:v>2487</x:v>
      </x:c>
      <x:c r="K3730" s="24" t="n">
        <x:v>0.14032971451548049</x:v>
      </x:c>
      <x:c r="L3730" s="24" t="n">
        <x:v>0.008041817450743867</x:v>
      </x:c>
    </x:row>
    <x:row r="3731">
      <x:c r="G3731" t="str">
        <x:v>SNA-SJC</x:v>
      </x:c>
      <x:c r="H3731" t="str">
        <x:v>SNA</x:v>
      </x:c>
      <x:c r="I3731" t="str">
        <x:v>SJC</x:v>
      </x:c>
      <x:c r="J3731" s="23" t="n">
        <x:v>8096</x:v>
      </x:c>
      <x:c r="K3731" s="24" t="n">
        <x:v>0.14031620553359683</x:v>
      </x:c>
      <x:c r="L3731" s="24" t="n">
        <x:v>0.009263833992094862</x:v>
      </x:c>
    </x:row>
    <x:row r="3732">
      <x:c r="G3732" t="str">
        <x:v>MSP-CWA</x:v>
      </x:c>
      <x:c r="H3732" t="str">
        <x:v>MSP</x:v>
      </x:c>
      <x:c r="I3732" t="str">
        <x:v>CWA</x:v>
      </x:c>
      <x:c r="J3732" s="23" t="n">
        <x:v>1461</x:v>
      </x:c>
      <x:c r="K3732" s="24" t="n">
        <x:v>0.1403148528405202</x:v>
      </x:c>
      <x:c r="L3732" s="24" t="n">
        <x:v>0.009582477754962354</x:v>
      </x:c>
    </x:row>
    <x:row r="3733">
      <x:c r="G3733" t="str">
        <x:v>SAT-SLC</x:v>
      </x:c>
      <x:c r="H3733" t="str">
        <x:v>SAT</x:v>
      </x:c>
      <x:c r="I3733" t="str">
        <x:v>SLC</x:v>
      </x:c>
      <x:c r="J3733" s="23" t="n">
        <x:v>3058</x:v>
      </x:c>
      <x:c r="K3733" s="24" t="n">
        <x:v>0.14028776978417265</x:v>
      </x:c>
      <x:c r="L3733" s="24" t="n">
        <x:v>0.007521255722694572</x:v>
      </x:c>
    </x:row>
    <x:row r="3734">
      <x:c r="G3734" t="str">
        <x:v>DTW-CVG</x:v>
      </x:c>
      <x:c r="H3734" t="str">
        <x:v>DTW</x:v>
      </x:c>
      <x:c r="I3734" t="str">
        <x:v>CVG</x:v>
      </x:c>
      <x:c r="J3734" s="23" t="n">
        <x:v>2790</x:v>
      </x:c>
      <x:c r="K3734" s="24" t="n">
        <x:v>0.14014336917562725</x:v>
      </x:c>
      <x:c r="L3734" s="24" t="n">
        <x:v>0.005017921146953405</x:v>
      </x:c>
    </x:row>
    <x:row r="3735">
      <x:c r="G3735" t="str">
        <x:v>JFK-ORH</x:v>
      </x:c>
      <x:c r="H3735" t="str">
        <x:v>JFK</x:v>
      </x:c>
      <x:c r="I3735" t="str">
        <x:v>ORH</x:v>
      </x:c>
      <x:c r="J3735" s="23" t="n">
        <x:v>1228</x:v>
      </x:c>
      <x:c r="K3735" s="24" t="n">
        <x:v>0.14006514657980457</x:v>
      </x:c>
      <x:c r="L3735" s="24" t="n">
        <x:v>0.026058631921824105</x:v>
      </x:c>
    </x:row>
    <x:row r="3736">
      <x:c r="G3736" t="str">
        <x:v>TYS-LGA</x:v>
      </x:c>
      <x:c r="H3736" t="str">
        <x:v>TYS</x:v>
      </x:c>
      <x:c r="I3736" t="str">
        <x:v>LGA</x:v>
      </x:c>
      <x:c r="J3736" s="23" t="n">
        <x:v>3163</x:v>
      </x:c>
      <x:c r="K3736" s="24" t="n">
        <x:v>0.14005690799873538</x:v>
      </x:c>
      <x:c r="L3736" s="24" t="n">
        <x:v>0.03540942143534619</x:v>
      </x:c>
    </x:row>
    <x:row r="3737">
      <x:c r="G3737" t="str">
        <x:v>CLE-STL</x:v>
      </x:c>
      <x:c r="H3737" t="str">
        <x:v>CLE</x:v>
      </x:c>
      <x:c r="I3737" t="str">
        <x:v>STL</x:v>
      </x:c>
      <x:c r="J3737" s="23" t="n">
        <x:v>2115</x:v>
      </x:c>
      <x:c r="K3737" s="24" t="n">
        <x:v>0.13995271867612294</x:v>
      </x:c>
      <x:c r="L3737" s="24" t="n">
        <x:v>0.0070921985815602835</x:v>
      </x:c>
    </x:row>
    <x:row r="3738">
      <x:c r="G3738" t="str">
        <x:v>PVD-LGA</x:v>
      </x:c>
      <x:c r="H3738" t="str">
        <x:v>PVD</x:v>
      </x:c>
      <x:c r="I3738" t="str">
        <x:v>LGA</x:v>
      </x:c>
      <x:c r="J3738" s="23" t="n">
        <x:v>1309</x:v>
      </x:c>
      <x:c r="K3738" s="24" t="n">
        <x:v>0.13980137509549273</x:v>
      </x:c>
      <x:c r="L3738" s="24" t="n">
        <x:v>0.02750190985485103</x:v>
      </x:c>
    </x:row>
    <x:row r="3739">
      <x:c r="G3739" t="str">
        <x:v>SJC-MDW</x:v>
      </x:c>
      <x:c r="H3739" t="str">
        <x:v>SJC</x:v>
      </x:c>
      <x:c r="I3739" t="str">
        <x:v>MDW</x:v>
      </x:c>
      <x:c r="J3739" s="23" t="n">
        <x:v>1624</x:v>
      </x:c>
      <x:c r="K3739" s="24" t="n">
        <x:v>0.13977832512315272</x:v>
      </x:c>
      <x:c r="L3739" s="24" t="n">
        <x:v>0.0018472906403940886</x:v>
      </x:c>
    </x:row>
    <x:row r="3740">
      <x:c r="G3740" t="str">
        <x:v>LGB-STL</x:v>
      </x:c>
      <x:c r="H3740" t="str">
        <x:v>LGB</x:v>
      </x:c>
      <x:c r="I3740" t="str">
        <x:v>STL</x:v>
      </x:c>
      <x:c r="J3740" s="23" t="n">
        <x:v>1002</x:v>
      </x:c>
      <x:c r="K3740" s="24" t="n">
        <x:v>0.13972055888223553</x:v>
      </x:c>
      <x:c r="L3740" s="24" t="n">
        <x:v>0.001996007984031936</x:v>
      </x:c>
    </x:row>
    <x:row r="3741">
      <x:c r="G3741" t="str">
        <x:v>STL-DTW</x:v>
      </x:c>
      <x:c r="H3741" t="str">
        <x:v>STL</x:v>
      </x:c>
      <x:c r="I3741" t="str">
        <x:v>DTW</x:v>
      </x:c>
      <x:c r="J3741" s="23" t="n">
        <x:v>5677</x:v>
      </x:c>
      <x:c r="K3741" s="24" t="n">
        <x:v>0.1396864541130879</x:v>
      </x:c>
      <x:c r="L3741" s="24" t="n">
        <x:v>0.007222124361458517</x:v>
      </x:c>
    </x:row>
    <x:row r="3742">
      <x:c r="G3742" t="str">
        <x:v>GEG-ATL</x:v>
      </x:c>
      <x:c r="H3742" t="str">
        <x:v>GEG</x:v>
      </x:c>
      <x:c r="I3742" t="str">
        <x:v>ATL</x:v>
      </x:c>
      <x:c r="J3742" s="23" t="n">
        <x:v>1425</x:v>
      </x:c>
      <x:c r="K3742" s="24" t="n">
        <x:v>0.13964912280701755</x:v>
      </x:c>
      <x:c r="L3742" s="24" t="n">
        <x:v>0.011228070175438596</x:v>
      </x:c>
    </x:row>
    <x:row r="3743">
      <x:c r="G3743" t="str">
        <x:v>GJT-PHX</x:v>
      </x:c>
      <x:c r="H3743" t="str">
        <x:v>GJT</x:v>
      </x:c>
      <x:c r="I3743" t="str">
        <x:v>PHX</x:v>
      </x:c>
      <x:c r="J3743" s="23" t="n">
        <x:v>3037</x:v>
      </x:c>
      <x:c r="K3743" s="24" t="n">
        <x:v>0.13961145867632532</x:v>
      </x:c>
      <x:c r="L3743" s="24" t="n">
        <x:v>0.003951267698386566</x:v>
      </x:c>
    </x:row>
    <x:row r="3744">
      <x:c r="G3744" t="str">
        <x:v>ELP-DAL</x:v>
      </x:c>
      <x:c r="H3744" t="str">
        <x:v>ELP</x:v>
      </x:c>
      <x:c r="I3744" t="str">
        <x:v>DAL</x:v>
      </x:c>
      <x:c r="J3744" s="23" t="n">
        <x:v>5237</x:v>
      </x:c>
      <x:c r="K3744" s="24" t="n">
        <x:v>0.1395837311437846</x:v>
      </x:c>
      <x:c r="L3744" s="24" t="n">
        <x:v>0.01164789001336643</x:v>
      </x:c>
    </x:row>
    <x:row r="3745">
      <x:c r="G3745" t="str">
        <x:v>SNA-SLC</x:v>
      </x:c>
      <x:c r="H3745" t="str">
        <x:v>SNA</x:v>
      </x:c>
      <x:c r="I3745" t="str">
        <x:v>SLC</x:v>
      </x:c>
      <x:c r="J3745" s="23" t="n">
        <x:v>5073</x:v>
      </x:c>
      <x:c r="K3745" s="24" t="n">
        <x:v>0.13956238911886457</x:v>
      </x:c>
      <x:c r="L3745" s="24" t="n">
        <x:v>0.0033510743150009857</x:v>
      </x:c>
    </x:row>
    <x:row r="3746">
      <x:c r="G3746" t="str">
        <x:v>MSN-EWR</x:v>
      </x:c>
      <x:c r="H3746" t="str">
        <x:v>MSN</x:v>
      </x:c>
      <x:c r="I3746" t="str">
        <x:v>EWR</x:v>
      </x:c>
      <x:c r="J3746" s="23" t="n">
        <x:v>1118</x:v>
      </x:c>
      <x:c r="K3746" s="24" t="n">
        <x:v>0.13953488372093023</x:v>
      </x:c>
      <x:c r="L3746" s="24" t="n">
        <x:v>0.023255813953488372</x:v>
      </x:c>
    </x:row>
    <x:row r="3747">
      <x:c r="G3747" t="str">
        <x:v>SAT-MSY</x:v>
      </x:c>
      <x:c r="H3747" t="str">
        <x:v>SAT</x:v>
      </x:c>
      <x:c r="I3747" t="str">
        <x:v>MSY</x:v>
      </x:c>
      <x:c r="J3747" s="23" t="n">
        <x:v>1177</x:v>
      </x:c>
      <x:c r="K3747" s="24" t="n">
        <x:v>0.1393372982158029</x:v>
      </x:c>
      <x:c r="L3747" s="24" t="n">
        <x:v>0.002548853016142736</x:v>
      </x:c>
    </x:row>
    <x:row r="3748">
      <x:c r="G3748" t="str">
        <x:v>MSP-MOT</x:v>
      </x:c>
      <x:c r="H3748" t="str">
        <x:v>MSP</x:v>
      </x:c>
      <x:c r="I3748" t="str">
        <x:v>MOT</x:v>
      </x:c>
      <x:c r="J3748" s="23" t="n">
        <x:v>3917</x:v>
      </x:c>
      <x:c r="K3748" s="24" t="n">
        <x:v>0.13913709471534338</x:v>
      </x:c>
      <x:c r="L3748" s="24" t="n">
        <x:v>0.013020168496298187</x:v>
      </x:c>
    </x:row>
    <x:row r="3749">
      <x:c r="G3749" t="str">
        <x:v>PIT-EWR</x:v>
      </x:c>
      <x:c r="H3749" t="str">
        <x:v>PIT</x:v>
      </x:c>
      <x:c r="I3749" t="str">
        <x:v>EWR</x:v>
      </x:c>
      <x:c r="J3749" s="23" t="n">
        <x:v>7324</x:v>
      </x:c>
      <x:c r="K3749" s="24" t="n">
        <x:v>0.13913162206444565</x:v>
      </x:c>
      <x:c r="L3749" s="24" t="n">
        <x:v>0.03427089022392135</x:v>
      </x:c>
    </x:row>
    <x:row r="3750">
      <x:c r="G3750" t="str">
        <x:v>LGB-SJC</x:v>
      </x:c>
      <x:c r="H3750" t="str">
        <x:v>LGB</x:v>
      </x:c>
      <x:c r="I3750" t="str">
        <x:v>SJC</x:v>
      </x:c>
      <x:c r="J3750" s="23" t="n">
        <x:v>3932</x:v>
      </x:c>
      <x:c r="K3750" s="24" t="n">
        <x:v>0.1391149542217701</x:v>
      </x:c>
      <x:c r="L3750" s="24" t="n">
        <x:v>0.005849440488301119</x:v>
      </x:c>
    </x:row>
    <x:row r="3751">
      <x:c r="G3751" t="str">
        <x:v>SLC-MDW</x:v>
      </x:c>
      <x:c r="H3751" t="str">
        <x:v>SLC</x:v>
      </x:c>
      <x:c r="I3751" t="str">
        <x:v>MDW</x:v>
      </x:c>
      <x:c r="J3751" s="23" t="n">
        <x:v>2008</x:v>
      </x:c>
      <x:c r="K3751" s="24" t="n">
        <x:v>0.1389442231075697</x:v>
      </x:c>
      <x:c r="L3751" s="24" t="n">
        <x:v>0.0069721115537848604</x:v>
      </x:c>
    </x:row>
    <x:row r="3752">
      <x:c r="G3752" t="str">
        <x:v>GEG-SJC</x:v>
      </x:c>
      <x:c r="H3752" t="str">
        <x:v>GEG</x:v>
      </x:c>
      <x:c r="I3752" t="str">
        <x:v>SJC</x:v>
      </x:c>
      <x:c r="J3752" s="23" t="n">
        <x:v>1181</x:v>
      </x:c>
      <x:c r="K3752" s="24" t="n">
        <x:v>0.1388653683319221</x:v>
      </x:c>
      <x:c r="L3752" s="24" t="n">
        <x:v>0.002540220152413209</x:v>
      </x:c>
    </x:row>
    <x:row r="3753">
      <x:c r="G3753" t="str">
        <x:v>KOA-HNL</x:v>
      </x:c>
      <x:c r="H3753" t="str">
        <x:v>KOA</x:v>
      </x:c>
      <x:c r="I3753" t="str">
        <x:v>HNL</x:v>
      </x:c>
      <x:c r="J3753" s="23" t="n">
        <x:v>23737</x:v>
      </x:c>
      <x:c r="K3753" s="24" t="n">
        <x:v>0.13885495218435354</x:v>
      </x:c>
      <x:c r="L3753" s="24" t="n">
        <x:v>0.010489952394995155</x:v>
      </x:c>
    </x:row>
    <x:row r="3754">
      <x:c r="G3754" t="str">
        <x:v>BOI-OAK</x:v>
      </x:c>
      <x:c r="H3754" t="str">
        <x:v>BOI</x:v>
      </x:c>
      <x:c r="I3754" t="str">
        <x:v>OAK</x:v>
      </x:c>
      <x:c r="J3754" s="23" t="n">
        <x:v>2003</x:v>
      </x:c>
      <x:c r="K3754" s="24" t="n">
        <x:v>0.13879181228157764</x:v>
      </x:c>
      <x:c r="L3754" s="24" t="n">
        <x:v>0.00399400898652022</x:v>
      </x:c>
    </x:row>
    <x:row r="3755">
      <x:c r="G3755" t="str">
        <x:v>OAK-AUS</x:v>
      </x:c>
      <x:c r="H3755" t="str">
        <x:v>OAK</x:v>
      </x:c>
      <x:c r="I3755" t="str">
        <x:v>AUS</x:v>
      </x:c>
      <x:c r="J3755" s="23" t="n">
        <x:v>1096</x:v>
      </x:c>
      <x:c r="K3755" s="24" t="n">
        <x:v>0.1386861313868613</x:v>
      </x:c>
      <x:c r="L3755" s="24" t="n">
        <x:v>0.0036496350364963502</x:v>
      </x:c>
    </x:row>
    <x:row r="3756">
      <x:c r="G3756" t="str">
        <x:v>MAF-IAH</x:v>
      </x:c>
      <x:c r="H3756" t="str">
        <x:v>MAF</x:v>
      </x:c>
      <x:c r="I3756" t="str">
        <x:v>IAH</x:v>
      </x:c>
      <x:c r="J3756" s="23" t="n">
        <x:v>2279</x:v>
      </x:c>
      <x:c r="K3756" s="24" t="n">
        <x:v>0.13865730583589295</x:v>
      </x:c>
      <x:c r="L3756" s="24" t="n">
        <x:v>0.014041246160596753</x:v>
      </x:c>
    </x:row>
    <x:row r="3757">
      <x:c r="G3757" t="str">
        <x:v>TUL-DAL</x:v>
      </x:c>
      <x:c r="H3757" t="str">
        <x:v>TUL</x:v>
      </x:c>
      <x:c r="I3757" t="str">
        <x:v>DAL</x:v>
      </x:c>
      <x:c r="J3757" s="23" t="n">
        <x:v>3469</x:v>
      </x:c>
      <x:c r="K3757" s="24" t="n">
        <x:v>0.13865667339290863</x:v>
      </x:c>
      <x:c r="L3757" s="24" t="n">
        <x:v>0.012107235514557509</x:v>
      </x:c>
    </x:row>
    <x:row r="3758">
      <x:c r="G3758" t="str">
        <x:v>SLC-BZN</x:v>
      </x:c>
      <x:c r="H3758" t="str">
        <x:v>SLC</x:v>
      </x:c>
      <x:c r="I3758" t="str">
        <x:v>BZN</x:v>
      </x:c>
      <x:c r="J3758" s="23" t="n">
        <x:v>3456</x:v>
      </x:c>
      <x:c r="K3758" s="24" t="n">
        <x:v>0.13859953703703703</x:v>
      </x:c>
      <x:c r="L3758" s="24" t="n">
        <x:v>0.006076388888888889</x:v>
      </x:c>
    </x:row>
    <x:row r="3759">
      <x:c r="G3759" t="str">
        <x:v>LAX-FAT</x:v>
      </x:c>
      <x:c r="H3759" t="str">
        <x:v>LAX</x:v>
      </x:c>
      <x:c r="I3759" t="str">
        <x:v>FAT</x:v>
      </x:c>
      <x:c r="J3759" s="23" t="n">
        <x:v>2303</x:v>
      </x:c>
      <x:c r="K3759" s="24" t="n">
        <x:v>0.13851498046026922</x:v>
      </x:c>
      <x:c r="L3759" s="24" t="n">
        <x:v>0.0017368649587494573</x:v>
      </x:c>
    </x:row>
    <x:row r="3760">
      <x:c r="G3760" t="str">
        <x:v>ROC-DTW</x:v>
      </x:c>
      <x:c r="H3760" t="str">
        <x:v>ROC</x:v>
      </x:c>
      <x:c r="I3760" t="str">
        <x:v>DTW</x:v>
      </x:c>
      <x:c r="J3760" s="23" t="n">
        <x:v>3083</x:v>
      </x:c>
      <x:c r="K3760" s="24" t="n">
        <x:v>0.1385014596172559</x:v>
      </x:c>
      <x:c r="L3760" s="24" t="n">
        <x:v>0.007135906584495621</x:v>
      </x:c>
    </x:row>
    <x:row r="3761">
      <x:c r="G3761" t="str">
        <x:v>JNU-SIT</x:v>
      </x:c>
      <x:c r="H3761" t="str">
        <x:v>JNU</x:v>
      </x:c>
      <x:c r="I3761" t="str">
        <x:v>SIT</x:v>
      </x:c>
      <x:c r="J3761" s="23" t="n">
        <x:v>2181</x:v>
      </x:c>
      <x:c r="K3761" s="24" t="n">
        <x:v>0.13846859238881248</x:v>
      </x:c>
      <x:c r="L3761" s="24" t="n">
        <x:v>0.020174232003668042</x:v>
      </x:c>
    </x:row>
    <x:row r="3762">
      <x:c r="G3762" t="str">
        <x:v>SFO-MSP</x:v>
      </x:c>
      <x:c r="H3762" t="str">
        <x:v>SFO</x:v>
      </x:c>
      <x:c r="I3762" t="str">
        <x:v>MSP</x:v>
      </x:c>
      <x:c r="J3762" s="23" t="n">
        <x:v>5751</x:v>
      </x:c>
      <x:c r="K3762" s="24" t="n">
        <x:v>0.13841071118066423</x:v>
      </x:c>
      <x:c r="L3762" s="24" t="n">
        <x:v>0.00869414014953921</x:v>
      </x:c>
    </x:row>
    <x:row r="3763">
      <x:c r="G3763" t="str">
        <x:v>SJC-OGG</x:v>
      </x:c>
      <x:c r="H3763" t="str">
        <x:v>SJC</x:v>
      </x:c>
      <x:c r="I3763" t="str">
        <x:v>OGG</x:v>
      </x:c>
      <x:c r="J3763" s="23" t="n">
        <x:v>2211</x:v>
      </x:c>
      <x:c r="K3763" s="24" t="n">
        <x:v>0.1383989145183175</x:v>
      </x:c>
      <x:c r="L3763" s="24" t="n">
        <x:v>0.0067842605156037995</x:v>
      </x:c>
    </x:row>
    <x:row r="3764">
      <x:c r="G3764" t="str">
        <x:v>RKS-DEN</x:v>
      </x:c>
      <x:c r="H3764" t="str">
        <x:v>RKS</x:v>
      </x:c>
      <x:c r="I3764" t="str">
        <x:v>DEN</x:v>
      </x:c>
      <x:c r="J3764" s="23" t="n">
        <x:v>1785</x:v>
      </x:c>
      <x:c r="K3764" s="24" t="n">
        <x:v>0.13837535014005603</x:v>
      </x:c>
      <x:c r="L3764" s="24" t="n">
        <x:v>0.01288515406162465</x:v>
      </x:c>
    </x:row>
    <x:row r="3765">
      <x:c r="G3765" t="str">
        <x:v>SMF-MDW</x:v>
      </x:c>
      <x:c r="H3765" t="str">
        <x:v>SMF</x:v>
      </x:c>
      <x:c r="I3765" t="str">
        <x:v>MDW</x:v>
      </x:c>
      <x:c r="J3765" s="23" t="n">
        <x:v>1785</x:v>
      </x:c>
      <x:c r="K3765" s="24" t="n">
        <x:v>0.13837535014005603</x:v>
      </x:c>
      <x:c r="L3765" s="24" t="n">
        <x:v>0.0028011204481792717</x:v>
      </x:c>
    </x:row>
    <x:row r="3766">
      <x:c r="G3766" t="str">
        <x:v>LGA-SDF</x:v>
      </x:c>
      <x:c r="H3766" t="str">
        <x:v>LGA</x:v>
      </x:c>
      <x:c r="I3766" t="str">
        <x:v>SDF</x:v>
      </x:c>
      <x:c r="J3766" s="23" t="n">
        <x:v>4474</x:v>
      </x:c>
      <x:c r="K3766" s="24" t="n">
        <x:v>0.13835493965131873</x:v>
      </x:c>
      <x:c r="L3766" s="24" t="n">
        <x:v>0.02212784979883773</x:v>
      </x:c>
    </x:row>
    <x:row r="3767">
      <x:c r="G3767" t="str">
        <x:v>CVG-MSP</x:v>
      </x:c>
      <x:c r="H3767" t="str">
        <x:v>CVG</x:v>
      </x:c>
      <x:c r="I3767" t="str">
        <x:v>MSP</x:v>
      </x:c>
      <x:c r="J3767" s="23" t="n">
        <x:v>3774</x:v>
      </x:c>
      <x:c r="K3767" s="24" t="n">
        <x:v>0.1383147853736089</x:v>
      </x:c>
      <x:c r="L3767" s="24" t="n">
        <x:v>0.008744038155802861</x:v>
      </x:c>
    </x:row>
    <x:row r="3768">
      <x:c r="G3768" t="str">
        <x:v>PVD-BWI</x:v>
      </x:c>
      <x:c r="H3768" t="str">
        <x:v>PVD</x:v>
      </x:c>
      <x:c r="I3768" t="str">
        <x:v>BWI</x:v>
      </x:c>
      <x:c r="J3768" s="23" t="n">
        <x:v>5517</x:v>
      </x:c>
      <x:c r="K3768" s="24" t="n">
        <x:v>0.13829980061627697</x:v>
      </x:c>
      <x:c r="L3768" s="24" t="n">
        <x:v>0.010875475802066341</x:v>
      </x:c>
    </x:row>
    <x:row r="3769">
      <x:c r="G3769" t="str">
        <x:v>SMF-SBA</x:v>
      </x:c>
      <x:c r="H3769" t="str">
        <x:v>SMF</x:v>
      </x:c>
      <x:c r="I3769" t="str">
        <x:v>SBA</x:v>
      </x:c>
      <x:c r="J3769" s="23" t="n">
        <x:v>1056</x:v>
      </x:c>
      <x:c r="K3769" s="24" t="n">
        <x:v>0.13825757575757575</x:v>
      </x:c>
      <x:c r="L3769" s="24" t="n">
        <x:v>0.008522727272727272</x:v>
      </x:c>
    </x:row>
    <x:row r="3770">
      <x:c r="G3770" t="str">
        <x:v>RNO-BUR</x:v>
      </x:c>
      <x:c r="H3770" t="str">
        <x:v>RNO</x:v>
      </x:c>
      <x:c r="I3770" t="str">
        <x:v>BUR</x:v>
      </x:c>
      <x:c r="J3770" s="23" t="n">
        <x:v>1201</x:v>
      </x:c>
      <x:c r="K3770" s="24" t="n">
        <x:v>0.13821815154038303</x:v>
      </x:c>
      <x:c r="L3770" s="24" t="n">
        <x:v>0.00749375520399667</x:v>
      </x:c>
    </x:row>
    <x:row r="3771">
      <x:c r="G3771" t="str">
        <x:v>PHX-MFR</x:v>
      </x:c>
      <x:c r="H3771" t="str">
        <x:v>PHX</x:v>
      </x:c>
      <x:c r="I3771" t="str">
        <x:v>MFR</x:v>
      </x:c>
      <x:c r="J3771" s="23" t="n">
        <x:v>2179</x:v>
      </x:c>
      <x:c r="K3771" s="24" t="n">
        <x:v>0.13813675998164296</x:v>
      </x:c>
      <x:c r="L3771" s="24" t="n">
        <x:v>0.004589261128958238</x:v>
      </x:c>
    </x:row>
    <x:row r="3772">
      <x:c r="G3772" t="str">
        <x:v>ALB-DTW</x:v>
      </x:c>
      <x:c r="H3772" t="str">
        <x:v>ALB</x:v>
      </x:c>
      <x:c r="I3772" t="str">
        <x:v>DTW</x:v>
      </x:c>
      <x:c r="J3772" s="23" t="n">
        <x:v>3758</x:v>
      </x:c>
      <x:c r="K3772" s="24" t="n">
        <x:v>0.13810537519957425</x:v>
      </x:c>
      <x:c r="L3772" s="24" t="n">
        <x:v>0.008781266631186802</x:v>
      </x:c>
    </x:row>
    <x:row r="3773">
      <x:c r="G3773" t="str">
        <x:v>SMF-ONT</x:v>
      </x:c>
      <x:c r="H3773" t="str">
        <x:v>SMF</x:v>
      </x:c>
      <x:c r="I3773" t="str">
        <x:v>ONT</x:v>
      </x:c>
      <x:c r="J3773" s="23" t="n">
        <x:v>5902</x:v>
      </x:c>
      <x:c r="K3773" s="24" t="n">
        <x:v>0.1380887834632328</x:v>
      </x:c>
      <x:c r="L3773" s="24" t="n">
        <x:v>0.003727549983056591</x:v>
      </x:c>
    </x:row>
    <x:row r="3774">
      <x:c r="G3774" t="str">
        <x:v>ABQ-HOU</x:v>
      </x:c>
      <x:c r="H3774" t="str">
        <x:v>ABQ</x:v>
      </x:c>
      <x:c r="I3774" t="str">
        <x:v>HOU</x:v>
      </x:c>
      <x:c r="J3774" s="23" t="n">
        <x:v>2868</x:v>
      </x:c>
      <x:c r="K3774" s="24" t="n">
        <x:v>0.13807531380753138</x:v>
      </x:c>
      <x:c r="L3774" s="24" t="n">
        <x:v>0.005578800557880056</x:v>
      </x:c>
    </x:row>
    <x:row r="3775">
      <x:c r="G3775" t="str">
        <x:v>SYR-DTW</x:v>
      </x:c>
      <x:c r="H3775" t="str">
        <x:v>SYR</x:v>
      </x:c>
      <x:c r="I3775" t="str">
        <x:v>DTW</x:v>
      </x:c>
      <x:c r="J3775" s="23" t="n">
        <x:v>3231</x:v>
      </x:c>
      <x:c r="K3775" s="24" t="n">
        <x:v>0.13803775920767564</x:v>
      </x:c>
      <x:c r="L3775" s="24" t="n">
        <x:v>0.0064995357474466105</x:v>
      </x:c>
    </x:row>
    <x:row r="3776">
      <x:c r="G3776" t="str">
        <x:v>CMH-EWR</x:v>
      </x:c>
      <x:c r="H3776" t="str">
        <x:v>CMH</x:v>
      </x:c>
      <x:c r="I3776" t="str">
        <x:v>EWR</x:v>
      </x:c>
      <x:c r="J3776" s="23" t="n">
        <x:v>5789</x:v>
      </x:c>
      <x:c r="K3776" s="24" t="n">
        <x:v>0.13802038348592158</x:v>
      </x:c>
      <x:c r="L3776" s="24" t="n">
        <x:v>0.03316634997408879</x:v>
      </x:c>
    </x:row>
    <x:row r="3777">
      <x:c r="G3777" t="str">
        <x:v>CSG-ATL</x:v>
      </x:c>
      <x:c r="H3777" t="str">
        <x:v>CSG</x:v>
      </x:c>
      <x:c r="I3777" t="str">
        <x:v>ATL</x:v>
      </x:c>
      <x:c r="J3777" s="23" t="n">
        <x:v>1949</x:v>
      </x:c>
      <x:c r="K3777" s="24" t="n">
        <x:v>0.13801949717804002</x:v>
      </x:c>
      <x:c r="L3777" s="24" t="n">
        <x:v>0.014366341713699333</x:v>
      </x:c>
    </x:row>
    <x:row r="3778">
      <x:c r="G3778" t="str">
        <x:v>PHX-DCA</x:v>
      </x:c>
      <x:c r="H3778" t="str">
        <x:v>PHX</x:v>
      </x:c>
      <x:c r="I3778" t="str">
        <x:v>DCA</x:v>
      </x:c>
      <x:c r="J3778" s="23" t="n">
        <x:v>3268</x:v>
      </x:c>
      <x:c r="K3778" s="24" t="n">
        <x:v>0.13800489596083232</x:v>
      </x:c>
      <x:c r="L3778" s="24" t="n">
        <x:v>0.00795593635250918</x:v>
      </x:c>
    </x:row>
    <x:row r="3779">
      <x:c r="G3779" t="str">
        <x:v>ONT-OAK</x:v>
      </x:c>
      <x:c r="H3779" t="str">
        <x:v>ONT</x:v>
      </x:c>
      <x:c r="I3779" t="str">
        <x:v>OAK</x:v>
      </x:c>
      <x:c r="J3779" s="23" t="n">
        <x:v>4765</x:v>
      </x:c>
      <x:c r="K3779" s="24" t="n">
        <x:v>0.1378803777544596</x:v>
      </x:c>
      <x:c r="L3779" s="24" t="n">
        <x:v>0.00608604407135362</x:v>
      </x:c>
    </x:row>
    <x:row r="3780">
      <x:c r="G3780" t="str">
        <x:v>RSW-IAD</x:v>
      </x:c>
      <x:c r="H3780" t="str">
        <x:v>RSW</x:v>
      </x:c>
      <x:c r="I3780" t="str">
        <x:v>IAD</x:v>
      </x:c>
      <x:c r="J3780" s="23" t="n">
        <x:v>1545</x:v>
      </x:c>
      <x:c r="K3780" s="24" t="n">
        <x:v>0.1378640776699029</x:v>
      </x:c>
      <x:c r="L3780" s="24" t="n">
        <x:v>0.009708737864077669</x:v>
      </x:c>
    </x:row>
    <x:row r="3781">
      <x:c r="G3781" t="str">
        <x:v>SLC-BOI</x:v>
      </x:c>
      <x:c r="H3781" t="str">
        <x:v>SLC</x:v>
      </x:c>
      <x:c r="I3781" t="str">
        <x:v>BOI</x:v>
      </x:c>
      <x:c r="J3781" s="23" t="n">
        <x:v>5107</x:v>
      </x:c>
      <x:c r="K3781" s="24" t="n">
        <x:v>0.13785000979048365</x:v>
      </x:c>
      <x:c r="L3781" s="24" t="n">
        <x:v>0.006070099862933229</x:v>
      </x:c>
    </x:row>
    <x:row r="3782">
      <x:c r="G3782" t="str">
        <x:v>MAF-HOU</x:v>
      </x:c>
      <x:c r="H3782" t="str">
        <x:v>MAF</x:v>
      </x:c>
      <x:c r="I3782" t="str">
        <x:v>HOU</x:v>
      </x:c>
      <x:c r="J3782" s="23" t="n">
        <x:v>3868</x:v>
      </x:c>
      <x:c r="K3782" s="24" t="n">
        <x:v>0.13779731127197517</x:v>
      </x:c>
      <x:c r="L3782" s="24" t="n">
        <x:v>0.009307135470527405</x:v>
      </x:c>
    </x:row>
    <x:row r="3783">
      <x:c r="G3783" t="str">
        <x:v>COS-ATL</x:v>
      </x:c>
      <x:c r="H3783" t="str">
        <x:v>COS</x:v>
      </x:c>
      <x:c r="I3783" t="str">
        <x:v>ATL</x:v>
      </x:c>
      <x:c r="J3783" s="23" t="n">
        <x:v>1212</x:v>
      </x:c>
      <x:c r="K3783" s="24" t="n">
        <x:v>0.1377887788778878</x:v>
      </x:c>
      <x:c r="L3783" s="24" t="n">
        <x:v>0.009075907590759076</x:v>
      </x:c>
    </x:row>
    <x:row r="3784">
      <x:c r="G3784" t="str">
        <x:v>OAK-SNA</x:v>
      </x:c>
      <x:c r="H3784" t="str">
        <x:v>OAK</x:v>
      </x:c>
      <x:c r="I3784" t="str">
        <x:v>SNA</x:v>
      </x:c>
      <x:c r="J3784" s="23" t="n">
        <x:v>7961</x:v>
      </x:c>
      <x:c r="K3784" s="24" t="n">
        <x:v>0.13767114684084913</x:v>
      </x:c>
      <x:c r="L3784" s="24" t="n">
        <x:v>0.006155005652556211</x:v>
      </x:c>
    </x:row>
    <x:row r="3785">
      <x:c r="G3785" t="str">
        <x:v>BNA-ATL</x:v>
      </x:c>
      <x:c r="H3785" t="str">
        <x:v>BNA</x:v>
      </x:c>
      <x:c r="I3785" t="str">
        <x:v>ATL</x:v>
      </x:c>
      <x:c r="J3785" s="23" t="n">
        <x:v>11650</x:v>
      </x:c>
      <x:c r="K3785" s="24" t="n">
        <x:v>0.13733905579399142</x:v>
      </x:c>
      <x:c r="L3785" s="24" t="n">
        <x:v>0.009184549356223176</x:v>
      </x:c>
    </x:row>
    <x:row r="3786">
      <x:c r="G3786" t="str">
        <x:v>EUG-OAK</x:v>
      </x:c>
      <x:c r="H3786" t="str">
        <x:v>EUG</x:v>
      </x:c>
      <x:c r="I3786" t="str">
        <x:v>OAK</x:v>
      </x:c>
      <x:c r="J3786" s="23" t="n">
        <x:v>1523</x:v>
      </x:c>
      <x:c r="K3786" s="24" t="n">
        <x:v>0.1372291529875246</x:v>
      </x:c>
      <x:c r="L3786" s="24" t="n">
        <x:v>0.007222586999343401</x:v>
      </x:c>
    </x:row>
    <x:row r="3787">
      <x:c r="G3787" t="str">
        <x:v>IND-LGA</x:v>
      </x:c>
      <x:c r="H3787" t="str">
        <x:v>IND</x:v>
      </x:c>
      <x:c r="I3787" t="str">
        <x:v>LGA</x:v>
      </x:c>
      <x:c r="J3787" s="23" t="n">
        <x:v>7926</x:v>
      </x:c>
      <x:c r="K3787" s="24" t="n">
        <x:v>0.13714357809740096</x:v>
      </x:c>
      <x:c r="L3787" s="24" t="n">
        <x:v>0.02447640676255362</x:v>
      </x:c>
    </x:row>
    <x:row r="3788">
      <x:c r="G3788" t="str">
        <x:v>BJI-MSP</x:v>
      </x:c>
      <x:c r="H3788" t="str">
        <x:v>BJI</x:v>
      </x:c>
      <x:c r="I3788" t="str">
        <x:v>MSP</x:v>
      </x:c>
      <x:c r="J3788" s="23" t="n">
        <x:v>2169</x:v>
      </x:c>
      <x:c r="K3788" s="24" t="n">
        <x:v>0.13692946058091288</x:v>
      </x:c>
      <x:c r="L3788" s="24" t="n">
        <x:v>0.012909174734900875</x:v>
      </x:c>
    </x:row>
    <x:row r="3789">
      <x:c r="G3789" t="str">
        <x:v>IAD-PWM</x:v>
      </x:c>
      <x:c r="H3789" t="str">
        <x:v>IAD</x:v>
      </x:c>
      <x:c r="I3789" t="str">
        <x:v>PWM</x:v>
      </x:c>
      <x:c r="J3789" s="23" t="n">
        <x:v>2055</x:v>
      </x:c>
      <x:c r="K3789" s="24" t="n">
        <x:v>0.1367396593673966</x:v>
      </x:c>
      <x:c r="L3789" s="24" t="n">
        <x:v>0.017518248175182483</x:v>
      </x:c>
    </x:row>
    <x:row r="3790">
      <x:c r="G3790" t="str">
        <x:v>MOB-ATL</x:v>
      </x:c>
      <x:c r="H3790" t="str">
        <x:v>MOB</x:v>
      </x:c>
      <x:c r="I3790" t="str">
        <x:v>ATL</x:v>
      </x:c>
      <x:c r="J3790" s="23" t="n">
        <x:v>3424</x:v>
      </x:c>
      <x:c r="K3790" s="24" t="n">
        <x:v>0.1366822429906542</x:v>
      </x:c>
      <x:c r="L3790" s="24" t="n">
        <x:v>0.01022196261682243</x:v>
      </x:c>
    </x:row>
    <x:row r="3791">
      <x:c r="G3791" t="str">
        <x:v>PHX-CLT</x:v>
      </x:c>
      <x:c r="H3791" t="str">
        <x:v>PHX</x:v>
      </x:c>
      <x:c r="I3791" t="str">
        <x:v>CLT</x:v>
      </x:c>
      <x:c r="J3791" s="23" t="n">
        <x:v>8535</x:v>
      </x:c>
      <x:c r="K3791" s="24" t="n">
        <x:v>0.136613942589338</x:v>
      </x:c>
      <x:c r="L3791" s="24" t="n">
        <x:v>0.005155243116578793</x:v>
      </x:c>
    </x:row>
    <x:row r="3792">
      <x:c r="G3792" t="str">
        <x:v>SLC-GEG</x:v>
      </x:c>
      <x:c r="H3792" t="str">
        <x:v>SLC</x:v>
      </x:c>
      <x:c r="I3792" t="str">
        <x:v>GEG</x:v>
      </x:c>
      <x:c r="J3792" s="23" t="n">
        <x:v>5066</x:v>
      </x:c>
      <x:c r="K3792" s="24" t="n">
        <x:v>0.1365969206474536</x:v>
      </x:c>
      <x:c r="L3792" s="24" t="n">
        <x:v>0.0045400710619818395</x:v>
      </x:c>
    </x:row>
    <x:row r="3793">
      <x:c r="G3793" t="str">
        <x:v>SLC-DTW</x:v>
      </x:c>
      <x:c r="H3793" t="str">
        <x:v>SLC</x:v>
      </x:c>
      <x:c r="I3793" t="str">
        <x:v>DTW</x:v>
      </x:c>
      <x:c r="J3793" s="23" t="n">
        <x:v>4583</x:v>
      </x:c>
      <x:c r="K3793" s="24" t="n">
        <x:v>0.13659175212742744</x:v>
      </x:c>
      <x:c r="L3793" s="24" t="n">
        <x:v>0.0039275583678813</x:v>
      </x:c>
    </x:row>
    <x:row r="3794">
      <x:c r="G3794" t="str">
        <x:v>CMH-MSP</x:v>
      </x:c>
      <x:c r="H3794" t="str">
        <x:v>CMH</x:v>
      </x:c>
      <x:c r="I3794" t="str">
        <x:v>MSP</x:v>
      </x:c>
      <x:c r="J3794" s="23" t="n">
        <x:v>3281</x:v>
      </x:c>
      <x:c r="K3794" s="24" t="n">
        <x:v>0.13654373666565073</x:v>
      </x:c>
      <x:c r="L3794" s="24" t="n">
        <x:v>0.009448338921060652</x:v>
      </x:c>
    </x:row>
    <x:row r="3795">
      <x:c r="G3795" t="str">
        <x:v>BOS-IND</x:v>
      </x:c>
      <x:c r="H3795" t="str">
        <x:v>BOS</x:v>
      </x:c>
      <x:c r="I3795" t="str">
        <x:v>IND</x:v>
      </x:c>
      <x:c r="J3795" s="23" t="n">
        <x:v>5774</x:v>
      </x:c>
      <x:c r="K3795" s="24" t="n">
        <x:v>0.1364738482854174</x:v>
      </x:c>
      <x:c r="L3795" s="24" t="n">
        <x:v>0.013682022861101489</x:v>
      </x:c>
    </x:row>
    <x:row r="3796">
      <x:c r="G3796" t="str">
        <x:v>ATL-BTR</x:v>
      </x:c>
      <x:c r="H3796" t="str">
        <x:v>ATL</x:v>
      </x:c>
      <x:c r="I3796" t="str">
        <x:v>BTR</x:v>
      </x:c>
      <x:c r="J3796" s="23" t="n">
        <x:v>3972</x:v>
      </x:c>
      <x:c r="K3796" s="24" t="n">
        <x:v>0.1364551863041289</x:v>
      </x:c>
      <x:c r="L3796" s="24" t="n">
        <x:v>0.010574018126888218</x:v>
      </x:c>
    </x:row>
    <x:row r="3797">
      <x:c r="G3797" t="str">
        <x:v>HNL-LIH</x:v>
      </x:c>
      <x:c r="H3797" t="str">
        <x:v>HNL</x:v>
      </x:c>
      <x:c r="I3797" t="str">
        <x:v>LIH</x:v>
      </x:c>
      <x:c r="J3797" s="23" t="n">
        <x:v>25348</x:v>
      </x:c>
      <x:c r="K3797" s="24" t="n">
        <x:v>0.13634211772131924</x:v>
      </x:c>
      <x:c r="L3797" s="24" t="n">
        <x:v>0.010809531323970332</x:v>
      </x:c>
    </x:row>
    <x:row r="3798">
      <x:c r="G3798" t="str">
        <x:v>HNL-MSP</x:v>
      </x:c>
      <x:c r="H3798" t="str">
        <x:v>HNL</x:v>
      </x:c>
      <x:c r="I3798" t="str">
        <x:v>MSP</x:v>
      </x:c>
      <x:c r="J3798" s="23" t="n">
        <x:v>1093</x:v>
      </x:c>
      <x:c r="K3798" s="24" t="n">
        <x:v>0.13632204940530648</x:v>
      </x:c>
      <x:c r="L3798" s="24" t="n">
        <x:v>0.010064043915827997</x:v>
      </x:c>
    </x:row>
    <x:row r="3799">
      <x:c r="G3799" t="str">
        <x:v>LGA-BGR</x:v>
      </x:c>
      <x:c r="H3799" t="str">
        <x:v>LGA</x:v>
      </x:c>
      <x:c r="I3799" t="str">
        <x:v>BGR</x:v>
      </x:c>
      <x:c r="J3799" s="23" t="n">
        <x:v>2363</x:v>
      </x:c>
      <x:c r="K3799" s="24" t="n">
        <x:v>0.13626745662293693</x:v>
      </x:c>
      <x:c r="L3799" s="24" t="n">
        <x:v>0.03766398645789251</x:v>
      </x:c>
    </x:row>
    <x:row r="3800">
      <x:c r="G3800" t="str">
        <x:v>ICT-PHX</x:v>
      </x:c>
      <x:c r="H3800" t="str">
        <x:v>ICT</x:v>
      </x:c>
      <x:c r="I3800" t="str">
        <x:v>PHX</x:v>
      </x:c>
      <x:c r="J3800" s="23" t="n">
        <x:v>1255</x:v>
      </x:c>
      <x:c r="K3800" s="24" t="n">
        <x:v>0.1362549800796813</x:v>
      </x:c>
      <x:c r="L3800" s="24" t="n">
        <x:v>0.008764940239043825</x:v>
      </x:c>
    </x:row>
    <x:row r="3801">
      <x:c r="G3801" t="str">
        <x:v>ONT-AUS</x:v>
      </x:c>
      <x:c r="H3801" t="str">
        <x:v>ONT</x:v>
      </x:c>
      <x:c r="I3801" t="str">
        <x:v>AUS</x:v>
      </x:c>
      <x:c r="J3801" s="23" t="n">
        <x:v>1079</x:v>
      </x:c>
      <x:c r="K3801" s="24" t="n">
        <x:v>0.13623725671918444</x:v>
      </x:c>
      <x:c r="L3801" s="24" t="n">
        <x:v>0.0037071362372567192</x:v>
      </x:c>
    </x:row>
    <x:row r="3802">
      <x:c r="G3802" t="str">
        <x:v>ONT-SEA</x:v>
      </x:c>
      <x:c r="H3802" t="str">
        <x:v>ONT</x:v>
      </x:c>
      <x:c r="I3802" t="str">
        <x:v>SEA</x:v>
      </x:c>
      <x:c r="J3802" s="23" t="n">
        <x:v>7443</x:v>
      </x:c>
      <x:c r="K3802" s="24" t="n">
        <x:v>0.1362353889560661</x:v>
      </x:c>
      <x:c r="L3802" s="24" t="n">
        <x:v>0.010613999731291146</x:v>
      </x:c>
    </x:row>
    <x:row r="3803">
      <x:c r="G3803" t="str">
        <x:v>PIT-MSP</x:v>
      </x:c>
      <x:c r="H3803" t="str">
        <x:v>PIT</x:v>
      </x:c>
      <x:c r="I3803" t="str">
        <x:v>MSP</x:v>
      </x:c>
      <x:c r="J3803" s="23" t="n">
        <x:v>3040</x:v>
      </x:c>
      <x:c r="K3803" s="24" t="n">
        <x:v>0.1361842105263158</x:v>
      </x:c>
      <x:c r="L3803" s="24" t="n">
        <x:v>0.007236842105263158</x:v>
      </x:c>
    </x:row>
    <x:row r="3804">
      <x:c r="G3804" t="str">
        <x:v>ALB-BWI</x:v>
      </x:c>
      <x:c r="H3804" t="str">
        <x:v>ALB</x:v>
      </x:c>
      <x:c r="I3804" t="str">
        <x:v>BWI</x:v>
      </x:c>
      <x:c r="J3804" s="23" t="n">
        <x:v>4945</x:v>
      </x:c>
      <x:c r="K3804" s="24" t="n">
        <x:v>0.13609706774519717</x:v>
      </x:c>
      <x:c r="L3804" s="24" t="n">
        <x:v>0.009302325581395349</x:v>
      </x:c>
    </x:row>
    <x:row r="3805">
      <x:c r="G3805" t="str">
        <x:v>ECP-BNA</x:v>
      </x:c>
      <x:c r="H3805" t="str">
        <x:v>ECP</x:v>
      </x:c>
      <x:c r="I3805" t="str">
        <x:v>BNA</x:v>
      </x:c>
      <x:c r="J3805" s="23" t="n">
        <x:v>3109</x:v>
      </x:c>
      <x:c r="K3805" s="24" t="n">
        <x:v>0.13605660984239304</x:v>
      </x:c>
      <x:c r="L3805" s="24" t="n">
        <x:v>0.0064329366355741395</x:v>
      </x:c>
    </x:row>
    <x:row r="3806">
      <x:c r="G3806" t="str">
        <x:v>GRB-DTW</x:v>
      </x:c>
      <x:c r="H3806" t="str">
        <x:v>GRB</x:v>
      </x:c>
      <x:c r="I3806" t="str">
        <x:v>DTW</x:v>
      </x:c>
      <x:c r="J3806" s="23" t="n">
        <x:v>2588</x:v>
      </x:c>
      <x:c r="K3806" s="24" t="n">
        <x:v>0.13601236476043277</x:v>
      </x:c>
      <x:c r="L3806" s="24" t="n">
        <x:v>0.008500772797527048</x:v>
      </x:c>
    </x:row>
    <x:row r="3807">
      <x:c r="G3807" t="str">
        <x:v>AEX-ATL</x:v>
      </x:c>
      <x:c r="H3807" t="str">
        <x:v>AEX</x:v>
      </x:c>
      <x:c r="I3807" t="str">
        <x:v>ATL</x:v>
      </x:c>
      <x:c r="J3807" s="23" t="n">
        <x:v>1625</x:v>
      </x:c>
      <x:c r="K3807" s="24" t="n">
        <x:v>0.136</x:v>
      </x:c>
      <x:c r="L3807" s="24" t="n">
        <x:v>0.008</x:v>
      </x:c>
    </x:row>
    <x:row r="3808">
      <x:c r="G3808" t="str">
        <x:v>SBN-MSP</x:v>
      </x:c>
      <x:c r="H3808" t="str">
        <x:v>SBN</x:v>
      </x:c>
      <x:c r="I3808" t="str">
        <x:v>MSP</x:v>
      </x:c>
      <x:c r="J3808" s="23" t="n">
        <x:v>1096</x:v>
      </x:c>
      <x:c r="K3808" s="24" t="n">
        <x:v>0.13594890510948904</x:v>
      </x:c>
      <x:c r="L3808" s="24" t="n">
        <x:v>0.0072992700729927005</x:v>
      </x:c>
    </x:row>
    <x:row r="3809">
      <x:c r="G3809" t="str">
        <x:v>BUR-OAK</x:v>
      </x:c>
      <x:c r="H3809" t="str">
        <x:v>BUR</x:v>
      </x:c>
      <x:c r="I3809" t="str">
        <x:v>OAK</x:v>
      </x:c>
      <x:c r="J3809" s="23" t="n">
        <x:v>9790</x:v>
      </x:c>
      <x:c r="K3809" s="24" t="n">
        <x:v>0.13585291113381</x:v>
      </x:c>
      <x:c r="L3809" s="24" t="n">
        <x:v>0.018488253319713994</x:v>
      </x:c>
    </x:row>
    <x:row r="3810">
      <x:c r="G3810" t="str">
        <x:v>LAX-LIH</x:v>
      </x:c>
      <x:c r="H3810" t="str">
        <x:v>LAX</x:v>
      </x:c>
      <x:c r="I3810" t="str">
        <x:v>LIH</x:v>
      </x:c>
      <x:c r="J3810" s="23" t="n">
        <x:v>4572</x:v>
      </x:c>
      <x:c r="K3810" s="24" t="n">
        <x:v>0.13582677165354332</x:v>
      </x:c>
      <x:c r="L3810" s="24" t="n">
        <x:v>0.0032808398950131233</x:v>
      </x:c>
    </x:row>
    <x:row r="3811">
      <x:c r="G3811" t="str">
        <x:v>BOI-GEG</x:v>
      </x:c>
      <x:c r="H3811" t="str">
        <x:v>BOI</x:v>
      </x:c>
      <x:c r="I3811" t="str">
        <x:v>GEG</x:v>
      </x:c>
      <x:c r="J3811" s="23" t="n">
        <x:v>1437</x:v>
      </x:c>
      <x:c r="K3811" s="24" t="n">
        <x:v>0.13569937369519833</x:v>
      </x:c>
      <x:c r="L3811" s="24" t="n">
        <x:v>0.0048712595685455815</x:v>
      </x:c>
    </x:row>
    <x:row r="3812">
      <x:c r="G3812" t="str">
        <x:v>PHX-FLG</x:v>
      </x:c>
      <x:c r="H3812" t="str">
        <x:v>PHX</x:v>
      </x:c>
      <x:c r="I3812" t="str">
        <x:v>FLG</x:v>
      </x:c>
      <x:c r="J3812" s="23" t="n">
        <x:v>3922</x:v>
      </x:c>
      <x:c r="K3812" s="24" t="n">
        <x:v>0.13564507904130546</x:v>
      </x:c>
      <x:c r="L3812" s="24" t="n">
        <x:v>0.014278429372768995</x:v>
      </x:c>
    </x:row>
    <x:row r="3813">
      <x:c r="G3813" t="str">
        <x:v>BUF-EWR</x:v>
      </x:c>
      <x:c r="H3813" t="str">
        <x:v>BUF</x:v>
      </x:c>
      <x:c r="I3813" t="str">
        <x:v>EWR</x:v>
      </x:c>
      <x:c r="J3813" s="23" t="n">
        <x:v>2315</x:v>
      </x:c>
      <x:c r="K3813" s="24" t="n">
        <x:v>0.13563714902807775</x:v>
      </x:c>
      <x:c r="L3813" s="24" t="n">
        <x:v>0.04535637149028078</x:v>
      </x:c>
    </x:row>
    <x:row r="3814">
      <x:c r="G3814" t="str">
        <x:v>HNL-ITO</x:v>
      </x:c>
      <x:c r="H3814" t="str">
        <x:v>HNL</x:v>
      </x:c>
      <x:c r="I3814" t="str">
        <x:v>ITO</x:v>
      </x:c>
      <x:c r="J3814" s="23" t="n">
        <x:v>19361</x:v>
      </x:c>
      <x:c r="K3814" s="24" t="n">
        <x:v>0.13563349000568153</x:v>
      </x:c>
      <x:c r="L3814" s="24" t="n">
        <x:v>0.0082123857238779</x:v>
      </x:c>
    </x:row>
    <x:row r="3815">
      <x:c r="G3815" t="str">
        <x:v>CHS-MDW</x:v>
      </x:c>
      <x:c r="H3815" t="str">
        <x:v>CHS</x:v>
      </x:c>
      <x:c r="I3815" t="str">
        <x:v>MDW</x:v>
      </x:c>
      <x:c r="J3815" s="23" t="n">
        <x:v>1401</x:v>
      </x:c>
      <x:c r="K3815" s="24" t="n">
        <x:v>0.13561741613133477</x:v>
      </x:c>
      <x:c r="L3815" s="24" t="n">
        <x:v>0.009279086366880799</x:v>
      </x:c>
    </x:row>
    <x:row r="3816">
      <x:c r="G3816" t="str">
        <x:v>ROA-ATL</x:v>
      </x:c>
      <x:c r="H3816" t="str">
        <x:v>ROA</x:v>
      </x:c>
      <x:c r="I3816" t="str">
        <x:v>ATL</x:v>
      </x:c>
      <x:c r="J3816" s="23" t="n">
        <x:v>2537</x:v>
      </x:c>
      <x:c r="K3816" s="24" t="n">
        <x:v>0.13559322033898305</x:v>
      </x:c>
      <x:c r="L3816" s="24" t="n">
        <x:v>0.012613322822230981</x:v>
      </x:c>
    </x:row>
    <x:row r="3817">
      <x:c r="G3817" t="str">
        <x:v>MCI-SFO</x:v>
      </x:c>
      <x:c r="H3817" t="str">
        <x:v>MCI</x:v>
      </x:c>
      <x:c r="I3817" t="str">
        <x:v>SFO</x:v>
      </x:c>
      <x:c r="J3817" s="23" t="n">
        <x:v>1180</x:v>
      </x:c>
      <x:c r="K3817" s="24" t="n">
        <x:v>0.13559322033898305</x:v>
      </x:c>
      <x:c r="L3817" s="24" t="n">
        <x:v>0.012711864406779662</x:v>
      </x:c>
    </x:row>
    <x:row r="3818">
      <x:c r="G3818" t="str">
        <x:v>CLE-BWI</x:v>
      </x:c>
      <x:c r="H3818" t="str">
        <x:v>CLE</x:v>
      </x:c>
      <x:c r="I3818" t="str">
        <x:v>BWI</x:v>
      </x:c>
      <x:c r="J3818" s="23" t="n">
        <x:v>2984</x:v>
      </x:c>
      <x:c r="K3818" s="24" t="n">
        <x:v>0.1353887399463807</x:v>
      </x:c>
      <x:c r="L3818" s="24" t="n">
        <x:v>0.007707774798927614</x:v>
      </x:c>
    </x:row>
    <x:row r="3819">
      <x:c r="G3819" t="str">
        <x:v>MSP-MSY</x:v>
      </x:c>
      <x:c r="H3819" t="str">
        <x:v>MSP</x:v>
      </x:c>
      <x:c r="I3819" t="str">
        <x:v>MSY</x:v>
      </x:c>
      <x:c r="J3819" s="23" t="n">
        <x:v>1198</x:v>
      </x:c>
      <x:c r="K3819" s="24" t="n">
        <x:v>0.1352253756260434</x:v>
      </x:c>
      <x:c r="L3819" s="24" t="n">
        <x:v>0.01001669449081803</x:v>
      </x:c>
    </x:row>
    <x:row r="3820">
      <x:c r="G3820" t="str">
        <x:v>BZN-MSP</x:v>
      </x:c>
      <x:c r="H3820" t="str">
        <x:v>BZN</x:v>
      </x:c>
      <x:c r="I3820" t="str">
        <x:v>MSP</x:v>
      </x:c>
      <x:c r="J3820" s="23" t="n">
        <x:v>2433</x:v>
      </x:c>
      <x:c r="K3820" s="24" t="n">
        <x:v>0.13522400328812165</x:v>
      </x:c>
      <x:c r="L3820" s="24" t="n">
        <x:v>0.005343197698314837</x:v>
      </x:c>
    </x:row>
    <x:row r="3821">
      <x:c r="G3821" t="str">
        <x:v>PDX-SEA</x:v>
      </x:c>
      <x:c r="H3821" t="str">
        <x:v>PDX</x:v>
      </x:c>
      <x:c r="I3821" t="str">
        <x:v>SEA</x:v>
      </x:c>
      <x:c r="J3821" s="23" t="n">
        <x:v>16779</x:v>
      </x:c>
      <x:c r="K3821" s="24" t="n">
        <x:v>0.1351093628940938</x:v>
      </x:c>
      <x:c r="L3821" s="24" t="n">
        <x:v>0.008522557959353954</x:v>
      </x:c>
    </x:row>
    <x:row r="3822">
      <x:c r="G3822" t="str">
        <x:v>EWR-GSO</x:v>
      </x:c>
      <x:c r="H3822" t="str">
        <x:v>EWR</x:v>
      </x:c>
      <x:c r="I3822" t="str">
        <x:v>GSO</x:v>
      </x:c>
      <x:c r="J3822" s="23" t="n">
        <x:v>1510</x:v>
      </x:c>
      <x:c r="K3822" s="24" t="n">
        <x:v>0.13509933774834437</x:v>
      </x:c>
      <x:c r="L3822" s="24" t="n">
        <x:v>0.05033112582781457</x:v>
      </x:c>
    </x:row>
    <x:row r="3823">
      <x:c r="G3823" t="str">
        <x:v>OGG-OAK</x:v>
      </x:c>
      <x:c r="H3823" t="str">
        <x:v>OGG</x:v>
      </x:c>
      <x:c r="I3823" t="str">
        <x:v>OAK</x:v>
      </x:c>
      <x:c r="J3823" s="23" t="n">
        <x:v>2569</x:v>
      </x:c>
      <x:c r="K3823" s="24" t="n">
        <x:v>0.13507201245620865</x:v>
      </x:c>
      <x:c r="L3823" s="24" t="n">
        <x:v>0.008563643441027637</x:v>
      </x:c>
    </x:row>
    <x:row r="3824">
      <x:c r="G3824" t="str">
        <x:v>BZN-LAX</x:v>
      </x:c>
      <x:c r="H3824" t="str">
        <x:v>BZN</x:v>
      </x:c>
      <x:c r="I3824" t="str">
        <x:v>LAX</x:v>
      </x:c>
      <x:c r="J3824" s="23" t="n">
        <x:v>1651</x:v>
      </x:c>
      <x:c r="K3824" s="24" t="n">
        <x:v>0.13506965475469412</x:v>
      </x:c>
      <x:c r="L3824" s="24" t="n">
        <x:v>0.007874015748031496</x:v>
      </x:c>
    </x:row>
    <x:row r="3825">
      <x:c r="G3825" t="str">
        <x:v>BTV-IAD</x:v>
      </x:c>
      <x:c r="H3825" t="str">
        <x:v>BTV</x:v>
      </x:c>
      <x:c r="I3825" t="str">
        <x:v>IAD</x:v>
      </x:c>
      <x:c r="J3825" s="23" t="n">
        <x:v>1540</x:v>
      </x:c>
      <x:c r="K3825" s="24" t="n">
        <x:v>0.13506493506493505</x:v>
      </x:c>
      <x:c r="L3825" s="24" t="n">
        <x:v>0.01753246753246753</x:v>
      </x:c>
    </x:row>
    <x:row r="3826">
      <x:c r="G3826" t="str">
        <x:v>IAD-PIT</x:v>
      </x:c>
      <x:c r="H3826" t="str">
        <x:v>IAD</x:v>
      </x:c>
      <x:c r="I3826" t="str">
        <x:v>PIT</x:v>
      </x:c>
      <x:c r="J3826" s="23" t="n">
        <x:v>2621</x:v>
      </x:c>
      <x:c r="K3826" s="24" t="n">
        <x:v>0.1350629530713468</x:v>
      </x:c>
      <x:c r="L3826" s="24" t="n">
        <x:v>0.01030141167493323</x:v>
      </x:c>
    </x:row>
    <x:row r="3827">
      <x:c r="G3827" t="str">
        <x:v>SLC-SJC</x:v>
      </x:c>
      <x:c r="H3827" t="str">
        <x:v>SLC</x:v>
      </x:c>
      <x:c r="I3827" t="str">
        <x:v>SJC</x:v>
      </x:c>
      <x:c r="J3827" s="23" t="n">
        <x:v>5518</x:v>
      </x:c>
      <x:c r="K3827" s="24" t="n">
        <x:v>0.1350126857557086</x:v>
      </x:c>
      <x:c r="L3827" s="24" t="n">
        <x:v>0.004349401957230881</x:v>
      </x:c>
    </x:row>
    <x:row r="3828">
      <x:c r="G3828" t="str">
        <x:v>CVG-JFK</x:v>
      </x:c>
      <x:c r="H3828" t="str">
        <x:v>CVG</x:v>
      </x:c>
      <x:c r="I3828" t="str">
        <x:v>JFK</x:v>
      </x:c>
      <x:c r="J3828" s="23" t="n">
        <x:v>4697</x:v>
      </x:c>
      <x:c r="K3828" s="24" t="n">
        <x:v>0.13497977432403663</x:v>
      </x:c>
      <x:c r="L3828" s="24" t="n">
        <x:v>0.027038535235256546</x:v>
      </x:c>
    </x:row>
    <x:row r="3829">
      <x:c r="G3829" t="str">
        <x:v>GNV-ATL</x:v>
      </x:c>
      <x:c r="H3829" t="str">
        <x:v>GNV</x:v>
      </x:c>
      <x:c r="I3829" t="str">
        <x:v>ATL</x:v>
      </x:c>
      <x:c r="J3829" s="23" t="n">
        <x:v>4887</x:v>
      </x:c>
      <x:c r="K3829" s="24" t="n">
        <x:v>0.1348475547370575</x:v>
      </x:c>
      <x:c r="L3829" s="24" t="n">
        <x:v>0.010845099242889298</x:v>
      </x:c>
    </x:row>
    <x:row r="3830">
      <x:c r="G3830" t="str">
        <x:v>SAV-ATL</x:v>
      </x:c>
      <x:c r="H3830" t="str">
        <x:v>SAV</x:v>
      </x:c>
      <x:c r="I3830" t="str">
        <x:v>ATL</x:v>
      </x:c>
      <x:c r="J3830" s="23" t="n">
        <x:v>8263</x:v>
      </x:c>
      <x:c r="K3830" s="24" t="n">
        <x:v>0.13481786276170882</x:v>
      </x:c>
      <x:c r="L3830" s="24" t="n">
        <x:v>0.01258622776231393</x:v>
      </x:c>
    </x:row>
    <x:row r="3831">
      <x:c r="G3831" t="str">
        <x:v>LAX-SMF</x:v>
      </x:c>
      <x:c r="H3831" t="str">
        <x:v>LAX</x:v>
      </x:c>
      <x:c r="I3831" t="str">
        <x:v>SMF</x:v>
      </x:c>
      <x:c r="J3831" s="23" t="n">
        <x:v>15453</x:v>
      </x:c>
      <x:c r="K3831" s="24" t="n">
        <x:v>0.13479583252442892</x:v>
      </x:c>
      <x:c r="L3831" s="24" t="n">
        <x:v>0.0029767682650618005</x:v>
      </x:c>
    </x:row>
    <x:row r="3832">
      <x:c r="G3832" t="str">
        <x:v>SAT-BNA</x:v>
      </x:c>
      <x:c r="H3832" t="str">
        <x:v>SAT</x:v>
      </x:c>
      <x:c r="I3832" t="str">
        <x:v>BNA</x:v>
      </x:c>
      <x:c r="J3832" s="23" t="n">
        <x:v>2420</x:v>
      </x:c>
      <x:c r="K3832" s="24" t="n">
        <x:v>0.1347107438016529</x:v>
      </x:c>
      <x:c r="L3832" s="24" t="n">
        <x:v>0.005371900826446281</x:v>
      </x:c>
    </x:row>
    <x:row r="3833">
      <x:c r="G3833" t="str">
        <x:v>ORF-IAD</x:v>
      </x:c>
      <x:c r="H3833" t="str">
        <x:v>ORF</x:v>
      </x:c>
      <x:c r="I3833" t="str">
        <x:v>IAD</x:v>
      </x:c>
      <x:c r="J3833" s="23" t="n">
        <x:v>1946</x:v>
      </x:c>
      <x:c r="K3833" s="24" t="n">
        <x:v>0.13463514902363824</x:v>
      </x:c>
      <x:c r="L3833" s="24" t="n">
        <x:v>0.020041109969167522</x:v>
      </x:c>
    </x:row>
    <x:row r="3834">
      <x:c r="G3834" t="str">
        <x:v>AVL-EWR</x:v>
      </x:c>
      <x:c r="H3834" t="str">
        <x:v>AVL</x:v>
      </x:c>
      <x:c r="I3834" t="str">
        <x:v>EWR</x:v>
      </x:c>
      <x:c r="J3834" s="23" t="n">
        <x:v>1479</x:v>
      </x:c>
      <x:c r="K3834" s="24" t="n">
        <x:v>0.1345503718728871</x:v>
      </x:c>
      <x:c r="L3834" s="24" t="n">
        <x:v>0.03515889114266396</x:v>
      </x:c>
    </x:row>
    <x:row r="3835">
      <x:c r="G3835" t="str">
        <x:v>DCA-EWR</x:v>
      </x:c>
      <x:c r="H3835" t="str">
        <x:v>DCA</x:v>
      </x:c>
      <x:c r="I3835" t="str">
        <x:v>EWR</x:v>
      </x:c>
      <x:c r="J3835" s="23" t="n">
        <x:v>1338</x:v>
      </x:c>
      <x:c r="K3835" s="24" t="n">
        <x:v>0.13452914798206278</x:v>
      </x:c>
      <x:c r="L3835" s="24" t="n">
        <x:v>0.03662182361733931</x:v>
      </x:c>
    </x:row>
    <x:row r="3836">
      <x:c r="G3836" t="str">
        <x:v>HIB-MSP</x:v>
      </x:c>
      <x:c r="H3836" t="str">
        <x:v>HIB</x:v>
      </x:c>
      <x:c r="I3836" t="str">
        <x:v>MSP</x:v>
      </x:c>
      <x:c r="J3836" s="23" t="n">
        <x:v>1845</x:v>
      </x:c>
      <x:c r="K3836" s="24" t="n">
        <x:v>0.13441734417344173</x:v>
      </x:c>
      <x:c r="L3836" s="24" t="n">
        <x:v>0.011382113821138212</x:v>
      </x:c>
    </x:row>
    <x:row r="3837">
      <x:c r="G3837" t="str">
        <x:v>LAX-SBP</x:v>
      </x:c>
      <x:c r="H3837" t="str">
        <x:v>LAX</x:v>
      </x:c>
      <x:c r="I3837" t="str">
        <x:v>SBP</x:v>
      </x:c>
      <x:c r="J3837" s="23" t="n">
        <x:v>1741</x:v>
      </x:c>
      <x:c r="K3837" s="24" t="n">
        <x:v>0.1344055140723722</x:v>
      </x:c>
      <x:c r="L3837" s="24" t="n">
        <x:v>0.010338885697874785</x:v>
      </x:c>
    </x:row>
    <x:row r="3838">
      <x:c r="G3838" t="str">
        <x:v>SDF-LGA</x:v>
      </x:c>
      <x:c r="H3838" t="str">
        <x:v>SDF</x:v>
      </x:c>
      <x:c r="I3838" t="str">
        <x:v>LGA</x:v>
      </x:c>
      <x:c r="J3838" s="23" t="n">
        <x:v>4478</x:v>
      </x:c>
      <x:c r="K3838" s="24" t="n">
        <x:v>0.13421170165252344</x:v>
      </x:c>
      <x:c r="L3838" s="24" t="n">
        <x:v>0.01965163019205002</x:v>
      </x:c>
    </x:row>
    <x:row r="3839">
      <x:c r="G3839" t="str">
        <x:v>OGG-LAS</x:v>
      </x:c>
      <x:c r="H3839" t="str">
        <x:v>OGG</x:v>
      </x:c>
      <x:c r="I3839" t="str">
        <x:v>LAS</x:v>
      </x:c>
      <x:c r="J3839" s="23" t="n">
        <x:v>2474</x:v>
      </x:c>
      <x:c r="K3839" s="24" t="n">
        <x:v>0.13419563459983833</x:v>
      </x:c>
      <x:c r="L3839" s="24" t="n">
        <x:v>0.002425222312045271</x:v>
      </x:c>
    </x:row>
    <x:row r="3840">
      <x:c r="G3840" t="str">
        <x:v>IND-DTW</x:v>
      </x:c>
      <x:c r="H3840" t="str">
        <x:v>IND</x:v>
      </x:c>
      <x:c r="I3840" t="str">
        <x:v>DTW</x:v>
      </x:c>
      <x:c r="J3840" s="23" t="n">
        <x:v>3475</x:v>
      </x:c>
      <x:c r="K3840" s="24" t="n">
        <x:v>0.13410071942446042</x:v>
      </x:c>
      <x:c r="L3840" s="24" t="n">
        <x:v>0.006906474820143885</x:v>
      </x:c>
    </x:row>
    <x:row r="3841">
      <x:c r="G3841" t="str">
        <x:v>BTR-ATL</x:v>
      </x:c>
      <x:c r="H3841" t="str">
        <x:v>BTR</x:v>
      </x:c>
      <x:c r="I3841" t="str">
        <x:v>ATL</x:v>
      </x:c>
      <x:c r="J3841" s="23" t="n">
        <x:v>3971</x:v>
      </x:c>
      <x:c r="K3841" s="24" t="n">
        <x:v>0.1339712918660287</x:v>
      </x:c>
      <x:c r="L3841" s="24" t="n">
        <x:v>0.012339461092923696</x:v>
      </x:c>
    </x:row>
    <x:row r="3842">
      <x:c r="G3842" t="str">
        <x:v>ITH-JFK</x:v>
      </x:c>
      <x:c r="H3842" t="str">
        <x:v>ITH</x:v>
      </x:c>
      <x:c r="I3842" t="str">
        <x:v>JFK</x:v>
      </x:c>
      <x:c r="J3842" s="23" t="n">
        <x:v>1441</x:v>
      </x:c>
      <x:c r="K3842" s="24" t="n">
        <x:v>0.1339347675225538</x:v>
      </x:c>
      <x:c r="L3842" s="24" t="n">
        <x:v>0.031922276197085354</x:v>
      </x:c>
    </x:row>
    <x:row r="3843">
      <x:c r="G3843" t="str">
        <x:v>DEN-JMS</x:v>
      </x:c>
      <x:c r="H3843" t="str">
        <x:v>DEN</x:v>
      </x:c>
      <x:c r="I3843" t="str">
        <x:v>JMS</x:v>
      </x:c>
      <x:c r="J3843" s="23" t="n">
        <x:v>1195</x:v>
      </x:c>
      <x:c r="K3843" s="24" t="n">
        <x:v>0.13389121338912133</x:v>
      </x:c>
      <x:c r="L3843" s="24" t="n">
        <x:v>0.015899581589958158</x:v>
      </x:c>
    </x:row>
    <x:row r="3844">
      <x:c r="G3844" t="str">
        <x:v>JNU-ANC</x:v>
      </x:c>
      <x:c r="H3844" t="str">
        <x:v>JNU</x:v>
      </x:c>
      <x:c r="I3844" t="str">
        <x:v>ANC</x:v>
      </x:c>
      <x:c r="J3844" s="23" t="n">
        <x:v>3631</x:v>
      </x:c>
      <x:c r="K3844" s="24" t="n">
        <x:v>0.1338474249518039</x:v>
      </x:c>
      <x:c r="L3844" s="24" t="n">
        <x:v>0.02203249793445332</x:v>
      </x:c>
    </x:row>
    <x:row r="3845">
      <x:c r="G3845" t="str">
        <x:v>CVG-ATL</x:v>
      </x:c>
      <x:c r="H3845" t="str">
        <x:v>CVG</x:v>
      </x:c>
      <x:c r="I3845" t="str">
        <x:v>ATL</x:v>
      </x:c>
      <x:c r="J3845" s="23" t="n">
        <x:v>8488</x:v>
      </x:c>
      <x:c r="K3845" s="24" t="n">
        <x:v>0.13383600377002827</x:v>
      </x:c>
      <x:c r="L3845" s="24" t="n">
        <x:v>0.01060320452403393</x:v>
      </x:c>
    </x:row>
    <x:row r="3846">
      <x:c r="G3846" t="str">
        <x:v>BDL-DTW</x:v>
      </x:c>
      <x:c r="H3846" t="str">
        <x:v>BDL</x:v>
      </x:c>
      <x:c r="I3846" t="str">
        <x:v>DTW</x:v>
      </x:c>
      <x:c r="J3846" s="23" t="n">
        <x:v>3782</x:v>
      </x:c>
      <x:c r="K3846" s="24" t="n">
        <x:v>0.1337916446324696</x:v>
      </x:c>
      <x:c r="L3846" s="24" t="n">
        <x:v>0.00819672131147541</x:v>
      </x:c>
    </x:row>
    <x:row r="3847">
      <x:c r="G3847" t="str">
        <x:v>ATL-VLD</x:v>
      </x:c>
      <x:c r="H3847" t="str">
        <x:v>ATL</x:v>
      </x:c>
      <x:c r="I3847" t="str">
        <x:v>VLD</x:v>
      </x:c>
      <x:c r="J3847" s="23" t="n">
        <x:v>1600</x:v>
      </x:c>
      <x:c r="K3847" s="24" t="n">
        <x:v>0.13375</x:v>
      </x:c>
      <x:c r="L3847" s="24" t="n">
        <x:v>0.011875</x:v>
      </x:c>
    </x:row>
    <x:row r="3848">
      <x:c r="G3848" t="str">
        <x:v>SMF-LGB</x:v>
      </x:c>
      <x:c r="H3848" t="str">
        <x:v>SMF</x:v>
      </x:c>
      <x:c r="I3848" t="str">
        <x:v>LGB</x:v>
      </x:c>
      <x:c r="J3848" s="23" t="n">
        <x:v>5713</x:v>
      </x:c>
      <x:c r="K3848" s="24" t="n">
        <x:v>0.13373008927008576</x:v>
      </x:c>
      <x:c r="L3848" s="24" t="n">
        <x:v>0.005076142131979695</x:v>
      </x:c>
    </x:row>
    <x:row r="3849">
      <x:c r="G3849" t="str">
        <x:v>GEG-OAK</x:v>
      </x:c>
      <x:c r="H3849" t="str">
        <x:v>GEG</x:v>
      </x:c>
      <x:c r="I3849" t="str">
        <x:v>OAK</x:v>
      </x:c>
      <x:c r="J3849" s="23" t="n">
        <x:v>1810</x:v>
      </x:c>
      <x:c r="K3849" s="24" t="n">
        <x:v>0.13370165745856355</x:v>
      </x:c>
      <x:c r="L3849" s="24" t="n">
        <x:v>0.0011049723756906078</x:v>
      </x:c>
    </x:row>
    <x:row r="3850">
      <x:c r="G3850" t="str">
        <x:v>ATW-ATL</x:v>
      </x:c>
      <x:c r="H3850" t="str">
        <x:v>ATW</x:v>
      </x:c>
      <x:c r="I3850" t="str">
        <x:v>ATL</x:v>
      </x:c>
      <x:c r="J3850" s="23" t="n">
        <x:v>1107</x:v>
      </x:c>
      <x:c r="K3850" s="24" t="n">
        <x:v>0.13369467028003612</x:v>
      </x:c>
      <x:c r="L3850" s="24" t="n">
        <x:v>0.013550135501355014</x:v>
      </x:c>
    </x:row>
    <x:row r="3851">
      <x:c r="G3851" t="str">
        <x:v>MSY-MSP</x:v>
      </x:c>
      <x:c r="H3851" t="str">
        <x:v>MSY</x:v>
      </x:c>
      <x:c r="I3851" t="str">
        <x:v>MSP</x:v>
      </x:c>
      <x:c r="J3851" s="23" t="n">
        <x:v>1197</x:v>
      </x:c>
      <x:c r="K3851" s="24" t="n">
        <x:v>0.1336675020885547</x:v>
      </x:c>
      <x:c r="L3851" s="24" t="n">
        <x:v>0.012531328320802004</x:v>
      </x:c>
    </x:row>
    <x:row r="3852">
      <x:c r="G3852" t="str">
        <x:v>ABQ-IAH</x:v>
      </x:c>
      <x:c r="H3852" t="str">
        <x:v>ABQ</x:v>
      </x:c>
      <x:c r="I3852" t="str">
        <x:v>IAH</x:v>
      </x:c>
      <x:c r="J3852" s="23" t="n">
        <x:v>1579</x:v>
      </x:c>
      <x:c r="K3852" s="24" t="n">
        <x:v>0.13362887903736542</x:v>
      </x:c>
      <x:c r="L3852" s="24" t="n">
        <x:v>0.01773274224192527</x:v>
      </x:c>
    </x:row>
    <x:row r="3853">
      <x:c r="G3853" t="str">
        <x:v>LIH-OAK</x:v>
      </x:c>
      <x:c r="H3853" t="str">
        <x:v>LIH</x:v>
      </x:c>
      <x:c r="I3853" t="str">
        <x:v>OAK</x:v>
      </x:c>
      <x:c r="J3853" s="23" t="n">
        <x:v>2058</x:v>
      </x:c>
      <x:c r="K3853" s="24" t="n">
        <x:v>0.13362487852283772</x:v>
      </x:c>
      <x:c r="L3853" s="24" t="n">
        <x:v>0.004373177842565598</x:v>
      </x:c>
    </x:row>
    <x:row r="3854">
      <x:c r="G3854" t="str">
        <x:v>TUL-MDW</x:v>
      </x:c>
      <x:c r="H3854" t="str">
        <x:v>TUL</x:v>
      </x:c>
      <x:c r="I3854" t="str">
        <x:v>MDW</x:v>
      </x:c>
      <x:c r="J3854" s="23" t="n">
        <x:v>1363</x:v>
      </x:c>
      <x:c r="K3854" s="24" t="n">
        <x:v>0.13352898019075568</x:v>
      </x:c>
      <x:c r="L3854" s="24" t="n">
        <x:v>0.011005135730007337</x:v>
      </x:c>
    </x:row>
    <x:row r="3855">
      <x:c r="G3855" t="str">
        <x:v>ELP-HOU</x:v>
      </x:c>
      <x:c r="H3855" t="str">
        <x:v>ELP</x:v>
      </x:c>
      <x:c r="I3855" t="str">
        <x:v>HOU</x:v>
      </x:c>
      <x:c r="J3855" s="23" t="n">
        <x:v>3162</x:v>
      </x:c>
      <x:c r="K3855" s="24" t="n">
        <x:v>0.13345983554712207</x:v>
      </x:c>
      <x:c r="L3855" s="24" t="n">
        <x:v>0.007906388361796331</x:v>
      </x:c>
    </x:row>
    <x:row r="3856">
      <x:c r="G3856" t="str">
        <x:v>ONT-PDX</x:v>
      </x:c>
      <x:c r="H3856" t="str">
        <x:v>ONT</x:v>
      </x:c>
      <x:c r="I3856" t="str">
        <x:v>PDX</x:v>
      </x:c>
      <x:c r="J3856" s="23" t="n">
        <x:v>1641</x:v>
      </x:c>
      <x:c r="K3856" s="24" t="n">
        <x:v>0.13345521023765997</x:v>
      </x:c>
      <x:c r="L3856" s="24" t="n">
        <x:v>0.015843997562461912</x:v>
      </x:c>
    </x:row>
    <x:row r="3857">
      <x:c r="G3857" t="str">
        <x:v>SJC-SNA</x:v>
      </x:c>
      <x:c r="H3857" t="str">
        <x:v>SJC</x:v>
      </x:c>
      <x:c r="I3857" t="str">
        <x:v>SNA</x:v>
      </x:c>
      <x:c r="J3857" s="23" t="n">
        <x:v>8116</x:v>
      </x:c>
      <x:c r="K3857" s="24" t="n">
        <x:v>0.1334401182848694</x:v>
      </x:c>
      <x:c r="L3857" s="24" t="n">
        <x:v>0.009241005421389847</x:v>
      </x:c>
    </x:row>
    <x:row r="3858">
      <x:c r="G3858" t="str">
        <x:v>LAX-PDX</x:v>
      </x:c>
      <x:c r="H3858" t="str">
        <x:v>LAX</x:v>
      </x:c>
      <x:c r="I3858" t="str">
        <x:v>PDX</x:v>
      </x:c>
      <x:c r="J3858" s="23" t="n">
        <x:v>13414</x:v>
      </x:c>
      <x:c r="K3858" s="24" t="n">
        <x:v>0.13336812285671687</x:v>
      </x:c>
      <x:c r="L3858" s="24" t="n">
        <x:v>0.009989563142984942</x:v>
      </x:c>
    </x:row>
    <x:row r="3859">
      <x:c r="G3859" t="str">
        <x:v>BDL-IAD</x:v>
      </x:c>
      <x:c r="H3859" t="str">
        <x:v>BDL</x:v>
      </x:c>
      <x:c r="I3859" t="str">
        <x:v>IAD</x:v>
      </x:c>
      <x:c r="J3859" s="23" t="n">
        <x:v>2251</x:v>
      </x:c>
      <x:c r="K3859" s="24" t="n">
        <x:v>0.1332741003998223</x:v>
      </x:c>
      <x:c r="L3859" s="24" t="n">
        <x:v>0.011550422034651266</x:v>
      </x:c>
    </x:row>
    <x:row r="3860">
      <x:c r="G3860" t="str">
        <x:v>CMH-PHX</x:v>
      </x:c>
      <x:c r="H3860" t="str">
        <x:v>CMH</x:v>
      </x:c>
      <x:c r="I3860" t="str">
        <x:v>PHX</x:v>
      </x:c>
      <x:c r="J3860" s="23" t="n">
        <x:v>3137</x:v>
      </x:c>
      <x:c r="K3860" s="24" t="n">
        <x:v>0.13324832642652215</x:v>
      </x:c>
      <x:c r="L3860" s="24" t="n">
        <x:v>0.004462862607586867</x:v>
      </x:c>
    </x:row>
    <x:row r="3861">
      <x:c r="G3861" t="str">
        <x:v>ATL-XNA</x:v>
      </x:c>
      <x:c r="H3861" t="str">
        <x:v>ATL</x:v>
      </x:c>
      <x:c r="I3861" t="str">
        <x:v>XNA</x:v>
      </x:c>
      <x:c r="J3861" s="23" t="n">
        <x:v>3815</x:v>
      </x:c>
      <x:c r="K3861" s="24" t="n">
        <x:v>0.1331585845347313</x:v>
      </x:c>
      <x:c r="L3861" s="24" t="n">
        <x:v>0.006290956749672346</x:v>
      </x:c>
    </x:row>
    <x:row r="3862">
      <x:c r="G3862" t="str">
        <x:v>LAX-SAN</x:v>
      </x:c>
      <x:c r="H3862" t="str">
        <x:v>LAX</x:v>
      </x:c>
      <x:c r="I3862" t="str">
        <x:v>SAN</x:v>
      </x:c>
      <x:c r="J3862" s="23" t="n">
        <x:v>6441</x:v>
      </x:c>
      <x:c r="K3862" s="24" t="n">
        <x:v>0.13305387362210838</x:v>
      </x:c>
      <x:c r="L3862" s="24" t="n">
        <x:v>0.00527868343424934</x:v>
      </x:c>
    </x:row>
    <x:row r="3863">
      <x:c r="G3863" t="str">
        <x:v>TYS-PHL</x:v>
      </x:c>
      <x:c r="H3863" t="str">
        <x:v>TYS</x:v>
      </x:c>
      <x:c r="I3863" t="str">
        <x:v>PHL</x:v>
      </x:c>
      <x:c r="J3863" s="23" t="n">
        <x:v>1331</x:v>
      </x:c>
      <x:c r="K3863" s="24" t="n">
        <x:v>0.13298271975957926</x:v>
      </x:c>
      <x:c r="L3863" s="24" t="n">
        <x:v>0.01652892561983471</x:v>
      </x:c>
    </x:row>
    <x:row r="3864">
      <x:c r="G3864" t="str">
        <x:v>ATL-ABE</x:v>
      </x:c>
      <x:c r="H3864" t="str">
        <x:v>ATL</x:v>
      </x:c>
      <x:c r="I3864" t="str">
        <x:v>ABE</x:v>
      </x:c>
      <x:c r="J3864" s="23" t="n">
        <x:v>2011</x:v>
      </x:c>
      <x:c r="K3864" s="24" t="n">
        <x:v>0.13276976628543014</x:v>
      </x:c>
      <x:c r="L3864" s="24" t="n">
        <x:v>0.008453505718547987</x:v>
      </x:c>
    </x:row>
    <x:row r="3865">
      <x:c r="G3865" t="str">
        <x:v>GEG-PDX</x:v>
      </x:c>
      <x:c r="H3865" t="str">
        <x:v>GEG</x:v>
      </x:c>
      <x:c r="I3865" t="str">
        <x:v>PDX</x:v>
      </x:c>
      <x:c r="J3865" s="23" t="n">
        <x:v>1583</x:v>
      </x:c>
      <x:c r="K3865" s="24" t="n">
        <x:v>0.1326595072646873</x:v>
      </x:c>
      <x:c r="L3865" s="24" t="n">
        <x:v>0.009475679090334808</x:v>
      </x:c>
    </x:row>
    <x:row r="3866">
      <x:c r="G3866" t="str">
        <x:v>SDF-MDW</x:v>
      </x:c>
      <x:c r="H3866" t="str">
        <x:v>SDF</x:v>
      </x:c>
      <x:c r="I3866" t="str">
        <x:v>MDW</x:v>
      </x:c>
      <x:c r="J3866" s="23" t="n">
        <x:v>3099</x:v>
      </x:c>
      <x:c r="K3866" s="24" t="n">
        <x:v>0.13262342691190707</x:v>
      </x:c>
      <x:c r="L3866" s="24" t="n">
        <x:v>0.013875443691513391</x:v>
      </x:c>
    </x:row>
    <x:row r="3867">
      <x:c r="G3867" t="str">
        <x:v>ACV-LAX</x:v>
      </x:c>
      <x:c r="H3867" t="str">
        <x:v>ACV</x:v>
      </x:c>
      <x:c r="I3867" t="str">
        <x:v>LAX</x:v>
      </x:c>
      <x:c r="J3867" s="23" t="n">
        <x:v>1087</x:v>
      </x:c>
      <x:c r="K3867" s="24" t="n">
        <x:v>0.13247470101195952</x:v>
      </x:c>
      <x:c r="L3867" s="24" t="n">
        <x:v>0.00827966881324747</x:v>
      </x:c>
    </x:row>
    <x:row r="3868">
      <x:c r="G3868" t="str">
        <x:v>YAK-JNU</x:v>
      </x:c>
      <x:c r="H3868" t="str">
        <x:v>YAK</x:v>
      </x:c>
      <x:c r="I3868" t="str">
        <x:v>JNU</x:v>
      </x:c>
      <x:c r="J3868" s="23" t="n">
        <x:v>1087</x:v>
      </x:c>
      <x:c r="K3868" s="24" t="n">
        <x:v>0.13247470101195952</x:v>
      </x:c>
      <x:c r="L3868" s="24" t="n">
        <x:v>0.03219871205151794</x:v>
      </x:c>
    </x:row>
    <x:row r="3869">
      <x:c r="G3869" t="str">
        <x:v>YUM-PHX</x:v>
      </x:c>
      <x:c r="H3869" t="str">
        <x:v>YUM</x:v>
      </x:c>
      <x:c r="I3869" t="str">
        <x:v>PHX</x:v>
      </x:c>
      <x:c r="J3869" s="23" t="n">
        <x:v>3843</x:v>
      </x:c>
      <x:c r="K3869" s="24" t="n">
        <x:v>0.13244860785844392</x:v>
      </x:c>
      <x:c r="L3869" s="24" t="n">
        <x:v>0.006505334374186833</x:v>
      </x:c>
    </x:row>
    <x:row r="3870">
      <x:c r="G3870" t="str">
        <x:v>CVG-SLC</x:v>
      </x:c>
      <x:c r="H3870" t="str">
        <x:v>CVG</x:v>
      </x:c>
      <x:c r="I3870" t="str">
        <x:v>SLC</x:v>
      </x:c>
      <x:c r="J3870" s="23" t="n">
        <x:v>2122</x:v>
      </x:c>
      <x:c r="K3870" s="24" t="n">
        <x:v>0.13242224316682374</x:v>
      </x:c>
      <x:c r="L3870" s="24" t="n">
        <x:v>0.0051837888784165885</x:v>
      </x:c>
    </x:row>
    <x:row r="3871">
      <x:c r="G3871" t="str">
        <x:v>PSP-SMF</x:v>
      </x:c>
      <x:c r="H3871" t="str">
        <x:v>PSP</x:v>
      </x:c>
      <x:c r="I3871" t="str">
        <x:v>SMF</x:v>
      </x:c>
      <x:c r="J3871" s="23" t="n">
        <x:v>1413</x:v>
      </x:c>
      <x:c r="K3871" s="24" t="n">
        <x:v>0.13234253361641896</x:v>
      </x:c>
      <x:c r="L3871" s="24" t="n">
        <x:v>0.0021231422505307855</x:v>
      </x:c>
    </x:row>
    <x:row r="3872">
      <x:c r="G3872" t="str">
        <x:v>BFL-PHX</x:v>
      </x:c>
      <x:c r="H3872" t="str">
        <x:v>BFL</x:v>
      </x:c>
      <x:c r="I3872" t="str">
        <x:v>PHX</x:v>
      </x:c>
      <x:c r="J3872" s="23" t="n">
        <x:v>3507</x:v>
      </x:c>
      <x:c r="K3872" s="24" t="n">
        <x:v>0.13230681494154548</x:v>
      </x:c>
      <x:c r="L3872" s="24" t="n">
        <x:v>0.0051325919589392645</x:v>
      </x:c>
    </x:row>
    <x:row r="3873">
      <x:c r="G3873" t="str">
        <x:v>GSO-DTW</x:v>
      </x:c>
      <x:c r="H3873" t="str">
        <x:v>GSO</x:v>
      </x:c>
      <x:c r="I3873" t="str">
        <x:v>DTW</x:v>
      </x:c>
      <x:c r="J3873" s="23" t="n">
        <x:v>1082</x:v>
      </x:c>
      <x:c r="K3873" s="24" t="n">
        <x:v>0.1321626617375231</x:v>
      </x:c>
      <x:c r="L3873" s="24" t="n">
        <x:v>0.00831792975970425</x:v>
      </x:c>
    </x:row>
    <x:row r="3874">
      <x:c r="G3874" t="str">
        <x:v>LAX-SJC</x:v>
      </x:c>
      <x:c r="H3874" t="str">
        <x:v>LAX</x:v>
      </x:c>
      <x:c r="I3874" t="str">
        <x:v>SJC</x:v>
      </x:c>
      <x:c r="J3874" s="23" t="n">
        <x:v>15647</x:v>
      </x:c>
      <x:c r="K3874" s="24" t="n">
        <x:v>0.13191027033936217</x:v>
      </x:c>
      <x:c r="L3874" s="24" t="n">
        <x:v>0.002172940499776315</x:v>
      </x:c>
    </x:row>
    <x:row r="3875">
      <x:c r="G3875" t="str">
        <x:v>ONT-SJC</x:v>
      </x:c>
      <x:c r="H3875" t="str">
        <x:v>ONT</x:v>
      </x:c>
      <x:c r="I3875" t="str">
        <x:v>SJC</x:v>
      </x:c>
      <x:c r="J3875" s="23" t="n">
        <x:v>4231</x:v>
      </x:c>
      <x:c r="K3875" s="24" t="n">
        <x:v>0.1318837154337036</x:v>
      </x:c>
      <x:c r="L3875" s="24" t="n">
        <x:v>0.0033089104230678325</x:v>
      </x:c>
    </x:row>
    <x:row r="3876">
      <x:c r="G3876" t="str">
        <x:v>AUS-IAD</x:v>
      </x:c>
      <x:c r="H3876" t="str">
        <x:v>AUS</x:v>
      </x:c>
      <x:c r="I3876" t="str">
        <x:v>IAD</x:v>
      </x:c>
      <x:c r="J3876" s="23" t="n">
        <x:v>3322</x:v>
      </x:c>
      <x:c r="K3876" s="24" t="n">
        <x:v>0.13184828416616495</x:v>
      </x:c>
      <x:c r="L3876" s="24" t="n">
        <x:v>0.009030704394942806</x:v>
      </x:c>
    </x:row>
    <x:row r="3877">
      <x:c r="G3877" t="str">
        <x:v>RDU-DTW</x:v>
      </x:c>
      <x:c r="H3877" t="str">
        <x:v>RDU</x:v>
      </x:c>
      <x:c r="I3877" t="str">
        <x:v>DTW</x:v>
      </x:c>
      <x:c r="J3877" s="23" t="n">
        <x:v>4583</x:v>
      </x:c>
      <x:c r="K3877" s="24" t="n">
        <x:v>0.13179140301112807</x:v>
      </x:c>
      <x:c r="L3877" s="24" t="n">
        <x:v>0.008727907484180668</x:v>
      </x:c>
    </x:row>
    <x:row r="3878">
      <x:c r="G3878" t="str">
        <x:v>CMH-JFK</x:v>
      </x:c>
      <x:c r="H3878" t="str">
        <x:v>CMH</x:v>
      </x:c>
      <x:c r="I3878" t="str">
        <x:v>JFK</x:v>
      </x:c>
      <x:c r="J3878" s="23" t="n">
        <x:v>5737</x:v>
      </x:c>
      <x:c r="K3878" s="24" t="n">
        <x:v>0.13177618964615653</x:v>
      </x:c>
      <x:c r="L3878" s="24" t="n">
        <x:v>0.022311312532682585</x:v>
      </x:c>
    </x:row>
    <x:row r="3879">
      <x:c r="G3879" t="str">
        <x:v>ATL-TRI</x:v>
      </x:c>
      <x:c r="H3879" t="str">
        <x:v>ATL</x:v>
      </x:c>
      <x:c r="I3879" t="str">
        <x:v>TRI</x:v>
      </x:c>
      <x:c r="J3879" s="23" t="n">
        <x:v>3310</x:v>
      </x:c>
      <x:c r="K3879" s="24" t="n">
        <x:v>0.13172205438066464</x:v>
      </x:c>
      <x:c r="L3879" s="24" t="n">
        <x:v>0.005438066465256798</x:v>
      </x:c>
    </x:row>
    <x:row r="3880">
      <x:c r="G3880" t="str">
        <x:v>SLC-RNO</x:v>
      </x:c>
      <x:c r="H3880" t="str">
        <x:v>SLC</x:v>
      </x:c>
      <x:c r="I3880" t="str">
        <x:v>RNO</x:v>
      </x:c>
      <x:c r="J3880" s="23" t="n">
        <x:v>3357</x:v>
      </x:c>
      <x:c r="K3880" s="24" t="n">
        <x:v>0.13166517724158475</x:v>
      </x:c>
      <x:c r="L3880" s="24" t="n">
        <x:v>0.002978850163836759</x:v>
      </x:c>
    </x:row>
    <x:row r="3881">
      <x:c r="G3881" t="str">
        <x:v>ELP-LAX</x:v>
      </x:c>
      <x:c r="H3881" t="str">
        <x:v>ELP</x:v>
      </x:c>
      <x:c r="I3881" t="str">
        <x:v>LAX</x:v>
      </x:c>
      <x:c r="J3881" s="23" t="n">
        <x:v>4064</x:v>
      </x:c>
      <x:c r="K3881" s="24" t="n">
        <x:v>0.13164370078740156</x:v>
      </x:c>
      <x:c r="L3881" s="24" t="n">
        <x:v>0.0017224409448818897</x:v>
      </x:c>
    </x:row>
    <x:row r="3882">
      <x:c r="G3882" t="str">
        <x:v>LIH-OGG</x:v>
      </x:c>
      <x:c r="H3882" t="str">
        <x:v>LIH</x:v>
      </x:c>
      <x:c r="I3882" t="str">
        <x:v>OGG</x:v>
      </x:c>
      <x:c r="J3882" s="23" t="n">
        <x:v>4440</x:v>
      </x:c>
      <x:c r="K3882" s="24" t="n">
        <x:v>0.13153153153153152</x:v>
      </x:c>
      <x:c r="L3882" s="24" t="n">
        <x:v>0.0036036036036036037</x:v>
      </x:c>
    </x:row>
    <x:row r="3883">
      <x:c r="G3883" t="str">
        <x:v>PWM-IAD</x:v>
      </x:c>
      <x:c r="H3883" t="str">
        <x:v>PWM</x:v>
      </x:c>
      <x:c r="I3883" t="str">
        <x:v>IAD</x:v>
      </x:c>
      <x:c r="J3883" s="23" t="n">
        <x:v>2000</x:v>
      </x:c>
      <x:c r="K3883" s="24" t="n">
        <x:v>0.1315</x:v>
      </x:c>
      <x:c r="L3883" s="24" t="n">
        <x:v>0.02</x:v>
      </x:c>
    </x:row>
    <x:row r="3884">
      <x:c r="G3884" t="str">
        <x:v>PIT-DTW</x:v>
      </x:c>
      <x:c r="H3884" t="str">
        <x:v>PIT</x:v>
      </x:c>
      <x:c r="I3884" t="str">
        <x:v>DTW</x:v>
      </x:c>
      <x:c r="J3884" s="23" t="n">
        <x:v>3780</x:v>
      </x:c>
      <x:c r="K3884" s="24" t="n">
        <x:v>0.13148148148148148</x:v>
      </x:c>
      <x:c r="L3884" s="24" t="n">
        <x:v>0.010582010582010581</x:v>
      </x:c>
    </x:row>
    <x:row r="3885">
      <x:c r="G3885" t="str">
        <x:v>SAT-MDW</x:v>
      </x:c>
      <x:c r="H3885" t="str">
        <x:v>SAT</x:v>
      </x:c>
      <x:c r="I3885" t="str">
        <x:v>MDW</x:v>
      </x:c>
      <x:c r="J3885" s="23" t="n">
        <x:v>2130</x:v>
      </x:c>
      <x:c r="K3885" s="24" t="n">
        <x:v>0.13145539906103287</x:v>
      </x:c>
      <x:c r="L3885" s="24" t="n">
        <x:v>0.007042253521126761</x:v>
      </x:c>
    </x:row>
    <x:row r="3886">
      <x:c r="G3886" t="str">
        <x:v>CMH-ATL</x:v>
      </x:c>
      <x:c r="H3886" t="str">
        <x:v>CMH</x:v>
      </x:c>
      <x:c r="I3886" t="str">
        <x:v>ATL</x:v>
      </x:c>
      <x:c r="J3886" s="23" t="n">
        <x:v>9429</x:v>
      </x:c>
      <x:c r="K3886" s="24" t="n">
        <x:v>0.13140311804008908</x:v>
      </x:c>
      <x:c r="L3886" s="24" t="n">
        <x:v>0.008378407042104147</x:v>
      </x:c>
    </x:row>
    <x:row r="3887">
      <x:c r="G3887" t="str">
        <x:v>GFK-MSP</x:v>
      </x:c>
      <x:c r="H3887" t="str">
        <x:v>GFK</x:v>
      </x:c>
      <x:c r="I3887" t="str">
        <x:v>MSP</x:v>
      </x:c>
      <x:c r="J3887" s="23" t="n">
        <x:v>2793</x:v>
      </x:c>
      <x:c r="K3887" s="24" t="n">
        <x:v>0.1313999283924096</x:v>
      </x:c>
      <x:c r="L3887" s="24" t="n">
        <x:v>0.013247404224847834</x:v>
      </x:c>
    </x:row>
    <x:row r="3888">
      <x:c r="G3888" t="str">
        <x:v>HNL-DFW</x:v>
      </x:c>
      <x:c r="H3888" t="str">
        <x:v>HNL</x:v>
      </x:c>
      <x:c r="I3888" t="str">
        <x:v>DFW</x:v>
      </x:c>
      <x:c r="J3888" s="23" t="n">
        <x:v>1835</x:v>
      </x:c>
      <x:c r="K3888" s="24" t="n">
        <x:v>0.13133514986376021</x:v>
      </x:c>
      <x:c r="L3888" s="24" t="n">
        <x:v>0.006539509536784741</x:v>
      </x:c>
    </x:row>
    <x:row r="3889">
      <x:c r="G3889" t="str">
        <x:v>RDU-IAD</x:v>
      </x:c>
      <x:c r="H3889" t="str">
        <x:v>RDU</x:v>
      </x:c>
      <x:c r="I3889" t="str">
        <x:v>IAD</x:v>
      </x:c>
      <x:c r="J3889" s="23" t="n">
        <x:v>3027</x:v>
      </x:c>
      <x:c r="K3889" s="24" t="n">
        <x:v>0.1311529567228279</x:v>
      </x:c>
      <x:c r="L3889" s="24" t="n">
        <x:v>0.011562603237528906</x:v>
      </x:c>
    </x:row>
    <x:row r="3890">
      <x:c r="G3890" t="str">
        <x:v>XNA-PHX</x:v>
      </x:c>
      <x:c r="H3890" t="str">
        <x:v>XNA</x:v>
      </x:c>
      <x:c r="I3890" t="str">
        <x:v>PHX</x:v>
      </x:c>
      <x:c r="J3890" s="23" t="n">
        <x:v>1549</x:v>
      </x:c>
      <x:c r="K3890" s="24" t="n">
        <x:v>0.13105229180116204</x:v>
      </x:c>
      <x:c r="L3890" s="24" t="n">
        <x:v>0.0025823111684958036</x:v>
      </x:c>
    </x:row>
    <x:row r="3891">
      <x:c r="G3891" t="str">
        <x:v>HNL-KOA</x:v>
      </x:c>
      <x:c r="H3891" t="str">
        <x:v>HNL</x:v>
      </x:c>
      <x:c r="I3891" t="str">
        <x:v>KOA</x:v>
      </x:c>
      <x:c r="J3891" s="23" t="n">
        <x:v>23735</x:v>
      </x:c>
      <x:c r="K3891" s="24" t="n">
        <x:v>0.1309879924162629</x:v>
      </x:c>
      <x:c r="L3891" s="24" t="n">
        <x:v>0.009269012007583738</x:v>
      </x:c>
    </x:row>
    <x:row r="3892">
      <x:c r="G3892" t="str">
        <x:v>PSC-SEA</x:v>
      </x:c>
      <x:c r="H3892" t="str">
        <x:v>PSC</x:v>
      </x:c>
      <x:c r="I3892" t="str">
        <x:v>SEA</x:v>
      </x:c>
      <x:c r="J3892" s="23" t="n">
        <x:v>6148</x:v>
      </x:c>
      <x:c r="K3892" s="24" t="n">
        <x:v>0.13093689004554326</x:v>
      </x:c>
      <x:c r="L3892" s="24" t="n">
        <x:v>0.005530253741054001</x:v>
      </x:c>
    </x:row>
    <x:row r="3893">
      <x:c r="G3893" t="str">
        <x:v>MCI-ATL</x:v>
      </x:c>
      <x:c r="H3893" t="str">
        <x:v>MCI</x:v>
      </x:c>
      <x:c r="I3893" t="str">
        <x:v>ATL</x:v>
      </x:c>
      <x:c r="J3893" s="23" t="n">
        <x:v>9818</x:v>
      </x:c>
      <x:c r="K3893" s="24" t="n">
        <x:v>0.13067834589529437</x:v>
      </x:c>
      <x:c r="L3893" s="24" t="n">
        <x:v>0.009370543898961092</x:v>
      </x:c>
    </x:row>
    <x:row r="3894">
      <x:c r="G3894" t="str">
        <x:v>CLE-SFO</x:v>
      </x:c>
      <x:c r="H3894" t="str">
        <x:v>CLE</x:v>
      </x:c>
      <x:c r="I3894" t="str">
        <x:v>SFO</x:v>
      </x:c>
      <x:c r="J3894" s="23" t="n">
        <x:v>1745</x:v>
      </x:c>
      <x:c r="K3894" s="24" t="n">
        <x:v>0.13065902578796562</x:v>
      </x:c>
      <x:c r="L3894" s="24" t="n">
        <x:v>0.010888252148997135</x:v>
      </x:c>
    </x:row>
    <x:row r="3895">
      <x:c r="G3895" t="str">
        <x:v>MAF-PHX</x:v>
      </x:c>
      <x:c r="H3895" t="str">
        <x:v>MAF</x:v>
      </x:c>
      <x:c r="I3895" t="str">
        <x:v>PHX</x:v>
      </x:c>
      <x:c r="J3895" s="23" t="n">
        <x:v>1087</x:v>
      </x:c>
      <x:c r="K3895" s="24" t="n">
        <x:v>0.13063477460901565</x:v>
      </x:c>
      <x:c r="L3895" s="24" t="n">
        <x:v>0.004599816007359705</x:v>
      </x:c>
    </x:row>
    <x:row r="3896">
      <x:c r="G3896" t="str">
        <x:v>ABQ-MDW</x:v>
      </x:c>
      <x:c r="H3896" t="str">
        <x:v>ABQ</x:v>
      </x:c>
      <x:c r="I3896" t="str">
        <x:v>MDW</x:v>
      </x:c>
      <x:c r="J3896" s="23" t="n">
        <x:v>1424</x:v>
      </x:c>
      <x:c r="K3896" s="24" t="n">
        <x:v>0.1306179775280899</x:v>
      </x:c>
      <x:c r="L3896" s="24" t="n">
        <x:v>0.007724719101123595</x:v>
      </x:c>
    </x:row>
    <x:row r="3897">
      <x:c r="G3897" t="str">
        <x:v>BUR-PDX</x:v>
      </x:c>
      <x:c r="H3897" t="str">
        <x:v>BUR</x:v>
      </x:c>
      <x:c r="I3897" t="str">
        <x:v>PDX</x:v>
      </x:c>
      <x:c r="J3897" s="23" t="n">
        <x:v>3137</x:v>
      </x:c>
      <x:c r="K3897" s="24" t="n">
        <x:v>0.13037934332164489</x:v>
      </x:c>
      <x:c r="L3897" s="24" t="n">
        <x:v>0.013707363723302519</x:v>
      </x:c>
    </x:row>
    <x:row r="3898">
      <x:c r="G3898" t="str">
        <x:v>FLL-IAD</x:v>
      </x:c>
      <x:c r="H3898" t="str">
        <x:v>FLL</x:v>
      </x:c>
      <x:c r="I3898" t="str">
        <x:v>IAD</x:v>
      </x:c>
      <x:c r="J3898" s="23" t="n">
        <x:v>2333</x:v>
      </x:c>
      <x:c r="K3898" s="24" t="n">
        <x:v>0.13030432918988427</x:v>
      </x:c>
      <x:c r="L3898" s="24" t="n">
        <x:v>0.009001285897985427</x:v>
      </x:c>
    </x:row>
    <x:row r="3899">
      <x:c r="G3899" t="str">
        <x:v>ONT-SMF</x:v>
      </x:c>
      <x:c r="H3899" t="str">
        <x:v>ONT</x:v>
      </x:c>
      <x:c r="I3899" t="str">
        <x:v>SMF</x:v>
      </x:c>
      <x:c r="J3899" s="23" t="n">
        <x:v>5872</x:v>
      </x:c>
      <x:c r="K3899" s="24" t="n">
        <x:v>0.1302792915531335</x:v>
      </x:c>
      <x:c r="L3899" s="24" t="n">
        <x:v>0.0034059945504087193</x:v>
      </x:c>
    </x:row>
    <x:row r="3900">
      <x:c r="G3900" t="str">
        <x:v>RSW-ATL</x:v>
      </x:c>
      <x:c r="H3900" t="str">
        <x:v>RSW</x:v>
      </x:c>
      <x:c r="I3900" t="str">
        <x:v>ATL</x:v>
      </x:c>
      <x:c r="J3900" s="23" t="n">
        <x:v>9354</x:v>
      </x:c>
      <x:c r="K3900" s="24" t="n">
        <x:v>0.1302116741500962</x:v>
      </x:c>
      <x:c r="L3900" s="24" t="n">
        <x:v>0.013256360915116528</x:v>
      </x:c>
    </x:row>
    <x:row r="3901">
      <x:c r="G3901" t="str">
        <x:v>ATL-DAY</x:v>
      </x:c>
      <x:c r="H3901" t="str">
        <x:v>ATL</x:v>
      </x:c>
      <x:c r="I3901" t="str">
        <x:v>DAY</x:v>
      </x:c>
      <x:c r="J3901" s="23" t="n">
        <x:v>4026</x:v>
      </x:c>
      <x:c r="K3901" s="24" t="n">
        <x:v>0.13015399900645802</x:v>
      </x:c>
      <x:c r="L3901" s="24" t="n">
        <x:v>0.007203179334326876</x:v>
      </x:c>
    </x:row>
    <x:row r="3902">
      <x:c r="G3902" t="str">
        <x:v>YAK-CDV</x:v>
      </x:c>
      <x:c r="H3902" t="str">
        <x:v>YAK</x:v>
      </x:c>
      <x:c r="I3902" t="str">
        <x:v>CDV</x:v>
      </x:c>
      <x:c r="J3902" s="23" t="n">
        <x:v>1087</x:v>
      </x:c>
      <x:c r="K3902" s="24" t="n">
        <x:v>0.1297148114075437</x:v>
      </x:c>
      <x:c r="L3902" s="24" t="n">
        <x:v>0.03219871205151794</x:v>
      </x:c>
    </x:row>
    <x:row r="3903">
      <x:c r="G3903" t="str">
        <x:v>MCI-STL</x:v>
      </x:c>
      <x:c r="H3903" t="str">
        <x:v>MCI</x:v>
      </x:c>
      <x:c r="I3903" t="str">
        <x:v>STL</x:v>
      </x:c>
      <x:c r="J3903" s="23" t="n">
        <x:v>3215</x:v>
      </x:c>
      <x:c r="K3903" s="24" t="n">
        <x:v>0.1297045101088647</x:v>
      </x:c>
      <x:c r="L3903" s="24" t="n">
        <x:v>0.009020217729393468</x:v>
      </x:c>
    </x:row>
    <x:row r="3904">
      <x:c r="G3904" t="str">
        <x:v>SLC-OAK</x:v>
      </x:c>
      <x:c r="H3904" t="str">
        <x:v>SLC</x:v>
      </x:c>
      <x:c r="I3904" t="str">
        <x:v>OAK</x:v>
      </x:c>
      <x:c r="J3904" s="23" t="n">
        <x:v>5837</x:v>
      </x:c>
      <x:c r="K3904" s="24" t="n">
        <x:v>0.12968990919993148</x:v>
      </x:c>
      <x:c r="L3904" s="24" t="n">
        <x:v>0.002569813260236423</x:v>
      </x:c>
    </x:row>
    <x:row r="3905">
      <x:c r="G3905" t="str">
        <x:v>SAT-MSP</x:v>
      </x:c>
      <x:c r="H3905" t="str">
        <x:v>SAT</x:v>
      </x:c>
      <x:c r="I3905" t="str">
        <x:v>MSP</x:v>
      </x:c>
      <x:c r="J3905" s="23" t="n">
        <x:v>2616</x:v>
      </x:c>
      <x:c r="K3905" s="24" t="n">
        <x:v>0.12958715596330275</x:v>
      </x:c>
      <x:c r="L3905" s="24" t="n">
        <x:v>0.008409785932721712</x:v>
      </x:c>
    </x:row>
    <x:row r="3906">
      <x:c r="G3906" t="str">
        <x:v>SAT-STL</x:v>
      </x:c>
      <x:c r="H3906" t="str">
        <x:v>SAT</x:v>
      </x:c>
      <x:c r="I3906" t="str">
        <x:v>STL</x:v>
      </x:c>
      <x:c r="J3906" s="23" t="n">
        <x:v>1536</x:v>
      </x:c>
      <x:c r="K3906" s="24" t="n">
        <x:v>0.12955729166666666</x:v>
      </x:c>
      <x:c r="L3906" s="24" t="n">
        <x:v>0.007161458333333333</x:v>
      </x:c>
    </x:row>
    <x:row r="3907">
      <x:c r="G3907" t="str">
        <x:v>SLC-COS</x:v>
      </x:c>
      <x:c r="H3907" t="str">
        <x:v>SLC</x:v>
      </x:c>
      <x:c r="I3907" t="str">
        <x:v>COS</x:v>
      </x:c>
      <x:c r="J3907" s="23" t="n">
        <x:v>1428</x:v>
      </x:c>
      <x:c r="K3907" s="24" t="n">
        <x:v>0.12955182072829133</x:v>
      </x:c>
      <x:c r="L3907" s="24" t="n">
        <x:v>0.0021008403361344537</x:v>
      </x:c>
    </x:row>
    <x:row r="3908">
      <x:c r="G3908" t="str">
        <x:v>ATL-MLU</x:v>
      </x:c>
      <x:c r="H3908" t="str">
        <x:v>ATL</x:v>
      </x:c>
      <x:c r="I3908" t="str">
        <x:v>MLU</x:v>
      </x:c>
      <x:c r="J3908" s="23" t="n">
        <x:v>1621</x:v>
      </x:c>
      <x:c r="K3908" s="24" t="n">
        <x:v>0.1295496607032696</x:v>
      </x:c>
      <x:c r="L3908" s="24" t="n">
        <x:v>0.005552128315854411</x:v>
      </x:c>
    </x:row>
    <x:row r="3909">
      <x:c r="G3909" t="str">
        <x:v>SJC-LGB</x:v>
      </x:c>
      <x:c r="H3909" t="str">
        <x:v>SJC</x:v>
      </x:c>
      <x:c r="I3909" t="str">
        <x:v>LGB</x:v>
      </x:c>
      <x:c r="J3909" s="23" t="n">
        <x:v>3932</x:v>
      </x:c>
      <x:c r="K3909" s="24" t="n">
        <x:v>0.1294506612410987</x:v>
      </x:c>
      <x:c r="L3909" s="24" t="n">
        <x:v>0.0038148524923702952</x:v>
      </x:c>
    </x:row>
    <x:row r="3910">
      <x:c r="G3910" t="str">
        <x:v>HNL-SLC</x:v>
      </x:c>
      <x:c r="H3910" t="str">
        <x:v>HNL</x:v>
      </x:c>
      <x:c r="I3910" t="str">
        <x:v>SLC</x:v>
      </x:c>
      <x:c r="J3910" s="23" t="n">
        <x:v>1856</x:v>
      </x:c>
      <x:c r="K3910" s="24" t="n">
        <x:v>0.12931034482758622</x:v>
      </x:c>
      <x:c r="L3910" s="24" t="n">
        <x:v>0.008620689655172414</x:v>
      </x:c>
    </x:row>
    <x:row r="3911">
      <x:c r="G3911" t="str">
        <x:v>OKC-STL</x:v>
      </x:c>
      <x:c r="H3911" t="str">
        <x:v>OKC</x:v>
      </x:c>
      <x:c r="I3911" t="str">
        <x:v>STL</x:v>
      </x:c>
      <x:c r="J3911" s="23" t="n">
        <x:v>2065</x:v>
      </x:c>
      <x:c r="K3911" s="24" t="n">
        <x:v>0.12929782082324456</x:v>
      </x:c>
      <x:c r="L3911" s="24" t="n">
        <x:v>0.00774818401937046</x:v>
      </x:c>
    </x:row>
    <x:row r="3912">
      <x:c r="G3912" t="str">
        <x:v>CHA-ATL</x:v>
      </x:c>
      <x:c r="H3912" t="str">
        <x:v>CHA</x:v>
      </x:c>
      <x:c r="I3912" t="str">
        <x:v>ATL</x:v>
      </x:c>
      <x:c r="J3912" s="23" t="n">
        <x:v>6157</x:v>
      </x:c>
      <x:c r="K3912" s="24" t="n">
        <x:v>0.12928374208218288</x:v>
      </x:c>
      <x:c r="L3912" s="24" t="n">
        <x:v>0.008608088354718208</x:v>
      </x:c>
    </x:row>
    <x:row r="3913">
      <x:c r="G3913" t="str">
        <x:v>RAP-MSP</x:v>
      </x:c>
      <x:c r="H3913" t="str">
        <x:v>RAP</x:v>
      </x:c>
      <x:c r="I3913" t="str">
        <x:v>MSP</x:v>
      </x:c>
      <x:c r="J3913" s="23" t="n">
        <x:v>2290</x:v>
      </x:c>
      <x:c r="K3913" s="24" t="n">
        <x:v>0.12925764192139738</x:v>
      </x:c>
      <x:c r="L3913" s="24" t="n">
        <x:v>0.012663755458515284</x:v>
      </x:c>
    </x:row>
    <x:row r="3914">
      <x:c r="G3914" t="str">
        <x:v>OGG-LGB</x:v>
      </x:c>
      <x:c r="H3914" t="str">
        <x:v>OGG</x:v>
      </x:c>
      <x:c r="I3914" t="str">
        <x:v>LGB</x:v>
      </x:c>
      <x:c r="J3914" s="23" t="n">
        <x:v>1207</x:v>
      </x:c>
      <x:c r="K3914" s="24" t="n">
        <x:v>0.12924606462303231</x:v>
      </x:c>
      <x:c r="L3914" s="24" t="n">
        <x:v>0.014913007456503728</x:v>
      </x:c>
    </x:row>
    <x:row r="3915">
      <x:c r="G3915" t="str">
        <x:v>OMA-ATL</x:v>
      </x:c>
      <x:c r="H3915" t="str">
        <x:v>OMA</x:v>
      </x:c>
      <x:c r="I3915" t="str">
        <x:v>ATL</x:v>
      </x:c>
      <x:c r="J3915" s="23" t="n">
        <x:v>5935</x:v>
      </x:c>
      <x:c r="K3915" s="24" t="n">
        <x:v>0.12923336141533276</x:v>
      </x:c>
      <x:c r="L3915" s="24" t="n">
        <x:v>0.008761583824768323</x:v>
      </x:c>
    </x:row>
    <x:row r="3916">
      <x:c r="G3916" t="str">
        <x:v>ATL-MDT</x:v>
      </x:c>
      <x:c r="H3916" t="str">
        <x:v>ATL</x:v>
      </x:c>
      <x:c r="I3916" t="str">
        <x:v>MDT</x:v>
      </x:c>
      <x:c r="J3916" s="23" t="n">
        <x:v>2973</x:v>
      </x:c>
      <x:c r="K3916" s="24" t="n">
        <x:v>0.12916246215943492</x:v>
      </x:c>
      <x:c r="L3916" s="24" t="n">
        <x:v>0.005718129835183316</x:v>
      </x:c>
    </x:row>
    <x:row r="3917">
      <x:c r="G3917" t="str">
        <x:v>BUR-SJC</x:v>
      </x:c>
      <x:c r="H3917" t="str">
        <x:v>BUR</x:v>
      </x:c>
      <x:c r="I3917" t="str">
        <x:v>SJC</x:v>
      </x:c>
      <x:c r="J3917" s="23" t="n">
        <x:v>7685</x:v>
      </x:c>
      <x:c r="K3917" s="24" t="n">
        <x:v>0.12908262849707222</x:v>
      </x:c>
      <x:c r="L3917" s="24" t="n">
        <x:v>0.01704619388418998</x:v>
      </x:c>
    </x:row>
    <x:row r="3918">
      <x:c r="G3918" t="str">
        <x:v>GNV-CLT</x:v>
      </x:c>
      <x:c r="H3918" t="str">
        <x:v>GNV</x:v>
      </x:c>
      <x:c r="I3918" t="str">
        <x:v>CLT</x:v>
      </x:c>
      <x:c r="J3918" s="23" t="n">
        <x:v>1271</x:v>
      </x:c>
      <x:c r="K3918" s="24" t="n">
        <x:v>0.12903225806451613</x:v>
      </x:c>
      <x:c r="L3918" s="24" t="n">
        <x:v>0.029110936270653028</x:v>
      </x:c>
    </x:row>
    <x:row r="3919">
      <x:c r="G3919" t="str">
        <x:v>GSP-EWR</x:v>
      </x:c>
      <x:c r="H3919" t="str">
        <x:v>GSP</x:v>
      </x:c>
      <x:c r="I3919" t="str">
        <x:v>EWR</x:v>
      </x:c>
      <x:c r="J3919" s="23" t="n">
        <x:v>2458</x:v>
      </x:c>
      <x:c r="K3919" s="24" t="n">
        <x:v>0.128966639544345</x:v>
      </x:c>
      <x:c r="L3919" s="24" t="n">
        <x:v>0.030919446704637917</x:v>
      </x:c>
    </x:row>
    <x:row r="3920">
      <x:c r="G3920" t="str">
        <x:v>LAX-ABQ</x:v>
      </x:c>
      <x:c r="H3920" t="str">
        <x:v>LAX</x:v>
      </x:c>
      <x:c r="I3920" t="str">
        <x:v>ABQ</x:v>
      </x:c>
      <x:c r="J3920" s="23" t="n">
        <x:v>6825</x:v>
      </x:c>
      <x:c r="K3920" s="24" t="n">
        <x:v>0.12893772893772895</x:v>
      </x:c>
      <x:c r="L3920" s="24" t="n">
        <x:v>0.0011721611721611722</x:v>
      </x:c>
    </x:row>
    <x:row r="3921">
      <x:c r="G3921" t="str">
        <x:v>ALB-LGA</x:v>
      </x:c>
      <x:c r="H3921" t="str">
        <x:v>ALB</x:v>
      </x:c>
      <x:c r="I3921" t="str">
        <x:v>LGA</x:v>
      </x:c>
      <x:c r="J3921" s="23" t="n">
        <x:v>1567</x:v>
      </x:c>
      <x:c r="K3921" s="24" t="n">
        <x:v>0.12890874282067646</x:v>
      </x:c>
      <x:c r="L3921" s="24" t="n">
        <x:v>0.029993618379068283</x:v>
      </x:c>
    </x:row>
    <x:row r="3922">
      <x:c r="G3922" t="str">
        <x:v>SIT-JNU</x:v>
      </x:c>
      <x:c r="H3922" t="str">
        <x:v>SIT</x:v>
      </x:c>
      <x:c r="I3922" t="str">
        <x:v>JNU</x:v>
      </x:c>
      <x:c r="J3922" s="23" t="n">
        <x:v>2181</x:v>
      </x:c>
      <x:c r="K3922" s="24" t="n">
        <x:v>0.12883998165978908</x:v>
      </x:c>
      <x:c r="L3922" s="24" t="n">
        <x:v>0.020174232003668042</x:v>
      </x:c>
    </x:row>
    <x:row r="3923">
      <x:c r="G3923" t="str">
        <x:v>PNS-IAH</x:v>
      </x:c>
      <x:c r="H3923" t="str">
        <x:v>PNS</x:v>
      </x:c>
      <x:c r="I3923" t="str">
        <x:v>IAH</x:v>
      </x:c>
      <x:c r="J3923" s="23" t="n">
        <x:v>1475</x:v>
      </x:c>
      <x:c r="K3923" s="24" t="n">
        <x:v>0.1288135593220339</x:v>
      </x:c>
      <x:c r="L3923" s="24" t="n">
        <x:v>0.02305084745762712</x:v>
      </x:c>
    </x:row>
    <x:row r="3924">
      <x:c r="G3924" t="str">
        <x:v>HNL-OGG</x:v>
      </x:c>
      <x:c r="H3924" t="str">
        <x:v>HNL</x:v>
      </x:c>
      <x:c r="I3924" t="str">
        <x:v>OGG</x:v>
      </x:c>
      <x:c r="J3924" s="23" t="n">
        <x:v>34952</x:v>
      </x:c>
      <x:c r="K3924" s="24" t="n">
        <x:v>0.1285763332570382</x:v>
      </x:c>
      <x:c r="L3924" s="24" t="n">
        <x:v>0.010271229114213779</x:v>
      </x:c>
    </x:row>
    <x:row r="3925">
      <x:c r="G3925" t="str">
        <x:v>SFO-RDU</x:v>
      </x:c>
      <x:c r="H3925" t="str">
        <x:v>SFO</x:v>
      </x:c>
      <x:c r="I3925" t="str">
        <x:v>RDU</x:v>
      </x:c>
      <x:c r="J3925" s="23" t="n">
        <x:v>2194</x:v>
      </x:c>
      <x:c r="K3925" s="24" t="n">
        <x:v>0.12853236098450319</x:v>
      </x:c>
      <x:c r="L3925" s="24" t="n">
        <x:v>0.004102096627164996</x:v>
      </x:c>
    </x:row>
    <x:row r="3926">
      <x:c r="G3926" t="str">
        <x:v>PDX-ATL</x:v>
      </x:c>
      <x:c r="H3926" t="str">
        <x:v>PDX</x:v>
      </x:c>
      <x:c r="I3926" t="str">
        <x:v>ATL</x:v>
      </x:c>
      <x:c r="J3926" s="23" t="n">
        <x:v>4197</x:v>
      </x:c>
      <x:c r="K3926" s="24" t="n">
        <x:v>0.12842506552299263</x:v>
      </x:c>
      <x:c r="L3926" s="24" t="n">
        <x:v>0.006909697402906838</x:v>
      </x:c>
    </x:row>
    <x:row r="3927">
      <x:c r="G3927" t="str">
        <x:v>SMF-LAX</x:v>
      </x:c>
      <x:c r="H3927" t="str">
        <x:v>SMF</x:v>
      </x:c>
      <x:c r="I3927" t="str">
        <x:v>LAX</x:v>
      </x:c>
      <x:c r="J3927" s="23" t="n">
        <x:v>15513</x:v>
      </x:c>
      <x:c r="K3927" s="24" t="n">
        <x:v>0.12840843163798105</x:v>
      </x:c>
      <x:c r="L3927" s="24" t="n">
        <x:v>0.0025784825630116677</x:v>
      </x:c>
    </x:row>
    <x:row r="3928">
      <x:c r="G3928" t="str">
        <x:v>PIT-BWI</x:v>
      </x:c>
      <x:c r="H3928" t="str">
        <x:v>PIT</x:v>
      </x:c>
      <x:c r="I3928" t="str">
        <x:v>BWI</x:v>
      </x:c>
      <x:c r="J3928" s="23" t="n">
        <x:v>3210</x:v>
      </x:c>
      <x:c r="K3928" s="24" t="n">
        <x:v>0.12834890965732088</x:v>
      </x:c>
      <x:c r="L3928" s="24" t="n">
        <x:v>0.009345794392523364</x:v>
      </x:c>
    </x:row>
    <x:row r="3929">
      <x:c r="G3929" t="str">
        <x:v>MLB-ATL</x:v>
      </x:c>
      <x:c r="H3929" t="str">
        <x:v>MLB</x:v>
      </x:c>
      <x:c r="I3929" t="str">
        <x:v>ATL</x:v>
      </x:c>
      <x:c r="J3929" s="23" t="n">
        <x:v>4214</x:v>
      </x:c>
      <x:c r="K3929" s="24" t="n">
        <x:v>0.12814428096820124</x:v>
      </x:c>
      <x:c r="L3929" s="24" t="n">
        <x:v>0.010915994304698624</x:v>
      </x:c>
    </x:row>
    <x:row r="3930">
      <x:c r="G3930" t="str">
        <x:v>LGB-SMF</x:v>
      </x:c>
      <x:c r="H3930" t="str">
        <x:v>LGB</x:v>
      </x:c>
      <x:c r="I3930" t="str">
        <x:v>SMF</x:v>
      </x:c>
      <x:c r="J3930" s="23" t="n">
        <x:v>5713</x:v>
      </x:c>
      <x:c r="K3930" s="24" t="n">
        <x:v>0.12812882898652198</x:v>
      </x:c>
      <x:c r="L3930" s="24" t="n">
        <x:v>0.005601260283563802</x:v>
      </x:c>
    </x:row>
    <x:row r="3931">
      <x:c r="G3931" t="str">
        <x:v>INL-MSP</x:v>
      </x:c>
      <x:c r="H3931" t="str">
        <x:v>INL</x:v>
      </x:c>
      <x:c r="I3931" t="str">
        <x:v>MSP</x:v>
      </x:c>
      <x:c r="J3931" s="23" t="n">
        <x:v>1819</x:v>
      </x:c>
      <x:c r="K3931" s="24" t="n">
        <x:v>0.1280923584387026</x:v>
      </x:c>
      <x:c r="L3931" s="24" t="n">
        <x:v>0.010995052226498075</x:v>
      </x:c>
    </x:row>
    <x:row r="3932">
      <x:c r="G3932" t="str">
        <x:v>SLC-PDX</x:v>
      </x:c>
      <x:c r="H3932" t="str">
        <x:v>SLC</x:v>
      </x:c>
      <x:c r="I3932" t="str">
        <x:v>PDX</x:v>
      </x:c>
      <x:c r="J3932" s="23" t="n">
        <x:v>7173</x:v>
      </x:c>
      <x:c r="K3932" s="24" t="n">
        <x:v>0.12797992471769135</x:v>
      </x:c>
      <x:c r="L3932" s="24" t="n">
        <x:v>0.006552349086853478</x:v>
      </x:c>
    </x:row>
    <x:row r="3933">
      <x:c r="G3933" t="str">
        <x:v>MSP-RAP</x:v>
      </x:c>
      <x:c r="H3933" t="str">
        <x:v>MSP</x:v>
      </x:c>
      <x:c r="I3933" t="str">
        <x:v>RAP</x:v>
      </x:c>
      <x:c r="J3933" s="23" t="n">
        <x:v>2290</x:v>
      </x:c>
      <x:c r="K3933" s="24" t="n">
        <x:v>0.12794759825327512</x:v>
      </x:c>
      <x:c r="L3933" s="24" t="n">
        <x:v>0.012663755458515284</x:v>
      </x:c>
    </x:row>
    <x:row r="3934">
      <x:c r="G3934" t="str">
        <x:v>ITO-HNL</x:v>
      </x:c>
      <x:c r="H3934" t="str">
        <x:v>ITO</x:v>
      </x:c>
      <x:c r="I3934" t="str">
        <x:v>HNL</x:v>
      </x:c>
      <x:c r="J3934" s="23" t="n">
        <x:v>19377</x:v>
      </x:c>
      <x:c r="K3934" s="24" t="n">
        <x:v>0.1278835733085617</x:v>
      </x:c>
      <x:c r="L3934" s="24" t="n">
        <x:v>0.008824895494658615</x:v>
      </x:c>
    </x:row>
    <x:row r="3935">
      <x:c r="G3935" t="str">
        <x:v>WRG-KTN</x:v>
      </x:c>
      <x:c r="H3935" t="str">
        <x:v>WRG</x:v>
      </x:c>
      <x:c r="I3935" t="str">
        <x:v>KTN</x:v>
      </x:c>
      <x:c r="J3935" s="23" t="n">
        <x:v>1087</x:v>
      </x:c>
      <x:c r="K3935" s="24" t="n">
        <x:v>0.12787488500459981</x:v>
      </x:c>
      <x:c r="L3935" s="24" t="n">
        <x:v>0.021159153633854646</x:v>
      </x:c>
    </x:row>
    <x:row r="3936">
      <x:c r="G3936" t="str">
        <x:v>PSG-JNU</x:v>
      </x:c>
      <x:c r="H3936" t="str">
        <x:v>PSG</x:v>
      </x:c>
      <x:c r="I3936" t="str">
        <x:v>JNU</x:v>
      </x:c>
      <x:c r="J3936" s="23" t="n">
        <x:v>1087</x:v>
      </x:c>
      <x:c r="K3936" s="24" t="n">
        <x:v>0.12787488500459981</x:v>
      </x:c>
      <x:c r="L3936" s="24" t="n">
        <x:v>0.02483900643974241</x:v>
      </x:c>
    </x:row>
    <x:row r="3937">
      <x:c r="G3937" t="str">
        <x:v>BNA-SLC</x:v>
      </x:c>
      <x:c r="H3937" t="str">
        <x:v>BNA</x:v>
      </x:c>
      <x:c r="I3937" t="str">
        <x:v>SLC</x:v>
      </x:c>
      <x:c r="J3937" s="23" t="n">
        <x:v>3066</x:v>
      </x:c>
      <x:c r="K3937" s="24" t="n">
        <x:v>0.1278538812785388</x:v>
      </x:c>
      <x:c r="L3937" s="24" t="n">
        <x:v>0.005870841487279843</x:v>
      </x:c>
    </x:row>
    <x:row r="3938">
      <x:c r="G3938" t="str">
        <x:v>SBA-SMF</x:v>
      </x:c>
      <x:c r="H3938" t="str">
        <x:v>SBA</x:v>
      </x:c>
      <x:c r="I3938" t="str">
        <x:v>SMF</x:v>
      </x:c>
      <x:c r="J3938" s="23" t="n">
        <x:v>1057</x:v>
      </x:c>
      <x:c r="K3938" s="24" t="n">
        <x:v>0.12771996215704826</x:v>
      </x:c>
      <x:c r="L3938" s="24" t="n">
        <x:v>0.007568590350047304</x:v>
      </x:c>
    </x:row>
    <x:row r="3939">
      <x:c r="G3939" t="str">
        <x:v>GRR-ATL</x:v>
      </x:c>
      <x:c r="H3939" t="str">
        <x:v>GRR</x:v>
      </x:c>
      <x:c r="I3939" t="str">
        <x:v>ATL</x:v>
      </x:c>
      <x:c r="J3939" s="23" t="n">
        <x:v>4155</x:v>
      </x:c>
      <x:c r="K3939" s="24" t="n">
        <x:v>0.12755716004813478</x:v>
      </x:c>
      <x:c r="L3939" s="24" t="n">
        <x:v>0.010348977135980746</x:v>
      </x:c>
    </x:row>
    <x:row r="3940">
      <x:c r="G3940" t="str">
        <x:v>SLC-MSY</x:v>
      </x:c>
      <x:c r="H3940" t="str">
        <x:v>SLC</x:v>
      </x:c>
      <x:c r="I3940" t="str">
        <x:v>MSY</x:v>
      </x:c>
      <x:c r="J3940" s="23" t="n">
        <x:v>1192</x:v>
      </x:c>
      <x:c r="K3940" s="24" t="n">
        <x:v>0.12751677852348994</x:v>
      </x:c>
      <x:c r="L3940" s="24" t="n">
        <x:v>0.006711409395973154</x:v>
      </x:c>
    </x:row>
    <x:row r="3941">
      <x:c r="G3941" t="str">
        <x:v>PHX-GJT</x:v>
      </x:c>
      <x:c r="H3941" t="str">
        <x:v>PHX</x:v>
      </x:c>
      <x:c r="I3941" t="str">
        <x:v>GJT</x:v>
      </x:c>
      <x:c r="J3941" s="23" t="n">
        <x:v>3035</x:v>
      </x:c>
      <x:c r="K3941" s="24" t="n">
        <x:v>0.12751235584843493</x:v>
      </x:c>
      <x:c r="L3941" s="24" t="n">
        <x:v>0.0026359143327841844</x:v>
      </x:c>
    </x:row>
    <x:row r="3942">
      <x:c r="G3942" t="str">
        <x:v>SDF-EWR</x:v>
      </x:c>
      <x:c r="H3942" t="str">
        <x:v>SDF</x:v>
      </x:c>
      <x:c r="I3942" t="str">
        <x:v>EWR</x:v>
      </x:c>
      <x:c r="J3942" s="23" t="n">
        <x:v>2973</x:v>
      </x:c>
      <x:c r="K3942" s="24" t="n">
        <x:v>0.12748065926673394</x:v>
      </x:c>
      <x:c r="L3942" s="24" t="n">
        <x:v>0.029263370332996974</x:v>
      </x:c>
    </x:row>
    <x:row r="3943">
      <x:c r="G3943" t="str">
        <x:v>TUL-LGA</x:v>
      </x:c>
      <x:c r="H3943" t="str">
        <x:v>TUL</x:v>
      </x:c>
      <x:c r="I3943" t="str">
        <x:v>LGA</x:v>
      </x:c>
      <x:c r="J3943" s="23" t="n">
        <x:v>1170</x:v>
      </x:c>
      <x:c r="K3943" s="24" t="n">
        <x:v>0.12735042735042734</x:v>
      </x:c>
      <x:c r="L3943" s="24" t="n">
        <x:v>0.020512820512820513</x:v>
      </x:c>
    </x:row>
    <x:row r="3944">
      <x:c r="G3944" t="str">
        <x:v>SJC-LAX</x:v>
      </x:c>
      <x:c r="H3944" t="str">
        <x:v>SJC</x:v>
      </x:c>
      <x:c r="I3944" t="str">
        <x:v>LAX</x:v>
      </x:c>
      <x:c r="J3944" s="23" t="n">
        <x:v>15658</x:v>
      </x:c>
      <x:c r="K3944" s="24" t="n">
        <x:v>0.12734704304508876</x:v>
      </x:c>
      <x:c r="L3944" s="24" t="n">
        <x:v>0.002171413973687572</x:v>
      </x:c>
    </x:row>
    <x:row r="3945">
      <x:c r="G3945" t="str">
        <x:v>MSP-SLC</x:v>
      </x:c>
      <x:c r="H3945" t="str">
        <x:v>MSP</x:v>
      </x:c>
      <x:c r="I3945" t="str">
        <x:v>SLC</x:v>
      </x:c>
      <x:c r="J3945" s="23" t="n">
        <x:v>4748</x:v>
      </x:c>
      <x:c r="K3945" s="24" t="n">
        <x:v>0.12721145745577084</x:v>
      </x:c>
      <x:c r="L3945" s="24" t="n">
        <x:v>0.004001684919966301</x:v>
      </x:c>
    </x:row>
    <x:row r="3946">
      <x:c r="G3946" t="str">
        <x:v>PHX-DRO</x:v>
      </x:c>
      <x:c r="H3946" t="str">
        <x:v>PHX</x:v>
      </x:c>
      <x:c r="I3946" t="str">
        <x:v>DRO</x:v>
      </x:c>
      <x:c r="J3946" s="23" t="n">
        <x:v>2732</x:v>
      </x:c>
      <x:c r="K3946" s="24" t="n">
        <x:v>0.12701317715959004</x:v>
      </x:c>
      <x:c r="L3946" s="24" t="n">
        <x:v>0.0029282576866764276</x:v>
      </x:c>
    </x:row>
    <x:row r="3947">
      <x:c r="G3947" t="str">
        <x:v>LAX-SLC</x:v>
      </x:c>
      <x:c r="H3947" t="str">
        <x:v>LAX</x:v>
      </x:c>
      <x:c r="I3947" t="str">
        <x:v>SLC</x:v>
      </x:c>
      <x:c r="J3947" s="23" t="n">
        <x:v>13015</x:v>
      </x:c>
      <x:c r="K3947" s="24" t="n">
        <x:v>0.12693046484825202</x:v>
      </x:c>
      <x:c r="L3947" s="24" t="n">
        <x:v>0.0042258932001536685</x:v>
      </x:c>
    </x:row>
    <x:row r="3948">
      <x:c r="G3948" t="str">
        <x:v>IAD-IND</x:v>
      </x:c>
      <x:c r="H3948" t="str">
        <x:v>IAD</x:v>
      </x:c>
      <x:c r="I3948" t="str">
        <x:v>IND</x:v>
      </x:c>
      <x:c r="J3948" s="23" t="n">
        <x:v>3345</x:v>
      </x:c>
      <x:c r="K3948" s="24" t="n">
        <x:v>0.12675635276532138</x:v>
      </x:c>
      <x:c r="L3948" s="24" t="n">
        <x:v>0.010762331838565023</x:v>
      </x:c>
    </x:row>
    <x:row r="3949">
      <x:c r="G3949" t="str">
        <x:v>ATL-AEX</x:v>
      </x:c>
      <x:c r="H3949" t="str">
        <x:v>ATL</x:v>
      </x:c>
      <x:c r="I3949" t="str">
        <x:v>AEX</x:v>
      </x:c>
      <x:c r="J3949" s="23" t="n">
        <x:v>1626</x:v>
      </x:c>
      <x:c r="K3949" s="24" t="n">
        <x:v>0.12669126691266913</x:v>
      </x:c>
      <x:c r="L3949" s="24" t="n">
        <x:v>0.008610086100861008</x:v>
      </x:c>
    </x:row>
    <x:row r="3950">
      <x:c r="G3950" t="str">
        <x:v>SNA-IAH</x:v>
      </x:c>
      <x:c r="H3950" t="str">
        <x:v>SNA</x:v>
      </x:c>
      <x:c r="I3950" t="str">
        <x:v>IAH</x:v>
      </x:c>
      <x:c r="J3950" s="23" t="n">
        <x:v>3812</x:v>
      </x:c>
      <x:c r="K3950" s="24" t="n">
        <x:v>0.12644281217208814</x:v>
      </x:c>
      <x:c r="L3950" s="24" t="n">
        <x:v>0.008919202518363064</x:v>
      </x:c>
    </x:row>
    <x:row r="3951">
      <x:c r="G3951" t="str">
        <x:v>MDT-ATL</x:v>
      </x:c>
      <x:c r="H3951" t="str">
        <x:v>MDT</x:v>
      </x:c>
      <x:c r="I3951" t="str">
        <x:v>ATL</x:v>
      </x:c>
      <x:c r="J3951" s="23" t="n">
        <x:v>2974</x:v>
      </x:c>
      <x:c r="K3951" s="24" t="n">
        <x:v>0.12642905178211164</x:v>
      </x:c>
      <x:c r="L3951" s="24" t="n">
        <x:v>0.006388702084734364</x:v>
      </x:c>
    </x:row>
    <x:row r="3952">
      <x:c r="G3952" t="str">
        <x:v>MSP-ABR</x:v>
      </x:c>
      <x:c r="H3952" t="str">
        <x:v>MSP</x:v>
      </x:c>
      <x:c r="I3952" t="str">
        <x:v>ABR</x:v>
      </x:c>
      <x:c r="J3952" s="23" t="n">
        <x:v>2207</x:v>
      </x:c>
      <x:c r="K3952" s="24" t="n">
        <x:v>0.12641594925237878</x:v>
      </x:c>
      <x:c r="L3952" s="24" t="n">
        <x:v>0.010874490258269144</x:v>
      </x:c>
    </x:row>
    <x:row r="3953">
      <x:c r="G3953" t="str">
        <x:v>FAI-ANC</x:v>
      </x:c>
      <x:c r="H3953" t="str">
        <x:v>FAI</x:v>
      </x:c>
      <x:c r="I3953" t="str">
        <x:v>ANC</x:v>
      </x:c>
      <x:c r="J3953" s="23" t="n">
        <x:v>2397</x:v>
      </x:c>
      <x:c r="K3953" s="24" t="n">
        <x:v>0.12640801001251564</x:v>
      </x:c>
      <x:c r="L3953" s="24" t="n">
        <x:v>0.010012515644555695</x:v>
      </x:c>
    </x:row>
    <x:row r="3954">
      <x:c r="G3954" t="str">
        <x:v>MFE-IAH</x:v>
      </x:c>
      <x:c r="H3954" t="str">
        <x:v>MFE</x:v>
      </x:c>
      <x:c r="I3954" t="str">
        <x:v>IAH</x:v>
      </x:c>
      <x:c r="J3954" s="23" t="n">
        <x:v>2223</x:v>
      </x:c>
      <x:c r="K3954" s="24" t="n">
        <x:v>0.12640575798470535</x:v>
      </x:c>
      <x:c r="L3954" s="24" t="n">
        <x:v>0.018443544759334234</x:v>
      </x:c>
    </x:row>
    <x:row r="3955">
      <x:c r="G3955" t="str">
        <x:v>SRQ-ATL</x:v>
      </x:c>
      <x:c r="H3955" t="str">
        <x:v>SRQ</x:v>
      </x:c>
      <x:c r="I3955" t="str">
        <x:v>ATL</x:v>
      </x:c>
      <x:c r="J3955" s="23" t="n">
        <x:v>7764</x:v>
      </x:c>
      <x:c r="K3955" s="24" t="n">
        <x:v>0.12622359608449252</x:v>
      </x:c>
      <x:c r="L3955" s="24" t="n">
        <x:v>0.016872746007212776</x:v>
      </x:c>
    </x:row>
    <x:row r="3956">
      <x:c r="G3956" t="str">
        <x:v>LBB-DAL</x:v>
      </x:c>
      <x:c r="H3956" t="str">
        <x:v>LBB</x:v>
      </x:c>
      <x:c r="I3956" t="str">
        <x:v>DAL</x:v>
      </x:c>
      <x:c r="J3956" s="23" t="n">
        <x:v>4879</x:v>
      </x:c>
      <x:c r="K3956" s="24" t="n">
        <x:v>0.12584546013527362</x:v>
      </x:c>
      <x:c r="L3956" s="24" t="n">
        <x:v>0.013732322197171552</x:v>
      </x:c>
    </x:row>
    <x:row r="3957">
      <x:c r="G3957" t="str">
        <x:v>SDF-DTW</x:v>
      </x:c>
      <x:c r="H3957" t="str">
        <x:v>SDF</x:v>
      </x:c>
      <x:c r="I3957" t="str">
        <x:v>DTW</x:v>
      </x:c>
      <x:c r="J3957" s="23" t="n">
        <x:v>3460</x:v>
      </x:c>
      <x:c r="K3957" s="24" t="n">
        <x:v>0.12572254335260116</x:v>
      </x:c>
      <x:c r="L3957" s="24" t="n">
        <x:v>0.006358381502890174</x:v>
      </x:c>
    </x:row>
    <x:row r="3958">
      <x:c r="G3958" t="str">
        <x:v>VLD-ATL</x:v>
      </x:c>
      <x:c r="H3958" t="str">
        <x:v>VLD</x:v>
      </x:c>
      <x:c r="I3958" t="str">
        <x:v>ATL</x:v>
      </x:c>
      <x:c r="J3958" s="23" t="n">
        <x:v>1600</x:v>
      </x:c>
      <x:c r="K3958" s="24" t="n">
        <x:v>0.125625</x:v>
      </x:c>
      <x:c r="L3958" s="24" t="n">
        <x:v>0.011875</x:v>
      </x:c>
    </x:row>
    <x:row r="3959">
      <x:c r="G3959" t="str">
        <x:v>ICT-STL</x:v>
      </x:c>
      <x:c r="H3959" t="str">
        <x:v>ICT</x:v>
      </x:c>
      <x:c r="I3959" t="str">
        <x:v>STL</x:v>
      </x:c>
      <x:c r="J3959" s="23" t="n">
        <x:v>2031</x:v>
      </x:c>
      <x:c r="K3959" s="24" t="n">
        <x:v>0.1255539143279173</x:v>
      </x:c>
      <x:c r="L3959" s="24" t="n">
        <x:v>0.005908419497784343</x:v>
      </x:c>
    </x:row>
    <x:row r="3960">
      <x:c r="G3960" t="str">
        <x:v>PHX-YUM</x:v>
      </x:c>
      <x:c r="H3960" t="str">
        <x:v>PHX</x:v>
      </x:c>
      <x:c r="I3960" t="str">
        <x:v>YUM</x:v>
      </x:c>
      <x:c r="J3960" s="23" t="n">
        <x:v>3843</x:v>
      </x:c>
      <x:c r="K3960" s="24" t="n">
        <x:v>0.12542284673432214</x:v>
      </x:c>
      <x:c r="L3960" s="24" t="n">
        <x:v>0.0059849076242518865</x:v>
      </x:c>
    </x:row>
    <x:row r="3961">
      <x:c r="G3961" t="str">
        <x:v>GSO-EWR</x:v>
      </x:c>
      <x:c r="H3961" t="str">
        <x:v>GSO</x:v>
      </x:c>
      <x:c r="I3961" t="str">
        <x:v>EWR</x:v>
      </x:c>
      <x:c r="J3961" s="23" t="n">
        <x:v>1508</x:v>
      </x:c>
      <x:c r="K3961" s="24" t="n">
        <x:v>0.1253315649867374</x:v>
      </x:c>
      <x:c r="L3961" s="24" t="n">
        <x:v>0.04442970822281167</x:v>
      </x:c>
    </x:row>
    <x:row r="3962">
      <x:c r="G3962" t="str">
        <x:v>PNS-BNA</x:v>
      </x:c>
      <x:c r="H3962" t="str">
        <x:v>PNS</x:v>
      </x:c>
      <x:c r="I3962" t="str">
        <x:v>BNA</x:v>
      </x:c>
      <x:c r="J3962" s="23" t="n">
        <x:v>2597</x:v>
      </x:c>
      <x:c r="K3962" s="24" t="n">
        <x:v>0.12514439738159414</x:v>
      </x:c>
      <x:c r="L3962" s="24" t="n">
        <x:v>0.0061609549480169425</x:v>
      </x:c>
    </x:row>
    <x:row r="3963">
      <x:c r="G3963" t="str">
        <x:v>BTV-ATL</x:v>
      </x:c>
      <x:c r="H3963" t="str">
        <x:v>BTV</x:v>
      </x:c>
      <x:c r="I3963" t="str">
        <x:v>ATL</x:v>
      </x:c>
      <x:c r="J3963" s="23" t="n">
        <x:v>1111</x:v>
      </x:c>
      <x:c r="K3963" s="24" t="n">
        <x:v>0.1251125112511251</x:v>
      </x:c>
      <x:c r="L3963" s="24" t="n">
        <x:v>0.0144014401440144</x:v>
      </x:c>
    </x:row>
    <x:row r="3964">
      <x:c r="G3964" t="str">
        <x:v>LGB-OAK</x:v>
      </x:c>
      <x:c r="H3964" t="str">
        <x:v>LGB</x:v>
      </x:c>
      <x:c r="I3964" t="str">
        <x:v>OAK</x:v>
      </x:c>
      <x:c r="J3964" s="23" t="n">
        <x:v>5286</x:v>
      </x:c>
      <x:c r="K3964" s="24" t="n">
        <x:v>0.12504729474082482</x:v>
      </x:c>
      <x:c r="L3964" s="24" t="n">
        <x:v>0.0056753688989784334</x:v>
      </x:c>
    </x:row>
    <x:row r="3965">
      <x:c r="G3965" t="str">
        <x:v>MKE-ATL</x:v>
      </x:c>
      <x:c r="H3965" t="str">
        <x:v>MKE</x:v>
      </x:c>
      <x:c r="I3965" t="str">
        <x:v>ATL</x:v>
      </x:c>
      <x:c r="J3965" s="23" t="n">
        <x:v>7143</x:v>
      </x:c>
      <x:c r="K3965" s="24" t="n">
        <x:v>0.124877502449951</x:v>
      </x:c>
      <x:c r="L3965" s="24" t="n">
        <x:v>0.011059778804423912</x:v>
      </x:c>
    </x:row>
    <x:row r="3966">
      <x:c r="G3966" t="str">
        <x:v>ACY-RSW</x:v>
      </x:c>
      <x:c r="H3966" t="str">
        <x:v>ACY</x:v>
      </x:c>
      <x:c r="I3966" t="str">
        <x:v>RSW</x:v>
      </x:c>
      <x:c r="J3966" s="23" t="n">
        <x:v>1227</x:v>
      </x:c>
      <x:c r="K3966" s="24" t="n">
        <x:v>0.12469437652811736</x:v>
      </x:c>
      <x:c r="L3966" s="24" t="n">
        <x:v>0.017114914425427872</x:v>
      </x:c>
    </x:row>
    <x:row r="3967">
      <x:c r="G3967" t="str">
        <x:v>BUR-ABQ</x:v>
      </x:c>
      <x:c r="H3967" t="str">
        <x:v>BUR</x:v>
      </x:c>
      <x:c r="I3967" t="str">
        <x:v>ABQ</x:v>
      </x:c>
      <x:c r="J3967" s="23" t="n">
        <x:v>1051</x:v>
      </x:c>
      <x:c r="K3967" s="24" t="n">
        <x:v>0.12464319695528069</x:v>
      </x:c>
      <x:c r="L3967" s="24" t="n">
        <x:v>0.004757373929590866</x:v>
      </x:c>
    </x:row>
    <x:row r="3968">
      <x:c r="G3968" t="str">
        <x:v>CID-ATL</x:v>
      </x:c>
      <x:c r="H3968" t="str">
        <x:v>CID</x:v>
      </x:c>
      <x:c r="I3968" t="str">
        <x:v>ATL</x:v>
      </x:c>
      <x:c r="J3968" s="23" t="n">
        <x:v>1100</x:v>
      </x:c>
      <x:c r="K3968" s="24" t="n">
        <x:v>0.12454545454545454</x:v>
      </x:c>
      <x:c r="L3968" s="24" t="n">
        <x:v>0.011818181818181818</x:v>
      </x:c>
    </x:row>
    <x:row r="3969">
      <x:c r="G3969" t="str">
        <x:v>DEN-DVL</x:v>
      </x:c>
      <x:c r="H3969" t="str">
        <x:v>DEN</x:v>
      </x:c>
      <x:c r="I3969" t="str">
        <x:v>DVL</x:v>
      </x:c>
      <x:c r="J3969" s="23" t="n">
        <x:v>1134</x:v>
      </x:c>
      <x:c r="K3969" s="24" t="n">
        <x:v>0.12433862433862433</x:v>
      </x:c>
      <x:c r="L3969" s="24" t="n">
        <x:v>0.01675485008818342</x:v>
      </x:c>
    </x:row>
    <x:row r="3970">
      <x:c r="G3970" t="str">
        <x:v>MSY-SLC</x:v>
      </x:c>
      <x:c r="H3970" t="str">
        <x:v>MSY</x:v>
      </x:c>
      <x:c r="I3970" t="str">
        <x:v>SLC</x:v>
      </x:c>
      <x:c r="J3970" s="23" t="n">
        <x:v>1192</x:v>
      </x:c>
      <x:c r="K3970" s="24" t="n">
        <x:v>0.12416107382550336</x:v>
      </x:c>
      <x:c r="L3970" s="24" t="n">
        <x:v>0.006711409395973154</x:v>
      </x:c>
    </x:row>
    <x:row r="3971">
      <x:c r="G3971" t="str">
        <x:v>DAB-ATL</x:v>
      </x:c>
      <x:c r="H3971" t="str">
        <x:v>DAB</x:v>
      </x:c>
      <x:c r="I3971" t="str">
        <x:v>ATL</x:v>
      </x:c>
      <x:c r="J3971" s="23" t="n">
        <x:v>4532</x:v>
      </x:c>
      <x:c r="K3971" s="24" t="n">
        <x:v>0.12400706090026478</x:v>
      </x:c>
      <x:c r="L3971" s="24" t="n">
        <x:v>0.01235657546337158</x:v>
      </x:c>
    </x:row>
    <x:row r="3972">
      <x:c r="G3972" t="str">
        <x:v>MSN-DTW</x:v>
      </x:c>
      <x:c r="H3972" t="str">
        <x:v>MSN</x:v>
      </x:c>
      <x:c r="I3972" t="str">
        <x:v>DTW</x:v>
      </x:c>
      <x:c r="J3972" s="23" t="n">
        <x:v>3815</x:v>
      </x:c>
      <x:c r="K3972" s="24" t="n">
        <x:v>0.12398427260812582</x:v>
      </x:c>
      <x:c r="L3972" s="24" t="n">
        <x:v>0.00471821756225426</x:v>
      </x:c>
    </x:row>
    <x:row r="3973">
      <x:c r="G3973" t="str">
        <x:v>BIL-MSP</x:v>
      </x:c>
      <x:c r="H3973" t="str">
        <x:v>BIL</x:v>
      </x:c>
      <x:c r="I3973" t="str">
        <x:v>MSP</x:v>
      </x:c>
      <x:c r="J3973" s="23" t="n">
        <x:v>1210</x:v>
      </x:c>
      <x:c r="K3973" s="24" t="n">
        <x:v>0.12396694214876033</x:v>
      </x:c>
      <x:c r="L3973" s="24" t="n">
        <x:v>0.013223140495867768</x:v>
      </x:c>
    </x:row>
    <x:row r="3974">
      <x:c r="G3974" t="str">
        <x:v>ABQ-LAX</x:v>
      </x:c>
      <x:c r="H3974" t="str">
        <x:v>ABQ</x:v>
      </x:c>
      <x:c r="I3974" t="str">
        <x:v>LAX</x:v>
      </x:c>
      <x:c r="J3974" s="23" t="n">
        <x:v>6842</x:v>
      </x:c>
      <x:c r="K3974" s="24" t="n">
        <x:v>0.12379421221864952</x:v>
      </x:c>
      <x:c r="L3974" s="24" t="n">
        <x:v>0.0017538731365097924</x:v>
      </x:c>
    </x:row>
    <x:row r="3975">
      <x:c r="G3975" t="str">
        <x:v>LAX-ELP</x:v>
      </x:c>
      <x:c r="H3975" t="str">
        <x:v>LAX</x:v>
      </x:c>
      <x:c r="I3975" t="str">
        <x:v>ELP</x:v>
      </x:c>
      <x:c r="J3975" s="23" t="n">
        <x:v>4099</x:v>
      </x:c>
      <x:c r="K3975" s="24" t="n">
        <x:v>0.12368870456208832</x:v>
      </x:c>
      <x:c r="L3975" s="24" t="n">
        <x:v>0.001463771651622347</x:v>
      </x:c>
    </x:row>
    <x:row r="3976">
      <x:c r="G3976" t="str">
        <x:v>TPA-SLC</x:v>
      </x:c>
      <x:c r="H3976" t="str">
        <x:v>TPA</x:v>
      </x:c>
      <x:c r="I3976" t="str">
        <x:v>SLC</x:v>
      </x:c>
      <x:c r="J3976" s="23" t="n">
        <x:v>1108</x:v>
      </x:c>
      <x:c r="K3976" s="24" t="n">
        <x:v>0.12364620938628158</x:v>
      </x:c>
      <x:c r="L3976" s="24" t="n">
        <x:v>0.013537906137184115</x:v>
      </x:c>
    </x:row>
    <x:row r="3977">
      <x:c r="G3977" t="str">
        <x:v>MHT-BWI</x:v>
      </x:c>
      <x:c r="H3977" t="str">
        <x:v>MHT</x:v>
      </x:c>
      <x:c r="I3977" t="str">
        <x:v>BWI</x:v>
      </x:c>
      <x:c r="J3977" s="23" t="n">
        <x:v>4831</x:v>
      </x:c>
      <x:c r="K3977" s="24" t="n">
        <x:v>0.12357689919271372</x:v>
      </x:c>
      <x:c r="L3977" s="24" t="n">
        <x:v>0.00952183812875181</x:v>
      </x:c>
    </x:row>
    <x:row r="3978">
      <x:c r="G3978" t="str">
        <x:v>PDX-LAX</x:v>
      </x:c>
      <x:c r="H3978" t="str">
        <x:v>PDX</x:v>
      </x:c>
      <x:c r="I3978" t="str">
        <x:v>LAX</x:v>
      </x:c>
      <x:c r="J3978" s="23" t="n">
        <x:v>13351</x:v>
      </x:c>
      <x:c r="K3978" s="24" t="n">
        <x:v>0.12343644670811176</x:v>
      </x:c>
      <x:c r="L3978" s="24" t="n">
        <x:v>0.010710808179162609</x:v>
      </x:c>
    </x:row>
    <x:row r="3979">
      <x:c r="G3979" t="str">
        <x:v>TUL-ATL</x:v>
      </x:c>
      <x:c r="H3979" t="str">
        <x:v>TUL</x:v>
      </x:c>
      <x:c r="I3979" t="str">
        <x:v>ATL</x:v>
      </x:c>
      <x:c r="J3979" s="23" t="n">
        <x:v>4562</x:v>
      </x:c>
      <x:c r="K3979" s="24" t="n">
        <x:v>0.12341078474353354</x:v>
      </x:c>
      <x:c r="L3979" s="24" t="n">
        <x:v>0.01183691363437089</x:v>
      </x:c>
    </x:row>
    <x:row r="3980">
      <x:c r="G3980" t="str">
        <x:v>CRP-HOU</x:v>
      </x:c>
      <x:c r="H3980" t="str">
        <x:v>CRP</x:v>
      </x:c>
      <x:c r="I3980" t="str">
        <x:v>HOU</x:v>
      </x:c>
      <x:c r="J3980" s="23" t="n">
        <x:v>3430</x:v>
      </x:c>
      <x:c r="K3980" s="24" t="n">
        <x:v>0.12332361516034986</x:v>
      </x:c>
      <x:c r="L3980" s="24" t="n">
        <x:v>0.009620991253644314</x:v>
      </x:c>
    </x:row>
    <x:row r="3981">
      <x:c r="G3981" t="str">
        <x:v>PDX-OGG</x:v>
      </x:c>
      <x:c r="H3981" t="str">
        <x:v>PDX</x:v>
      </x:c>
      <x:c r="I3981" t="str">
        <x:v>OGG</x:v>
      </x:c>
      <x:c r="J3981" s="23" t="n">
        <x:v>2084</x:v>
      </x:c>
      <x:c r="K3981" s="24" t="n">
        <x:v>0.12332053742802303</x:v>
      </x:c>
      <x:c r="L3981" s="24" t="n">
        <x:v>0.010076775431861805</x:v>
      </x:c>
    </x:row>
    <x:row r="3982">
      <x:c r="G3982" t="str">
        <x:v>MYR-DTW</x:v>
      </x:c>
      <x:c r="H3982" t="str">
        <x:v>MYR</x:v>
      </x:c>
      <x:c r="I3982" t="str">
        <x:v>DTW</x:v>
      </x:c>
      <x:c r="J3982" s="23" t="n">
        <x:v>1826</x:v>
      </x:c>
      <x:c r="K3982" s="24" t="n">
        <x:v>0.12322015334063527</x:v>
      </x:c>
      <x:c r="L3982" s="24" t="n">
        <x:v>0.018072289156626505</x:v>
      </x:c>
    </x:row>
    <x:row r="3983">
      <x:c r="G3983" t="str">
        <x:v>LIT-ATL</x:v>
      </x:c>
      <x:c r="H3983" t="str">
        <x:v>LIT</x:v>
      </x:c>
      <x:c r="I3983" t="str">
        <x:v>ATL</x:v>
      </x:c>
      <x:c r="J3983" s="23" t="n">
        <x:v>6801</x:v>
      </x:c>
      <x:c r="K3983" s="24" t="n">
        <x:v>0.12321717394500808</x:v>
      </x:c>
      <x:c r="L3983" s="24" t="n">
        <x:v>0.008234083223055433</x:v>
      </x:c>
    </x:row>
    <x:row r="3984">
      <x:c r="G3984" t="str">
        <x:v>EUG-SEA</x:v>
      </x:c>
      <x:c r="H3984" t="str">
        <x:v>EUG</x:v>
      </x:c>
      <x:c r="I3984" t="str">
        <x:v>SEA</x:v>
      </x:c>
      <x:c r="J3984" s="23" t="n">
        <x:v>4755</x:v>
      </x:c>
      <x:c r="K3984" s="24" t="n">
        <x:v>0.12302839116719243</x:v>
      </x:c>
      <x:c r="L3984" s="24" t="n">
        <x:v>0.008412197686645636</x:v>
      </x:c>
    </x:row>
    <x:row r="3985">
      <x:c r="G3985" t="str">
        <x:v>ICT-ATL</x:v>
      </x:c>
      <x:c r="H3985" t="str">
        <x:v>ICT</x:v>
      </x:c>
      <x:c r="I3985" t="str">
        <x:v>ATL</x:v>
      </x:c>
      <x:c r="J3985" s="23" t="n">
        <x:v>3203</x:v>
      </x:c>
      <x:c r="K3985" s="24" t="n">
        <x:v>0.12300967842647519</x:v>
      </x:c>
      <x:c r="L3985" s="24" t="n">
        <x:v>0.007805182641273806</x:v>
      </x:c>
    </x:row>
    <x:row r="3986">
      <x:c r="G3986" t="str">
        <x:v>JAX-IAH</x:v>
      </x:c>
      <x:c r="H3986" t="str">
        <x:v>JAX</x:v>
      </x:c>
      <x:c r="I3986" t="str">
        <x:v>IAH</x:v>
      </x:c>
      <x:c r="J3986" s="23" t="n">
        <x:v>2066</x:v>
      </x:c>
      <x:c r="K3986" s="24" t="n">
        <x:v>0.12294288480154889</x:v>
      </x:c>
      <x:c r="L3986" s="24" t="n">
        <x:v>0.015004840271055178</x:v>
      </x:c>
    </x:row>
    <x:row r="3987">
      <x:c r="G3987" t="str">
        <x:v>LEX-DTW</x:v>
      </x:c>
      <x:c r="H3987" t="str">
        <x:v>LEX</x:v>
      </x:c>
      <x:c r="I3987" t="str">
        <x:v>DTW</x:v>
      </x:c>
      <x:c r="J3987" s="23" t="n">
        <x:v>2344</x:v>
      </x:c>
      <x:c r="K3987" s="24" t="n">
        <x:v>0.12286689419795221</x:v>
      </x:c>
      <x:c r="L3987" s="24" t="n">
        <x:v>0.0063993174061433445</x:v>
      </x:c>
    </x:row>
    <x:row r="3988">
      <x:c r="G3988" t="str">
        <x:v>PHX-PSC</x:v>
      </x:c>
      <x:c r="H3988" t="str">
        <x:v>PHX</x:v>
      </x:c>
      <x:c r="I3988" t="str">
        <x:v>PSC</x:v>
      </x:c>
      <x:c r="J3988" s="23" t="n">
        <x:v>1132</x:v>
      </x:c>
      <x:c r="K3988" s="24" t="n">
        <x:v>0.12279151943462897</x:v>
      </x:c>
      <x:c r="L3988" s="24" t="n">
        <x:v>0</x:v>
      </x:c>
    </x:row>
    <x:row r="3989">
      <x:c r="G3989" t="str">
        <x:v>LAX-CLE</x:v>
      </x:c>
      <x:c r="H3989" t="str">
        <x:v>LAX</x:v>
      </x:c>
      <x:c r="I3989" t="str">
        <x:v>CLE</x:v>
      </x:c>
      <x:c r="J3989" s="23" t="n">
        <x:v>2179</x:v>
      </x:c>
      <x:c r="K3989" s="24" t="n">
        <x:v>0.12253327214318495</x:v>
      </x:c>
      <x:c r="L3989" s="24" t="n">
        <x:v>0.005966039467645709</x:v>
      </x:c>
    </x:row>
    <x:row r="3990">
      <x:c r="G3990" t="str">
        <x:v>SMF-CLT</x:v>
      </x:c>
      <x:c r="H3990" t="str">
        <x:v>SMF</x:v>
      </x:c>
      <x:c r="I3990" t="str">
        <x:v>CLT</x:v>
      </x:c>
      <x:c r="J3990" s="23" t="n">
        <x:v>1217</x:v>
      </x:c>
      <x:c r="K3990" s="24" t="n">
        <x:v>0.12243221035332785</x:v>
      </x:c>
      <x:c r="L3990" s="24" t="n">
        <x:v>0.01314708299096138</x:v>
      </x:c>
    </x:row>
    <x:row r="3991">
      <x:c r="G3991" t="str">
        <x:v>YUM-DFW</x:v>
      </x:c>
      <x:c r="H3991" t="str">
        <x:v>YUM</x:v>
      </x:c>
      <x:c r="I3991" t="str">
        <x:v>DFW</x:v>
      </x:c>
      <x:c r="J3991" s="23" t="n">
        <x:v>1185</x:v>
      </x:c>
      <x:c r="K3991" s="24" t="n">
        <x:v>0.12236286919831224</x:v>
      </x:c>
      <x:c r="L3991" s="24" t="n">
        <x:v>0.012658227848101266</x:v>
      </x:c>
    </x:row>
    <x:row r="3992">
      <x:c r="G3992" t="str">
        <x:v>LAX-RDM</x:v>
      </x:c>
      <x:c r="H3992" t="str">
        <x:v>LAX</x:v>
      </x:c>
      <x:c r="I3992" t="str">
        <x:v>RDM</x:v>
      </x:c>
      <x:c r="J3992" s="23" t="n">
        <x:v>1480</x:v>
      </x:c>
      <x:c r="K3992" s="24" t="n">
        <x:v>0.1222972972972973</x:v>
      </x:c>
      <x:c r="L3992" s="24" t="n">
        <x:v>0.008783783783783784</x:v>
      </x:c>
    </x:row>
    <x:row r="3993">
      <x:c r="G3993" t="str">
        <x:v>DTW-DSM</x:v>
      </x:c>
      <x:c r="H3993" t="str">
        <x:v>DTW</x:v>
      </x:c>
      <x:c r="I3993" t="str">
        <x:v>DSM</x:v>
      </x:c>
      <x:c r="J3993" s="23" t="n">
        <x:v>1840</x:v>
      </x:c>
      <x:c r="K3993" s="24" t="n">
        <x:v>0.12228260869565218</x:v>
      </x:c>
      <x:c r="L3993" s="24" t="n">
        <x:v>0.007065217391304348</x:v>
      </x:c>
    </x:row>
    <x:row r="3994">
      <x:c r="G3994" t="str">
        <x:v>PHX-RDM</x:v>
      </x:c>
      <x:c r="H3994" t="str">
        <x:v>PHX</x:v>
      </x:c>
      <x:c r="I3994" t="str">
        <x:v>RDM</x:v>
      </x:c>
      <x:c r="J3994" s="23" t="n">
        <x:v>2192</x:v>
      </x:c>
      <x:c r="K3994" s="24" t="n">
        <x:v>0.12226277372262774</x:v>
      </x:c>
      <x:c r="L3994" s="24" t="n">
        <x:v>0.0031934306569343066</x:v>
      </x:c>
    </x:row>
    <x:row r="3995">
      <x:c r="G3995" t="str">
        <x:v>MEM-ATL</x:v>
      </x:c>
      <x:c r="H3995" t="str">
        <x:v>MEM</x:v>
      </x:c>
      <x:c r="I3995" t="str">
        <x:v>ATL</x:v>
      </x:c>
      <x:c r="J3995" s="23" t="n">
        <x:v>10157</x:v>
      </x:c>
      <x:c r="K3995" s="24" t="n">
        <x:v>0.12218174657871418</x:v>
      </x:c>
      <x:c r="L3995" s="24" t="n">
        <x:v>0.011519149355124545</x:v>
      </x:c>
    </x:row>
    <x:row r="3996">
      <x:c r="G3996" t="str">
        <x:v>SLC-LGB</x:v>
      </x:c>
      <x:c r="H3996" t="str">
        <x:v>SLC</x:v>
      </x:c>
      <x:c r="I3996" t="str">
        <x:v>LGB</x:v>
      </x:c>
      <x:c r="J3996" s="23" t="n">
        <x:v>4619</x:v>
      </x:c>
      <x:c r="K3996" s="24" t="n">
        <x:v>0.12188785451396406</x:v>
      </x:c>
      <x:c r="L3996" s="24" t="n">
        <x:v>0.0019484736956051094</x:v>
      </x:c>
    </x:row>
    <x:row r="3997">
      <x:c r="G3997" t="str">
        <x:v>CMH-DTW</x:v>
      </x:c>
      <x:c r="H3997" t="str">
        <x:v>CMH</x:v>
      </x:c>
      <x:c r="I3997" t="str">
        <x:v>DTW</x:v>
      </x:c>
      <x:c r="J3997" s="23" t="n">
        <x:v>4246</x:v>
      </x:c>
      <x:c r="K3997" s="24" t="n">
        <x:v>0.12176165803108809</x:v>
      </x:c>
      <x:c r="L3997" s="24" t="n">
        <x:v>0.0051813471502590676</x:v>
      </x:c>
    </x:row>
    <x:row r="3998">
      <x:c r="G3998" t="str">
        <x:v>PIT-JFK</x:v>
      </x:c>
      <x:c r="H3998" t="str">
        <x:v>PIT</x:v>
      </x:c>
      <x:c r="I3998" t="str">
        <x:v>JFK</x:v>
      </x:c>
      <x:c r="J3998" s="23" t="n">
        <x:v>5356</x:v>
      </x:c>
      <x:c r="K3998" s="24" t="n">
        <x:v>0.12173263629574309</x:v>
      </x:c>
      <x:c r="L3998" s="24" t="n">
        <x:v>0.019417475728155338</x:v>
      </x:c>
    </x:row>
    <x:row r="3999">
      <x:c r="G3999" t="str">
        <x:v>CHS-ATL</x:v>
      </x:c>
      <x:c r="H3999" t="str">
        <x:v>CHS</x:v>
      </x:c>
      <x:c r="I3999" t="str">
        <x:v>ATL</x:v>
      </x:c>
      <x:c r="J3999" s="23" t="n">
        <x:v>8567</x:v>
      </x:c>
      <x:c r="K3999" s="24" t="n">
        <x:v>0.12162950857943271</x:v>
      </x:c>
      <x:c r="L3999" s="24" t="n">
        <x:v>0.010622154779969651</x:v>
      </x:c>
    </x:row>
    <x:row r="4000">
      <x:c r="G4000" t="str">
        <x:v>KOA-OGG</x:v>
      </x:c>
      <x:c r="H4000" t="str">
        <x:v>KOA</x:v>
      </x:c>
      <x:c r="I4000" t="str">
        <x:v>OGG</x:v>
      </x:c>
      <x:c r="J4000" s="23" t="n">
        <x:v>4819</x:v>
      </x:c>
      <x:c r="K4000" s="24" t="n">
        <x:v>0.1213944801826105</x:v>
      </x:c>
      <x:c r="L4000" s="24" t="n">
        <x:v>0.0016600954554886907</x:v>
      </x:c>
    </x:row>
    <x:row r="4001">
      <x:c r="G4001" t="str">
        <x:v>CLE-LAX</x:v>
      </x:c>
      <x:c r="H4001" t="str">
        <x:v>CLE</x:v>
      </x:c>
      <x:c r="I4001" t="str">
        <x:v>LAX</x:v>
      </x:c>
      <x:c r="J4001" s="23" t="n">
        <x:v>2178</x:v>
      </x:c>
      <x:c r="K4001" s="24" t="n">
        <x:v>0.12121212121212122</x:v>
      </x:c>
      <x:c r="L4001" s="24" t="n">
        <x:v>0.005968778696051423</x:v>
      </x:c>
    </x:row>
    <x:row r="4002">
      <x:c r="G4002" t="str">
        <x:v>ABR-MSP</x:v>
      </x:c>
      <x:c r="H4002" t="str">
        <x:v>ABR</x:v>
      </x:c>
      <x:c r="I4002" t="str">
        <x:v>MSP</x:v>
      </x:c>
      <x:c r="J4002" s="23" t="n">
        <x:v>2207</x:v>
      </x:c>
      <x:c r="K4002" s="24" t="n">
        <x:v>0.12097870412324423</x:v>
      </x:c>
      <x:c r="L4002" s="24" t="n">
        <x:v>0.011780697779791573</x:v>
      </x:c>
    </x:row>
    <x:row r="4003">
      <x:c r="G4003" t="str">
        <x:v>LAX-BOI</x:v>
      </x:c>
      <x:c r="H4003" t="str">
        <x:v>LAX</x:v>
      </x:c>
      <x:c r="I4003" t="str">
        <x:v>BOI</x:v>
      </x:c>
      <x:c r="J4003" s="23" t="n">
        <x:v>4211</x:v>
      </x:c>
      <x:c r="K4003" s="24" t="n">
        <x:v>0.12087390168606031</x:v>
      </x:c>
      <x:c r="L4003" s="24" t="n">
        <x:v>0.00189978627404417</x:v>
      </x:c>
    </x:row>
    <x:row r="4004">
      <x:c r="G4004" t="str">
        <x:v>OMA-STL</x:v>
      </x:c>
      <x:c r="H4004" t="str">
        <x:v>OMA</x:v>
      </x:c>
      <x:c r="I4004" t="str">
        <x:v>STL</x:v>
      </x:c>
      <x:c r="J4004" s="23" t="n">
        <x:v>2321</x:v>
      </x:c>
      <x:c r="K4004" s="24" t="n">
        <x:v>0.12063765618267988</x:v>
      </x:c>
      <x:c r="L4004" s="24" t="n">
        <x:v>0.006462731581214994</x:v>
      </x:c>
    </x:row>
    <x:row r="4005">
      <x:c r="G4005" t="str">
        <x:v>SBP-LAX</x:v>
      </x:c>
      <x:c r="H4005" t="str">
        <x:v>SBP</x:v>
      </x:c>
      <x:c r="I4005" t="str">
        <x:v>LAX</x:v>
      </x:c>
      <x:c r="J4005" s="23" t="n">
        <x:v>1742</x:v>
      </x:c>
      <x:c r="K4005" s="24" t="n">
        <x:v>0.12055109070034443</x:v>
      </x:c>
      <x:c r="L4005" s="24" t="n">
        <x:v>0.011481056257175661</x:v>
      </x:c>
    </x:row>
    <x:row r="4006">
      <x:c r="G4006" t="str">
        <x:v>LAX-XNA</x:v>
      </x:c>
      <x:c r="H4006" t="str">
        <x:v>LAX</x:v>
      </x:c>
      <x:c r="I4006" t="str">
        <x:v>XNA</x:v>
      </x:c>
      <x:c r="J4006" s="23" t="n">
        <x:v>1304</x:v>
      </x:c>
      <x:c r="K4006" s="24" t="n">
        <x:v>0.12039877300613497</x:v>
      </x:c>
      <x:c r="L4006" s="24" t="n">
        <x:v>0.0023006134969325155</x:v>
      </x:c>
    </x:row>
    <x:row r="4007">
      <x:c r="G4007" t="str">
        <x:v>PDX-MDW</x:v>
      </x:c>
      <x:c r="H4007" t="str">
        <x:v>PDX</x:v>
      </x:c>
      <x:c r="I4007" t="str">
        <x:v>MDW</x:v>
      </x:c>
      <x:c r="J4007" s="23" t="n">
        <x:v>1695</x:v>
      </x:c>
      <x:c r="K4007" s="24" t="n">
        <x:v>0.12035398230088495</x:v>
      </x:c>
      <x:c r="L4007" s="24" t="n">
        <x:v>0.0035398230088495575</x:v>
      </x:c>
    </x:row>
    <x:row r="4008">
      <x:c r="G4008" t="str">
        <x:v>IAD-SDF</x:v>
      </x:c>
      <x:c r="H4008" t="str">
        <x:v>IAD</x:v>
      </x:c>
      <x:c r="I4008" t="str">
        <x:v>SDF</x:v>
      </x:c>
      <x:c r="J4008" s="23" t="n">
        <x:v>1280</x:v>
      </x:c>
      <x:c r="K4008" s="24" t="n">
        <x:v>0.1203125</x:v>
      </x:c>
      <x:c r="L4008" s="24" t="n">
        <x:v>0.00859375</x:v>
      </x:c>
    </x:row>
    <x:row r="4009">
      <x:c r="G4009" t="str">
        <x:v>LAX-OMA</x:v>
      </x:c>
      <x:c r="H4009" t="str">
        <x:v>LAX</x:v>
      </x:c>
      <x:c r="I4009" t="str">
        <x:v>OMA</x:v>
      </x:c>
      <x:c r="J4009" s="23" t="n">
        <x:v>1281</x:v>
      </x:c>
      <x:c r="K4009" s="24" t="n">
        <x:v>0.12021857923497267</x:v>
      </x:c>
      <x:c r="L4009" s="24" t="n">
        <x:v>0.00312256049960968</x:v>
      </x:c>
    </x:row>
    <x:row r="4010">
      <x:c r="G4010" t="str">
        <x:v>CMH-IAD</x:v>
      </x:c>
      <x:c r="H4010" t="str">
        <x:v>CMH</x:v>
      </x:c>
      <x:c r="I4010" t="str">
        <x:v>IAD</x:v>
      </x:c>
      <x:c r="J4010" s="23" t="n">
        <x:v>2513</x:v>
      </x:c>
      <x:c r="K4010" s="24" t="n">
        <x:v>0.120175089534421</x:v>
      </x:c>
      <x:c r="L4010" s="24" t="n">
        <x:v>0.011142061281337047</x:v>
      </x:c>
    </x:row>
    <x:row r="4011">
      <x:c r="G4011" t="str">
        <x:v>SAN-PHL</x:v>
      </x:c>
      <x:c r="H4011" t="str">
        <x:v>SAN</x:v>
      </x:c>
      <x:c r="I4011" t="str">
        <x:v>PHL</x:v>
      </x:c>
      <x:c r="J4011" s="23" t="n">
        <x:v>2863</x:v>
      </x:c>
      <x:c r="K4011" s="24" t="n">
        <x:v>0.12015368494586098</x:v>
      </x:c>
      <x:c r="L4011" s="24" t="n">
        <x:v>0.011875654907439748</x:v>
      </x:c>
    </x:row>
    <x:row r="4012">
      <x:c r="G4012" t="str">
        <x:v>CVG-DTW</x:v>
      </x:c>
      <x:c r="H4012" t="str">
        <x:v>CVG</x:v>
      </x:c>
      <x:c r="I4012" t="str">
        <x:v>DTW</x:v>
      </x:c>
      <x:c r="J4012" s="23" t="n">
        <x:v>2787</x:v>
      </x:c>
      <x:c r="K4012" s="24" t="n">
        <x:v>0.1198421241478292</x:v>
      </x:c>
      <x:c r="L4012" s="24" t="n">
        <x:v>0.004305705059203444</x:v>
      </x:c>
    </x:row>
    <x:row r="4013">
      <x:c r="G4013" t="str">
        <x:v>BFL-DEN</x:v>
      </x:c>
      <x:c r="H4013" t="str">
        <x:v>BFL</x:v>
      </x:c>
      <x:c r="I4013" t="str">
        <x:v>DEN</x:v>
      </x:c>
      <x:c r="J4013" s="23" t="n">
        <x:v>1636</x:v>
      </x:c>
      <x:c r="K4013" s="24" t="n">
        <x:v>0.1198044009779951</x:v>
      </x:c>
      <x:c r="L4013" s="24" t="n">
        <x:v>0.0018337408312958435</x:v>
      </x:c>
    </x:row>
    <x:row r="4014">
      <x:c r="G4014" t="str">
        <x:v>OAK-LGB</x:v>
      </x:c>
      <x:c r="H4014" t="str">
        <x:v>OAK</x:v>
      </x:c>
      <x:c r="I4014" t="str">
        <x:v>LGB</x:v>
      </x:c>
      <x:c r="J4014" s="23" t="n">
        <x:v>5287</x:v>
      </x:c>
      <x:c r="K4014" s="24" t="n">
        <x:v>0.11972763381880083</x:v>
      </x:c>
      <x:c r="L4014" s="24" t="n">
        <x:v>0.003593720446377908</x:v>
      </x:c>
    </x:row>
    <x:row r="4015">
      <x:c r="G4015" t="str">
        <x:v>GPT-ATL</x:v>
      </x:c>
      <x:c r="H4015" t="str">
        <x:v>GPT</x:v>
      </x:c>
      <x:c r="I4015" t="str">
        <x:v>ATL</x:v>
      </x:c>
      <x:c r="J4015" s="23" t="n">
        <x:v>3727</x:v>
      </x:c>
      <x:c r="K4015" s="24" t="n">
        <x:v>0.11966729272873625</x:v>
      </x:c>
      <x:c r="L4015" s="24" t="n">
        <x:v>0.012074054199087738</x:v>
      </x:c>
    </x:row>
    <x:row r="4016">
      <x:c r="G4016" t="str">
        <x:v>SLC-OKC</x:v>
      </x:c>
      <x:c r="H4016" t="str">
        <x:v>SLC</x:v>
      </x:c>
      <x:c r="I4016" t="str">
        <x:v>OKC</x:v>
      </x:c>
      <x:c r="J4016" s="23" t="n">
        <x:v>2126</x:v>
      </x:c>
      <x:c r="K4016" s="24" t="n">
        <x:v>0.11947318908748825</x:v>
      </x:c>
      <x:c r="L4016" s="24" t="n">
        <x:v>0.0014111006585136407</x:v>
      </x:c>
    </x:row>
    <x:row r="4017">
      <x:c r="G4017" t="str">
        <x:v>HNL-IAH</x:v>
      </x:c>
      <x:c r="H4017" t="str">
        <x:v>HNL</x:v>
      </x:c>
      <x:c r="I4017" t="str">
        <x:v>IAH</x:v>
      </x:c>
      <x:c r="J4017" s="23" t="n">
        <x:v>1182</x:v>
      </x:c>
      <x:c r="K4017" s="24" t="n">
        <x:v>0.11928934010152284</x:v>
      </x:c>
      <x:c r="L4017" s="24" t="n">
        <x:v>0.008460236886632826</x:v>
      </x:c>
    </x:row>
    <x:row r="4018">
      <x:c r="G4018" t="str">
        <x:v>MRY-DEN</x:v>
      </x:c>
      <x:c r="H4018" t="str">
        <x:v>MRY</x:v>
      </x:c>
      <x:c r="I4018" t="str">
        <x:v>DEN</x:v>
      </x:c>
      <x:c r="J4018" s="23" t="n">
        <x:v>1728</x:v>
      </x:c>
      <x:c r="K4018" s="24" t="n">
        <x:v>0.11921296296296297</x:v>
      </x:c>
      <x:c r="L4018" s="24" t="n">
        <x:v>0.007523148148148148</x:v>
      </x:c>
    </x:row>
    <x:row r="4019">
      <x:c r="G4019" t="str">
        <x:v>MCI-SLC</x:v>
      </x:c>
      <x:c r="H4019" t="str">
        <x:v>MCI</x:v>
      </x:c>
      <x:c r="I4019" t="str">
        <x:v>SLC</x:v>
      </x:c>
      <x:c r="J4019" s="23" t="n">
        <x:v>2981</x:v>
      </x:c>
      <x:c r="K4019" s="24" t="n">
        <x:v>0.11908755451190875</x:v>
      </x:c>
      <x:c r="L4019" s="24" t="n">
        <x:v>0.009057363300905737</x:v>
      </x:c>
    </x:row>
    <x:row r="4020">
      <x:c r="G4020" t="str">
        <x:v>RHI-MSP</x:v>
      </x:c>
      <x:c r="H4020" t="str">
        <x:v>RHI</x:v>
      </x:c>
      <x:c r="I4020" t="str">
        <x:v>MSP</x:v>
      </x:c>
      <x:c r="J4020" s="23" t="n">
        <x:v>2276</x:v>
      </x:c>
      <x:c r="K4020" s="24" t="n">
        <x:v>0.11906854130052724</x:v>
      </x:c>
      <x:c r="L4020" s="24" t="n">
        <x:v>0.013620386643233744</x:v>
      </x:c>
    </x:row>
    <x:row r="4021">
      <x:c r="G4021" t="str">
        <x:v>AMA-DAL</x:v>
      </x:c>
      <x:c r="H4021" t="str">
        <x:v>AMA</x:v>
      </x:c>
      <x:c r="I4021" t="str">
        <x:v>DAL</x:v>
      </x:c>
      <x:c r="J4021" s="23" t="n">
        <x:v>3891</x:v>
      </x:c>
      <x:c r="K4021" s="24" t="n">
        <x:v>0.11899254690310974</x:v>
      </x:c>
      <x:c r="L4021" s="24" t="n">
        <x:v>0.010280133641737342</x:v>
      </x:c>
    </x:row>
    <x:row r="4022">
      <x:c r="G4022" t="str">
        <x:v>LGB-BNA</x:v>
      </x:c>
      <x:c r="H4022" t="str">
        <x:v>LGB</x:v>
      </x:c>
      <x:c r="I4022" t="str">
        <x:v>BNA</x:v>
      </x:c>
      <x:c r="J4022" s="23" t="n">
        <x:v>1105</x:v>
      </x:c>
      <x:c r="K4022" s="24" t="n">
        <x:v>0.11855203619909502</x:v>
      </x:c>
      <x:c r="L4022" s="24" t="n">
        <x:v>0.0036199095022624436</x:v>
      </x:c>
    </x:row>
    <x:row r="4023">
      <x:c r="G4023" t="str">
        <x:v>TRI-ATL</x:v>
      </x:c>
      <x:c r="H4023" t="str">
        <x:v>TRI</x:v>
      </x:c>
      <x:c r="I4023" t="str">
        <x:v>ATL</x:v>
      </x:c>
      <x:c r="J4023" s="23" t="n">
        <x:v>3310</x:v>
      </x:c>
      <x:c r="K4023" s="24" t="n">
        <x:v>0.11842900302114803</x:v>
      </x:c>
      <x:c r="L4023" s="24" t="n">
        <x:v>0.00513595166163142</x:v>
      </x:c>
    </x:row>
    <x:row r="4024">
      <x:c r="G4024" t="str">
        <x:v>JFK-SNA</x:v>
      </x:c>
      <x:c r="H4024" t="str">
        <x:v>JFK</x:v>
      </x:c>
      <x:c r="I4024" t="str">
        <x:v>SNA</x:v>
      </x:c>
      <x:c r="J4024" s="23" t="n">
        <x:v>1098</x:v>
      </x:c>
      <x:c r="K4024" s="24" t="n">
        <x:v>0.11839708561020036</x:v>
      </x:c>
      <x:c r="L4024" s="24" t="n">
        <x:v>0.004553734061930784</x:v>
      </x:c>
    </x:row>
    <x:row r="4025">
      <x:c r="G4025" t="str">
        <x:v>MEM-MSP</x:v>
      </x:c>
      <x:c r="H4025" t="str">
        <x:v>MEM</x:v>
      </x:c>
      <x:c r="I4025" t="str">
        <x:v>MSP</x:v>
      </x:c>
      <x:c r="J4025" s="23" t="n">
        <x:v>2629</x:v>
      </x:c>
      <x:c r="K4025" s="24" t="n">
        <x:v>0.11829593001141119</x:v>
      </x:c>
      <x:c r="L4025" s="24" t="n">
        <x:v>0.012552301255230125</x:v>
      </x:c>
    </x:row>
    <x:row r="4026">
      <x:c r="G4026" t="str">
        <x:v>ANC-SCC</x:v>
      </x:c>
      <x:c r="H4026" t="str">
        <x:v>ANC</x:v>
      </x:c>
      <x:c r="I4026" t="str">
        <x:v>SCC</x:v>
      </x:c>
      <x:c r="J4026" s="23" t="n">
        <x:v>1522</x:v>
      </x:c>
      <x:c r="K4026" s="24" t="n">
        <x:v>0.11826544021024968</x:v>
      </x:c>
      <x:c r="L4026" s="24" t="n">
        <x:v>0.020367936925098553</x:v>
      </x:c>
    </x:row>
    <x:row r="4027">
      <x:c r="G4027" t="str">
        <x:v>SLC-ONT</x:v>
      </x:c>
      <x:c r="H4027" t="str">
        <x:v>SLC</x:v>
      </x:c>
      <x:c r="I4027" t="str">
        <x:v>ONT</x:v>
      </x:c>
      <x:c r="J4027" s="23" t="n">
        <x:v>3540</x:v>
      </x:c>
      <x:c r="K4027" s="24" t="n">
        <x:v>0.11807909604519774</x:v>
      </x:c>
      <x:c r="L4027" s="24" t="n">
        <x:v>0.011016949152542373</x:v>
      </x:c>
    </x:row>
    <x:row r="4028">
      <x:c r="G4028" t="str">
        <x:v>DAY-LGA</x:v>
      </x:c>
      <x:c r="H4028" t="str">
        <x:v>DAY</x:v>
      </x:c>
      <x:c r="I4028" t="str">
        <x:v>LGA</x:v>
      </x:c>
      <x:c r="J4028" s="23" t="n">
        <x:v>1347</x:v>
      </x:c>
      <x:c r="K4028" s="24" t="n">
        <x:v>0.11804008908685969</x:v>
      </x:c>
      <x:c r="L4028" s="24" t="n">
        <x:v>0.025241276911655532</x:v>
      </x:c>
    </x:row>
    <x:row r="4029">
      <x:c r="G4029" t="str">
        <x:v>SJC-HOU</x:v>
      </x:c>
      <x:c r="H4029" t="str">
        <x:v>SJC</x:v>
      </x:c>
      <x:c r="I4029" t="str">
        <x:v>HOU</x:v>
      </x:c>
      <x:c r="J4029" s="23" t="n">
        <x:v>1085</x:v>
      </x:c>
      <x:c r="K4029" s="24" t="n">
        <x:v>0.11797235023041475</x:v>
      </x:c>
      <x:c r="L4029" s="24" t="n">
        <x:v>0.003686635944700461</x:v>
      </x:c>
    </x:row>
    <x:row r="4030">
      <x:c r="G4030" t="str">
        <x:v>LAX-GEG</x:v>
      </x:c>
      <x:c r="H4030" t="str">
        <x:v>LAX</x:v>
      </x:c>
      <x:c r="I4030" t="str">
        <x:v>GEG</x:v>
      </x:c>
      <x:c r="J4030" s="23" t="n">
        <x:v>2364</x:v>
      </x:c>
      <x:c r="K4030" s="24" t="n">
        <x:v>0.11759729272419628</x:v>
      </x:c>
      <x:c r="L4030" s="24" t="n">
        <x:v>0.004653130287648054</x:v>
      </x:c>
    </x:row>
    <x:row r="4031">
      <x:c r="G4031" t="str">
        <x:v>SLC-PSC</x:v>
      </x:c>
      <x:c r="H4031" t="str">
        <x:v>SLC</x:v>
      </x:c>
      <x:c r="I4031" t="str">
        <x:v>PSC</x:v>
      </x:c>
      <x:c r="J4031" s="23" t="n">
        <x:v>3284</x:v>
      </x:c>
      <x:c r="K4031" s="24" t="n">
        <x:v>0.11753958587088915</x:v>
      </x:c>
      <x:c r="L4031" s="24" t="n">
        <x:v>0.002131546894031669</x:v>
      </x:c>
    </x:row>
    <x:row r="4032">
      <x:c r="G4032" t="str">
        <x:v>PIT-ATL</x:v>
      </x:c>
      <x:c r="H4032" t="str">
        <x:v>PIT</x:v>
      </x:c>
      <x:c r="I4032" t="str">
        <x:v>ATL</x:v>
      </x:c>
      <x:c r="J4032" s="23" t="n">
        <x:v>8408</x:v>
      </x:c>
      <x:c r="K4032" s="24" t="n">
        <x:v>0.11750713606089438</x:v>
      </x:c>
      <x:c r="L4032" s="24" t="n">
        <x:v>0.009871550903901046</x:v>
      </x:c>
    </x:row>
    <x:row r="4033">
      <x:c r="G4033" t="str">
        <x:v>GSP-PHL</x:v>
      </x:c>
      <x:c r="H4033" t="str">
        <x:v>GSP</x:v>
      </x:c>
      <x:c r="I4033" t="str">
        <x:v>PHL</x:v>
      </x:c>
      <x:c r="J4033" s="23" t="n">
        <x:v>1481</x:v>
      </x:c>
      <x:c r="K4033" s="24" t="n">
        <x:v>0.1174881836596894</x:v>
      </x:c>
      <x:c r="L4033" s="24" t="n">
        <x:v>0.018906144496961513</x:v>
      </x:c>
    </x:row>
    <x:row r="4034">
      <x:c r="G4034" t="str">
        <x:v>BLI-LAS</x:v>
      </x:c>
      <x:c r="H4034" t="str">
        <x:v>BLI</x:v>
      </x:c>
      <x:c r="I4034" t="str">
        <x:v>LAS</x:v>
      </x:c>
      <x:c r="J4034" s="23" t="n">
        <x:v>2213</x:v>
      </x:c>
      <x:c r="K4034" s="24" t="n">
        <x:v>0.1174875734297334</x:v>
      </x:c>
      <x:c r="L4034" s="24" t="n">
        <x:v>0.00587437867148667</x:v>
      </x:c>
    </x:row>
    <x:row r="4035">
      <x:c r="G4035" t="str">
        <x:v>GEG-SLC</x:v>
      </x:c>
      <x:c r="H4035" t="str">
        <x:v>GEG</x:v>
      </x:c>
      <x:c r="I4035" t="str">
        <x:v>SLC</x:v>
      </x:c>
      <x:c r="J4035" s="23" t="n">
        <x:v>5066</x:v>
      </x:c>
      <x:c r="K4035" s="24" t="n">
        <x:v>0.1174496644295302</x:v>
      </x:c>
      <x:c r="L4035" s="24" t="n">
        <x:v>0.005527043031977891</x:v>
      </x:c>
    </x:row>
    <x:row r="4036">
      <x:c r="G4036" t="str">
        <x:v>OAK-SLC</x:v>
      </x:c>
      <x:c r="H4036" t="str">
        <x:v>OAK</x:v>
      </x:c>
      <x:c r="I4036" t="str">
        <x:v>SLC</x:v>
      </x:c>
      <x:c r="J4036" s="23" t="n">
        <x:v>5841</x:v>
      </x:c>
      <x:c r="K4036" s="24" t="n">
        <x:v>0.11727443930833761</x:v>
      </x:c>
      <x:c r="L4036" s="24" t="n">
        <x:v>0.0025680534155110425</x:v>
      </x:c>
    </x:row>
    <x:row r="4037">
      <x:c r="G4037" t="str">
        <x:v>ANC-PDX</x:v>
      </x:c>
      <x:c r="H4037" t="str">
        <x:v>ANC</x:v>
      </x:c>
      <x:c r="I4037" t="str">
        <x:v>PDX</x:v>
      </x:c>
      <x:c r="J4037" s="23" t="n">
        <x:v>1740</x:v>
      </x:c>
      <x:c r="K4037" s="24" t="n">
        <x:v>0.11666666666666667</x:v>
      </x:c>
      <x:c r="L4037" s="24" t="n">
        <x:v>0.005747126436781609</x:v>
      </x:c>
    </x:row>
    <x:row r="4038">
      <x:c r="G4038" t="str">
        <x:v>TLH-ATL</x:v>
      </x:c>
      <x:c r="H4038" t="str">
        <x:v>TLH</x:v>
      </x:c>
      <x:c r="I4038" t="str">
        <x:v>ATL</x:v>
      </x:c>
      <x:c r="J4038" s="23" t="n">
        <x:v>5419</x:v>
      </x:c>
      <x:c r="K4038" s="24" t="n">
        <x:v>0.11662668389001661</x:v>
      </x:c>
      <x:c r="L4038" s="24" t="n">
        <x:v>0.012548440671710648</x:v>
      </x:c>
    </x:row>
    <x:row r="4039">
      <x:c r="G4039" t="str">
        <x:v>CHO-ATL</x:v>
      </x:c>
      <x:c r="H4039" t="str">
        <x:v>CHO</x:v>
      </x:c>
      <x:c r="I4039" t="str">
        <x:v>ATL</x:v>
      </x:c>
      <x:c r="J4039" s="23" t="n">
        <x:v>2358</x:v>
      </x:c>
      <x:c r="K4039" s="24" t="n">
        <x:v>0.11662425784563189</x:v>
      </x:c>
      <x:c r="L4039" s="24" t="n">
        <x:v>0.008057675996607293</x:v>
      </x:c>
    </x:row>
    <x:row r="4040">
      <x:c r="G4040" t="str">
        <x:v>BOS-SDF</x:v>
      </x:c>
      <x:c r="H4040" t="str">
        <x:v>BOS</x:v>
      </x:c>
      <x:c r="I4040" t="str">
        <x:v>SDF</x:v>
      </x:c>
      <x:c r="J4040" s="23" t="n">
        <x:v>2136</x:v>
      </x:c>
      <x:c r="K4040" s="24" t="n">
        <x:v>0.11657303370786516</x:v>
      </x:c>
      <x:c r="L4040" s="24" t="n">
        <x:v>0.011704119850187267</x:v>
      </x:c>
    </x:row>
    <x:row r="4041">
      <x:c r="G4041" t="str">
        <x:v>DSM-ATL</x:v>
      </x:c>
      <x:c r="H4041" t="str">
        <x:v>DSM</x:v>
      </x:c>
      <x:c r="I4041" t="str">
        <x:v>ATL</x:v>
      </x:c>
      <x:c r="J4041" s="23" t="n">
        <x:v>3511</x:v>
      </x:c>
      <x:c r="K4041" s="24" t="n">
        <x:v>0.11649102819709485</x:v>
      </x:c>
      <x:c r="L4041" s="24" t="n">
        <x:v>0.00968385075477072</x:v>
      </x:c>
    </x:row>
    <x:row r="4042">
      <x:c r="G4042" t="str">
        <x:v>JAN-ATL</x:v>
      </x:c>
      <x:c r="H4042" t="str">
        <x:v>JAN</x:v>
      </x:c>
      <x:c r="I4042" t="str">
        <x:v>ATL</x:v>
      </x:c>
      <x:c r="J4042" s="23" t="n">
        <x:v>8085</x:v>
      </x:c>
      <x:c r="K4042" s="24" t="n">
        <x:v>0.11614100185528757</x:v>
      </x:c>
      <x:c r="L4042" s="24" t="n">
        <x:v>0.00766852195423624</x:v>
      </x:c>
    </x:row>
    <x:row r="4043">
      <x:c r="G4043" t="str">
        <x:v>BHM-LGA</x:v>
      </x:c>
      <x:c r="H4043" t="str">
        <x:v>BHM</x:v>
      </x:c>
      <x:c r="I4043" t="str">
        <x:v>LGA</x:v>
      </x:c>
      <x:c r="J4043" s="23" t="n">
        <x:v>1946</x:v>
      </x:c>
      <x:c r="K4043" s="24" t="n">
        <x:v>0.11613566289825282</x:v>
      </x:c>
      <x:c r="L4043" s="24" t="n">
        <x:v>0.03597122302158273</x:v>
      </x:c>
    </x:row>
    <x:row r="4044">
      <x:c r="G4044" t="str">
        <x:v>OKC-ATL</x:v>
      </x:c>
      <x:c r="H4044" t="str">
        <x:v>OKC</x:v>
      </x:c>
      <x:c r="I4044" t="str">
        <x:v>ATL</x:v>
      </x:c>
      <x:c r="J4044" s="23" t="n">
        <x:v>5950</x:v>
      </x:c>
      <x:c r="K4044" s="24" t="n">
        <x:v>0.1161344537815126</x:v>
      </x:c>
      <x:c r="L4044" s="24" t="n">
        <x:v>0.008907563025210084</x:v>
      </x:c>
    </x:row>
    <x:row r="4045">
      <x:c r="G4045" t="str">
        <x:v>BZN-SLC</x:v>
      </x:c>
      <x:c r="H4045" t="str">
        <x:v>BZN</x:v>
      </x:c>
      <x:c r="I4045" t="str">
        <x:v>SLC</x:v>
      </x:c>
      <x:c r="J4045" s="23" t="n">
        <x:v>3456</x:v>
      </x:c>
      <x:c r="K4045" s="24" t="n">
        <x:v>0.11603009259259259</x:v>
      </x:c>
      <x:c r="L4045" s="24" t="n">
        <x:v>0.007233796296296296</x:v>
      </x:c>
    </x:row>
    <x:row r="4046">
      <x:c r="G4046" t="str">
        <x:v>BUR-SLC</x:v>
      </x:c>
      <x:c r="H4046" t="str">
        <x:v>BUR</x:v>
      </x:c>
      <x:c r="I4046" t="str">
        <x:v>SLC</x:v>
      </x:c>
      <x:c r="J4046" s="23" t="n">
        <x:v>4312</x:v>
      </x:c>
      <x:c r="K4046" s="24" t="n">
        <x:v>0.11595547309833024</x:v>
      </x:c>
      <x:c r="L4046" s="24" t="n">
        <x:v>0.004406307977736549</x:v>
      </x:c>
    </x:row>
    <x:row r="4047">
      <x:c r="G4047" t="str">
        <x:v>BGR-LGA</x:v>
      </x:c>
      <x:c r="H4047" t="str">
        <x:v>BGR</x:v>
      </x:c>
      <x:c r="I4047" t="str">
        <x:v>LGA</x:v>
      </x:c>
      <x:c r="J4047" s="23" t="n">
        <x:v>2363</x:v>
      </x:c>
      <x:c r="K4047" s="24" t="n">
        <x:v>0.11595429538721963</x:v>
      </x:c>
      <x:c r="L4047" s="24" t="n">
        <x:v>0.0452814219212865</x:v>
      </x:c>
    </x:row>
    <x:row r="4048">
      <x:c r="G4048" t="str">
        <x:v>ILM-ATL</x:v>
      </x:c>
      <x:c r="H4048" t="str">
        <x:v>ILM</x:v>
      </x:c>
      <x:c r="I4048" t="str">
        <x:v>ATL</x:v>
      </x:c>
      <x:c r="J4048" s="23" t="n">
        <x:v>3511</x:v>
      </x:c>
      <x:c r="K4048" s="24" t="n">
        <x:v>0.11563657077755625</x:v>
      </x:c>
      <x:c r="L4048" s="24" t="n">
        <x:v>0.00854457419538593</x:v>
      </x:c>
    </x:row>
    <x:row r="4049">
      <x:c r="G4049" t="str">
        <x:v>SAN-LAX</x:v>
      </x:c>
      <x:c r="H4049" t="str">
        <x:v>SAN</x:v>
      </x:c>
      <x:c r="I4049" t="str">
        <x:v>LAX</x:v>
      </x:c>
      <x:c r="J4049" s="23" t="n">
        <x:v>6441</x:v>
      </x:c>
      <x:c r="K4049" s="24" t="n">
        <x:v>0.11551001397298556</x:v>
      </x:c>
      <x:c r="L4049" s="24" t="n">
        <x:v>0.005123428039124359</x:v>
      </x:c>
    </x:row>
    <x:row r="4050">
      <x:c r="G4050" t="str">
        <x:v>ANC-FAI</x:v>
      </x:c>
      <x:c r="H4050" t="str">
        <x:v>ANC</x:v>
      </x:c>
      <x:c r="I4050" t="str">
        <x:v>FAI</x:v>
      </x:c>
      <x:c r="J4050" s="23" t="n">
        <x:v>2398</x:v>
      </x:c>
      <x:c r="K4050" s="24" t="n">
        <x:v>0.11509591326105087</x:v>
      </x:c>
      <x:c r="L4050" s="24" t="n">
        <x:v>0.007506255212677231</x:v>
      </x:c>
    </x:row>
    <x:row r="4051">
      <x:c r="G4051" t="str">
        <x:v>BOI-SLC</x:v>
      </x:c>
      <x:c r="H4051" t="str">
        <x:v>BOI</x:v>
      </x:c>
      <x:c r="I4051" t="str">
        <x:v>SLC</x:v>
      </x:c>
      <x:c r="J4051" s="23" t="n">
        <x:v>5106</x:v>
      </x:c>
      <x:c r="K4051" s="24" t="n">
        <x:v>0.11496278887583235</x:v>
      </x:c>
      <x:c r="L4051" s="24" t="n">
        <x:v>0.006462984723854289</x:v>
      </x:c>
    </x:row>
    <x:row r="4052">
      <x:c r="G4052" t="str">
        <x:v>ELP-ATL</x:v>
      </x:c>
      <x:c r="H4052" t="str">
        <x:v>ELP</x:v>
      </x:c>
      <x:c r="I4052" t="str">
        <x:v>ATL</x:v>
      </x:c>
      <x:c r="J4052" s="23" t="n">
        <x:v>2113</x:v>
      </x:c>
      <x:c r="K4052" s="24" t="n">
        <x:v>0.11452910553715097</x:v>
      </x:c>
      <x:c r="L4052" s="24" t="n">
        <x:v>0.008045433033601515</x:v>
      </x:c>
    </x:row>
    <x:row r="4053">
      <x:c r="G4053" t="str">
        <x:v>ATL-CHO</x:v>
      </x:c>
      <x:c r="H4053" t="str">
        <x:v>ATL</x:v>
      </x:c>
      <x:c r="I4053" t="str">
        <x:v>CHO</x:v>
      </x:c>
      <x:c r="J4053" s="23" t="n">
        <x:v>2359</x:v>
      </x:c>
      <x:c r="K4053" s="24" t="n">
        <x:v>0.11445527766002543</x:v>
      </x:c>
      <x:c r="L4053" s="24" t="n">
        <x:v>0.006782534972445952</x:v>
      </x:c>
    </x:row>
    <x:row r="4054">
      <x:c r="G4054" t="str">
        <x:v>RDU-PIT</x:v>
      </x:c>
      <x:c r="H4054" t="str">
        <x:v>RDU</x:v>
      </x:c>
      <x:c r="I4054" t="str">
        <x:v>PIT</x:v>
      </x:c>
      <x:c r="J4054" s="23" t="n">
        <x:v>2125</x:v>
      </x:c>
      <x:c r="K4054" s="24" t="n">
        <x:v>0.11435294117647059</x:v>
      </x:c>
      <x:c r="L4054" s="24" t="n">
        <x:v>0.010352941176470589</x:v>
      </x:c>
    </x:row>
    <x:row r="4055">
      <x:c r="G4055" t="str">
        <x:v>LGB-SLC</x:v>
      </x:c>
      <x:c r="H4055" t="str">
        <x:v>LGB</x:v>
      </x:c>
      <x:c r="I4055" t="str">
        <x:v>SLC</x:v>
      </x:c>
      <x:c r="J4055" s="23" t="n">
        <x:v>4619</x:v>
      </x:c>
      <x:c r="K4055" s="24" t="n">
        <x:v>0.11409395973154363</x:v>
      </x:c>
      <x:c r="L4055" s="24" t="n">
        <x:v>0.002164970772894566</x:v>
      </x:c>
    </x:row>
    <x:row r="4056">
      <x:c r="G4056" t="str">
        <x:v>SLC-FCA</x:v>
      </x:c>
      <x:c r="H4056" t="str">
        <x:v>SLC</x:v>
      </x:c>
      <x:c r="I4056" t="str">
        <x:v>FCA</x:v>
      </x:c>
      <x:c r="J4056" s="23" t="n">
        <x:v>3436</x:v>
      </x:c>
      <x:c r="K4056" s="24" t="n">
        <x:v>0.1140861466821886</x:v>
      </x:c>
      <x:c r="L4056" s="24" t="n">
        <x:v>0.004365541327124563</x:v>
      </x:c>
    </x:row>
    <x:row r="4057">
      <x:c r="G4057" t="str">
        <x:v>ATL-GTR</x:v>
      </x:c>
      <x:c r="H4057" t="str">
        <x:v>ATL</x:v>
      </x:c>
      <x:c r="I4057" t="str">
        <x:v>GTR</x:v>
      </x:c>
      <x:c r="J4057" s="23" t="n">
        <x:v>1534</x:v>
      </x:c>
      <x:c r="K4057" s="24" t="n">
        <x:v>0.11408083441981746</x:v>
      </x:c>
      <x:c r="L4057" s="24" t="n">
        <x:v>0.007170795306388526</x:v>
      </x:c>
    </x:row>
    <x:row r="4058">
      <x:c r="G4058" t="str">
        <x:v>BOI-SJC</x:v>
      </x:c>
      <x:c r="H4058" t="str">
        <x:v>BOI</x:v>
      </x:c>
      <x:c r="I4058" t="str">
        <x:v>SJC</x:v>
      </x:c>
      <x:c r="J4058" s="23" t="n">
        <x:v>2113</x:v>
      </x:c>
      <x:c r="K4058" s="24" t="n">
        <x:v>0.11405584477046853</x:v>
      </x:c>
      <x:c r="L4058" s="24" t="n">
        <x:v>0.001893043066729768</x:v>
      </x:c>
    </x:row>
    <x:row r="4059">
      <x:c r="G4059" t="str">
        <x:v>SLC-TPA</x:v>
      </x:c>
      <x:c r="H4059" t="str">
        <x:v>SLC</x:v>
      </x:c>
      <x:c r="I4059" t="str">
        <x:v>TPA</x:v>
      </x:c>
      <x:c r="J4059" s="23" t="n">
        <x:v>1107</x:v>
      </x:c>
      <x:c r="K4059" s="24" t="n">
        <x:v>0.11382113821138211</x:v>
      </x:c>
      <x:c r="L4059" s="24" t="n">
        <x:v>0.013550135501355014</x:v>
      </x:c>
    </x:row>
    <x:row r="4060">
      <x:c r="G4060" t="str">
        <x:v>SLC-OMA</x:v>
      </x:c>
      <x:c r="H4060" t="str">
        <x:v>SLC</x:v>
      </x:c>
      <x:c r="I4060" t="str">
        <x:v>OMA</x:v>
      </x:c>
      <x:c r="J4060" s="23" t="n">
        <x:v>2105</x:v>
      </x:c>
      <x:c r="K4060" s="24" t="n">
        <x:v>0.11353919239904989</x:v>
      </x:c>
      <x:c r="L4060" s="24" t="n">
        <x:v>0.0028503562945368173</x:v>
      </x:c>
    </x:row>
    <x:row r="4061">
      <x:c r="G4061" t="str">
        <x:v>MRY-LAX</x:v>
      </x:c>
      <x:c r="H4061" t="str">
        <x:v>MRY</x:v>
      </x:c>
      <x:c r="I4061" t="str">
        <x:v>LAX</x:v>
      </x:c>
      <x:c r="J4061" s="23" t="n">
        <x:v>2299</x:v>
      </x:c>
      <x:c r="K4061" s="24" t="n">
        <x:v>0.11352762070465419</x:v>
      </x:c>
      <x:c r="L4061" s="24" t="n">
        <x:v>0.007394519356241845</x:v>
      </x:c>
    </x:row>
    <x:row r="4062">
      <x:c r="G4062" t="str">
        <x:v>LIT-DCA</x:v>
      </x:c>
      <x:c r="H4062" t="str">
        <x:v>LIT</x:v>
      </x:c>
      <x:c r="I4062" t="str">
        <x:v>DCA</x:v>
      </x:c>
      <x:c r="J4062" s="23" t="n">
        <x:v>1084</x:v>
      </x:c>
      <x:c r="K4062" s="24" t="n">
        <x:v>0.11346863468634687</x:v>
      </x:c>
      <x:c r="L4062" s="24" t="n">
        <x:v>0.006457564575645757</x:v>
      </x:c>
    </x:row>
    <x:row r="4063">
      <x:c r="G4063" t="str">
        <x:v>GSP-DTW</x:v>
      </x:c>
      <x:c r="H4063" t="str">
        <x:v>GSP</x:v>
      </x:c>
      <x:c r="I4063" t="str">
        <x:v>DTW</x:v>
      </x:c>
      <x:c r="J4063" s="23" t="n">
        <x:v>1693</x:v>
      </x:c>
      <x:c r="K4063" s="24" t="n">
        <x:v>0.11340815121086828</x:v>
      </x:c>
      <x:c r="L4063" s="24" t="n">
        <x:v>0.010632014176018901</x:v>
      </x:c>
    </x:row>
    <x:row r="4064">
      <x:c r="G4064" t="str">
        <x:v>XNA-ATL</x:v>
      </x:c>
      <x:c r="H4064" t="str">
        <x:v>XNA</x:v>
      </x:c>
      <x:c r="I4064" t="str">
        <x:v>ATL</x:v>
      </x:c>
      <x:c r="J4064" s="23" t="n">
        <x:v>3816</x:v>
      </x:c>
      <x:c r="K4064" s="24" t="n">
        <x:v>0.11320754716981132</x:v>
      </x:c>
      <x:c r="L4064" s="24" t="n">
        <x:v>0.006813417190775681</x:v>
      </x:c>
    </x:row>
    <x:row r="4065">
      <x:c r="G4065" t="str">
        <x:v>RNO-OAK</x:v>
      </x:c>
      <x:c r="H4065" t="str">
        <x:v>RNO</x:v>
      </x:c>
      <x:c r="I4065" t="str">
        <x:v>OAK</x:v>
      </x:c>
      <x:c r="J4065" s="23" t="n">
        <x:v>1434</x:v>
      </x:c>
      <x:c r="K4065" s="24" t="n">
        <x:v>0.11297071129707113</x:v>
      </x:c>
      <x:c r="L4065" s="24" t="n">
        <x:v>0.0048814504881450485</x:v>
      </x:c>
    </x:row>
    <x:row r="4066">
      <x:c r="G4066" t="str">
        <x:v>GEG-BOI</x:v>
      </x:c>
      <x:c r="H4066" t="str">
        <x:v>GEG</x:v>
      </x:c>
      <x:c r="I4066" t="str">
        <x:v>BOI</x:v>
      </x:c>
      <x:c r="J4066" s="23" t="n">
        <x:v>1408</x:v>
      </x:c>
      <x:c r="K4066" s="24" t="n">
        <x:v>0.11292613636363637</x:v>
      </x:c>
      <x:c r="L4066" s="24" t="n">
        <x:v>0.004261363636363636</x:v>
      </x:c>
    </x:row>
    <x:row r="4067">
      <x:c r="G4067" t="str">
        <x:v>FAT-PDX</x:v>
      </x:c>
      <x:c r="H4067" t="str">
        <x:v>FAT</x:v>
      </x:c>
      <x:c r="I4067" t="str">
        <x:v>PDX</x:v>
      </x:c>
      <x:c r="J4067" s="23" t="n">
        <x:v>1720</x:v>
      </x:c>
      <x:c r="K4067" s="24" t="n">
        <x:v>0.1127906976744186</x:v>
      </x:c>
      <x:c r="L4067" s="24" t="n">
        <x:v>0.0017441860465116279</x:v>
      </x:c>
    </x:row>
    <x:row r="4068">
      <x:c r="G4068" t="str">
        <x:v>PDX-SLC</x:v>
      </x:c>
      <x:c r="H4068" t="str">
        <x:v>PDX</x:v>
      </x:c>
      <x:c r="I4068" t="str">
        <x:v>SLC</x:v>
      </x:c>
      <x:c r="J4068" s="23" t="n">
        <x:v>7174</x:v>
      </x:c>
      <x:c r="K4068" s="24" t="n">
        <x:v>0.1126289378310566</x:v>
      </x:c>
      <x:c r="L4068" s="24" t="n">
        <x:v>0.006133258990800111</x:v>
      </x:c>
    </x:row>
    <x:row r="4069">
      <x:c r="G4069" t="str">
        <x:v>FAT-LAX</x:v>
      </x:c>
      <x:c r="H4069" t="str">
        <x:v>FAT</x:v>
      </x:c>
      <x:c r="I4069" t="str">
        <x:v>LAX</x:v>
      </x:c>
      <x:c r="J4069" s="23" t="n">
        <x:v>2307</x:v>
      </x:c>
      <x:c r="K4069" s="24" t="n">
        <x:v>0.11226701343736455</x:v>
      </x:c>
      <x:c r="L4069" s="24" t="n">
        <x:v>0.002600780234070221</x:v>
      </x:c>
    </x:row>
    <x:row r="4070">
      <x:c r="G4070" t="str">
        <x:v>CRW-DCA</x:v>
      </x:c>
      <x:c r="H4070" t="str">
        <x:v>CRW</x:v>
      </x:c>
      <x:c r="I4070" t="str">
        <x:v>DCA</x:v>
      </x:c>
      <x:c r="J4070" s="23" t="n">
        <x:v>1036</x:v>
      </x:c>
      <x:c r="K4070" s="24" t="n">
        <x:v>0.11196911196911197</x:v>
      </x:c>
      <x:c r="L4070" s="24" t="n">
        <x:v>0.033783783783783786</x:v>
      </x:c>
    </x:row>
    <x:row r="4071">
      <x:c r="G4071" t="str">
        <x:v>OKC-SLC</x:v>
      </x:c>
      <x:c r="H4071" t="str">
        <x:v>OKC</x:v>
      </x:c>
      <x:c r="I4071" t="str">
        <x:v>SLC</x:v>
      </x:c>
      <x:c r="J4071" s="23" t="n">
        <x:v>2127</x:v>
      </x:c>
      <x:c r="K4071" s="24" t="n">
        <x:v>0.11189468735307946</x:v>
      </x:c>
      <x:c r="L4071" s="24" t="n">
        <x:v>0.0009402914903620122</x:v>
      </x:c>
    </x:row>
    <x:row r="4072">
      <x:c r="G4072" t="str">
        <x:v>LGB-MDW</x:v>
      </x:c>
      <x:c r="H4072" t="str">
        <x:v>LGB</x:v>
      </x:c>
      <x:c r="I4072" t="str">
        <x:v>MDW</x:v>
      </x:c>
      <x:c r="J4072" s="23" t="n">
        <x:v>1377</x:v>
      </x:c>
      <x:c r="K4072" s="24" t="n">
        <x:v>0.11183732752360204</x:v>
      </x:c>
      <x:c r="L4072" s="24" t="n">
        <x:v>0.012345679012345678</x:v>
      </x:c>
    </x:row>
    <x:row r="4073">
      <x:c r="G4073" t="str">
        <x:v>PSC-PHX</x:v>
      </x:c>
      <x:c r="H4073" t="str">
        <x:v>PSC</x:v>
      </x:c>
      <x:c r="I4073" t="str">
        <x:v>PHX</x:v>
      </x:c>
      <x:c r="J4073" s="23" t="n">
        <x:v>1131</x:v>
      </x:c>
      <x:c r="K4073" s="24" t="n">
        <x:v>0.11140583554376658</x:v>
      </x:c>
      <x:c r="L4073" s="24" t="n">
        <x:v>0</x:v>
      </x:c>
    </x:row>
    <x:row r="4074">
      <x:c r="G4074" t="str">
        <x:v>SAT-DTW</x:v>
      </x:c>
      <x:c r="H4074" t="str">
        <x:v>SAT</x:v>
      </x:c>
      <x:c r="I4074" t="str">
        <x:v>DTW</x:v>
      </x:c>
      <x:c r="J4074" s="23" t="n">
        <x:v>2776</x:v>
      </x:c>
      <x:c r="K4074" s="24" t="n">
        <x:v>0.11131123919308357</x:v>
      </x:c>
      <x:c r="L4074" s="24" t="n">
        <x:v>0.008285302593659942</x:v>
      </x:c>
    </x:row>
    <x:row r="4075">
      <x:c r="G4075" t="str">
        <x:v>LGB-OGG</x:v>
      </x:c>
      <x:c r="H4075" t="str">
        <x:v>LGB</x:v>
      </x:c>
      <x:c r="I4075" t="str">
        <x:v>OGG</x:v>
      </x:c>
      <x:c r="J4075" s="23" t="n">
        <x:v>1206</x:v>
      </x:c>
      <x:c r="K4075" s="24" t="n">
        <x:v>0.1111111111111111</x:v>
      </x:c>
      <x:c r="L4075" s="24" t="n">
        <x:v>0.01824212271973466</x:v>
      </x:c>
    </x:row>
    <x:row r="4076">
      <x:c r="G4076" t="str">
        <x:v>TUS-IAH</x:v>
      </x:c>
      <x:c r="H4076" t="str">
        <x:v>TUS</x:v>
      </x:c>
      <x:c r="I4076" t="str">
        <x:v>IAH</x:v>
      </x:c>
      <x:c r="J4076" s="23" t="n">
        <x:v>1479</x:v>
      </x:c>
      <x:c r="K4076" s="24" t="n">
        <x:v>0.11088573360378634</x:v>
      </x:c>
      <x:c r="L4076" s="24" t="n">
        <x:v>0.011494252873563218</x:v>
      </x:c>
    </x:row>
    <x:row r="4077">
      <x:c r="G4077" t="str">
        <x:v>CMH-BWI</x:v>
      </x:c>
      <x:c r="H4077" t="str">
        <x:v>CMH</x:v>
      </x:c>
      <x:c r="I4077" t="str">
        <x:v>BWI</x:v>
      </x:c>
      <x:c r="J4077" s="23" t="n">
        <x:v>3261</x:v>
      </x:c>
      <x:c r="K4077" s="24" t="n">
        <x:v>0.11070223857712358</x:v>
      </x:c>
      <x:c r="L4077" s="24" t="n">
        <x:v>0.00827966881324747</x:v>
      </x:c>
    </x:row>
    <x:row r="4078">
      <x:c r="G4078" t="str">
        <x:v>ATL-OAJ</x:v>
      </x:c>
      <x:c r="H4078" t="str">
        <x:v>ATL</x:v>
      </x:c>
      <x:c r="I4078" t="str">
        <x:v>OAJ</x:v>
      </x:c>
      <x:c r="J4078" s="23" t="n">
        <x:v>1582</x:v>
      </x:c>
      <x:c r="K4078" s="24" t="n">
        <x:v>0.11061946902654868</x:v>
      </x:c>
      <x:c r="L4078" s="24" t="n">
        <x:v>0.0037926675094816687</x:v>
      </x:c>
    </x:row>
    <x:row r="4079">
      <x:c r="G4079" t="str">
        <x:v>MEM-DTW</x:v>
      </x:c>
      <x:c r="H4079" t="str">
        <x:v>MEM</x:v>
      </x:c>
      <x:c r="I4079" t="str">
        <x:v>DTW</x:v>
      </x:c>
      <x:c r="J4079" s="23" t="n">
        <x:v>2442</x:v>
      </x:c>
      <x:c r="K4079" s="24" t="n">
        <x:v>0.11056511056511056</x:v>
      </x:c>
      <x:c r="L4079" s="24" t="n">
        <x:v>0.009009009009009009</x:v>
      </x:c>
    </x:row>
    <x:row r="4080">
      <x:c r="G4080" t="str">
        <x:v>SDF-ATL</x:v>
      </x:c>
      <x:c r="H4080" t="str">
        <x:v>SDF</x:v>
      </x:c>
      <x:c r="I4080" t="str">
        <x:v>ATL</x:v>
      </x:c>
      <x:c r="J4080" s="23" t="n">
        <x:v>8550</x:v>
      </x:c>
      <x:c r="K4080" s="24" t="n">
        <x:v>0.11029239766081872</x:v>
      </x:c>
      <x:c r="L4080" s="24" t="n">
        <x:v>0.009941520467836258</x:v>
      </x:c>
    </x:row>
    <x:row r="4081">
      <x:c r="G4081" t="str">
        <x:v>CAE-ATL</x:v>
      </x:c>
      <x:c r="H4081" t="str">
        <x:v>CAE</x:v>
      </x:c>
      <x:c r="I4081" t="str">
        <x:v>ATL</x:v>
      </x:c>
      <x:c r="J4081" s="23" t="n">
        <x:v>6080</x:v>
      </x:c>
      <x:c r="K4081" s="24" t="n">
        <x:v>0.11019736842105263</x:v>
      </x:c>
      <x:c r="L4081" s="24" t="n">
        <x:v>0.008223684210526315</x:v>
      </x:c>
    </x:row>
    <x:row r="4082">
      <x:c r="G4082" t="str">
        <x:v>LAX-BZN</x:v>
      </x:c>
      <x:c r="H4082" t="str">
        <x:v>LAX</x:v>
      </x:c>
      <x:c r="I4082" t="str">
        <x:v>BZN</x:v>
      </x:c>
      <x:c r="J4082" s="23" t="n">
        <x:v>1653</x:v>
      </x:c>
      <x:c r="K4082" s="24" t="n">
        <x:v>0.11010284331518451</x:v>
      </x:c>
      <x:c r="L4082" s="24" t="n">
        <x:v>0.006049606775559589</x:v>
      </x:c>
    </x:row>
    <x:row r="4083">
      <x:c r="G4083" t="str">
        <x:v>RDU-CVG</x:v>
      </x:c>
      <x:c r="H4083" t="str">
        <x:v>RDU</x:v>
      </x:c>
      <x:c r="I4083" t="str">
        <x:v>CVG</x:v>
      </x:c>
      <x:c r="J4083" s="23" t="n">
        <x:v>1254</x:v>
      </x:c>
      <x:c r="K4083" s="24" t="n">
        <x:v>0.11004784688995216</x:v>
      </x:c>
      <x:c r="L4083" s="24" t="n">
        <x:v>0.009569377990430622</x:v>
      </x:c>
    </x:row>
    <x:row r="4084">
      <x:c r="G4084" t="str">
        <x:v>PSP-PDX</x:v>
      </x:c>
      <x:c r="H4084" t="str">
        <x:v>PSP</x:v>
      </x:c>
      <x:c r="I4084" t="str">
        <x:v>PDX</x:v>
      </x:c>
      <x:c r="J4084" s="23" t="n">
        <x:v>1684</x:v>
      </x:c>
      <x:c r="K4084" s="24" t="n">
        <x:v>0.10985748218527316</x:v>
      </x:c>
      <x:c r="L4084" s="24" t="n">
        <x:v>0.013064133016627079</x:v>
      </x:c>
    </x:row>
    <x:row r="4085">
      <x:c r="G4085" t="str">
        <x:v>LIT-STL</x:v>
      </x:c>
      <x:c r="H4085" t="str">
        <x:v>LIT</x:v>
      </x:c>
      <x:c r="I4085" t="str">
        <x:v>STL</x:v>
      </x:c>
      <x:c r="J4085" s="23" t="n">
        <x:v>2012</x:v>
      </x:c>
      <x:c r="K4085" s="24" t="n">
        <x:v>0.10984095427435388</x:v>
      </x:c>
      <x:c r="L4085" s="24" t="n">
        <x:v>0.0064612326043737576</x:v>
      </x:c>
    </x:row>
    <x:row r="4086">
      <x:c r="G4086" t="str">
        <x:v>KTN-JNU</x:v>
      </x:c>
      <x:c r="H4086" t="str">
        <x:v>KTN</x:v>
      </x:c>
      <x:c r="I4086" t="str">
        <x:v>JNU</x:v>
      </x:c>
      <x:c r="J4086" s="23" t="n">
        <x:v>1087</x:v>
      </x:c>
      <x:c r="K4086" s="24" t="n">
        <x:v>0.10947562097516099</x:v>
      </x:c>
      <x:c r="L4086" s="24" t="n">
        <x:v>0.03219871205151794</x:v>
      </x:c>
    </x:row>
    <x:row r="4087">
      <x:c r="G4087" t="str">
        <x:v>IAD-CHS</x:v>
      </x:c>
      <x:c r="H4087" t="str">
        <x:v>IAD</x:v>
      </x:c>
      <x:c r="I4087" t="str">
        <x:v>CHS</x:v>
      </x:c>
      <x:c r="J4087" s="23" t="n">
        <x:v>1993</x:v>
      </x:c>
      <x:c r="K4087" s="24" t="n">
        <x:v>0.10938283993978926</x:v>
      </x:c>
      <x:c r="L4087" s="24" t="n">
        <x:v>0.011038635223281485</x:v>
      </x:c>
    </x:row>
    <x:row r="4088">
      <x:c r="G4088" t="str">
        <x:v>MSN-LGA</x:v>
      </x:c>
      <x:c r="H4088" t="str">
        <x:v>MSN</x:v>
      </x:c>
      <x:c r="I4088" t="str">
        <x:v>LGA</x:v>
      </x:c>
      <x:c r="J4088" s="23" t="n">
        <x:v>1701</x:v>
      </x:c>
      <x:c r="K4088" s="24" t="n">
        <x:v>0.10934744268077601</x:v>
      </x:c>
      <x:c r="L4088" s="24" t="n">
        <x:v>0.023515579071134628</x:v>
      </x:c>
    </x:row>
    <x:row r="4089">
      <x:c r="G4089" t="str">
        <x:v>SMF-SLC</x:v>
      </x:c>
      <x:c r="H4089" t="str">
        <x:v>SMF</x:v>
      </x:c>
      <x:c r="I4089" t="str">
        <x:v>SLC</x:v>
      </x:c>
      <x:c r="J4089" s="23" t="n">
        <x:v>5983</x:v>
      </x:c>
      <x:c r="K4089" s="24" t="n">
        <x:v>0.10914257061674745</x:v>
      </x:c>
      <x:c r="L4089" s="24" t="n">
        <x:v>0.004178505766337957</x:v>
      </x:c>
    </x:row>
    <x:row r="4090">
      <x:c r="G4090" t="str">
        <x:v>LAX-RDD</x:v>
      </x:c>
      <x:c r="H4090" t="str">
        <x:v>LAX</x:v>
      </x:c>
      <x:c r="I4090" t="str">
        <x:v>RDD</x:v>
      </x:c>
      <x:c r="J4090" s="23" t="n">
        <x:v>1063</x:v>
      </x:c>
      <x:c r="K4090" s="24" t="n">
        <x:v>0.10912511759172154</x:v>
      </x:c>
      <x:c r="L4090" s="24" t="n">
        <x:v>0.0018814675446848542</x:v>
      </x:c>
    </x:row>
    <x:row r="4091">
      <x:c r="G4091" t="str">
        <x:v>MAF-DAL</x:v>
      </x:c>
      <x:c r="H4091" t="str">
        <x:v>MAF</x:v>
      </x:c>
      <x:c r="I4091" t="str">
        <x:v>DAL</x:v>
      </x:c>
      <x:c r="J4091" s="23" t="n">
        <x:v>4423</x:v>
      </x:c>
      <x:c r="K4091" s="24" t="n">
        <x:v>0.10897580827492652</x:v>
      </x:c>
      <x:c r="L4091" s="24" t="n">
        <x:v>0.014921998643454669</x:v>
      </x:c>
    </x:row>
    <x:row r="4092">
      <x:c r="G4092" t="str">
        <x:v>OGG-DFW</x:v>
      </x:c>
      <x:c r="H4092" t="str">
        <x:v>OGG</x:v>
      </x:c>
      <x:c r="I4092" t="str">
        <x:v>DFW</x:v>
      </x:c>
      <x:c r="J4092" s="23" t="n">
        <x:v>1240</x:v>
      </x:c>
      <x:c r="K4092" s="24" t="n">
        <x:v>0.10887096774193548</x:v>
      </x:c>
      <x:c r="L4092" s="24" t="n">
        <x:v>0.0024193548387096775</x:v>
      </x:c>
    </x:row>
    <x:row r="4093">
      <x:c r="G4093" t="str">
        <x:v>TYS-ATL</x:v>
      </x:c>
      <x:c r="H4093" t="str">
        <x:v>TYS</x:v>
      </x:c>
      <x:c r="I4093" t="str">
        <x:v>ATL</x:v>
      </x:c>
      <x:c r="J4093" s="23" t="n">
        <x:v>6738</x:v>
      </x:c>
      <x:c r="K4093" s="24" t="n">
        <x:v>0.10863757791629564</x:v>
      </x:c>
      <x:c r="L4093" s="24" t="n">
        <x:v>0.009201543484713566</x:v>
      </x:c>
    </x:row>
    <x:row r="4094">
      <x:c r="G4094" t="str">
        <x:v>MYR-ATL</x:v>
      </x:c>
      <x:c r="H4094" t="str">
        <x:v>MYR</x:v>
      </x:c>
      <x:c r="I4094" t="str">
        <x:v>ATL</x:v>
      </x:c>
      <x:c r="J4094" s="23" t="n">
        <x:v>4299</x:v>
      </x:c>
      <x:c r="K4094" s="24" t="n">
        <x:v>0.1086299139334729</x:v>
      </x:c>
      <x:c r="L4094" s="24" t="n">
        <x:v>0.008839264945336125</x:v>
      </x:c>
    </x:row>
    <x:row r="4095">
      <x:c r="G4095" t="str">
        <x:v>HNL-ORD</x:v>
      </x:c>
      <x:c r="H4095" t="str">
        <x:v>HNL</x:v>
      </x:c>
      <x:c r="I4095" t="str">
        <x:v>ORD</x:v>
      </x:c>
      <x:c r="J4095" s="23" t="n">
        <x:v>1231</x:v>
      </x:c>
      <x:c r="K4095" s="24" t="n">
        <x:v>0.10804224207961008</x:v>
      </x:c>
      <x:c r="L4095" s="24" t="n">
        <x:v>0.006498781478472786</x:v>
      </x:c>
    </x:row>
    <x:row r="4096">
      <x:c r="G4096" t="str">
        <x:v>CHS-IAD</x:v>
      </x:c>
      <x:c r="H4096" t="str">
        <x:v>CHS</x:v>
      </x:c>
      <x:c r="I4096" t="str">
        <x:v>IAD</x:v>
      </x:c>
      <x:c r="J4096" s="23" t="n">
        <x:v>1991</x:v>
      </x:c>
      <x:c r="K4096" s="24" t="n">
        <x:v>0.10798593671521849</x:v>
      </x:c>
      <x:c r="L4096" s="24" t="n">
        <x:v>0.01054746358613762</x:v>
      </x:c>
    </x:row>
    <x:row r="4097">
      <x:c r="G4097" t="str">
        <x:v>SLC-MFR</x:v>
      </x:c>
      <x:c r="H4097" t="str">
        <x:v>SLC</x:v>
      </x:c>
      <x:c r="I4097" t="str">
        <x:v>MFR</x:v>
      </x:c>
      <x:c r="J4097" s="23" t="n">
        <x:v>2196</x:v>
      </x:c>
      <x:c r="K4097" s="24" t="n">
        <x:v>0.10792349726775956</x:v>
      </x:c>
      <x:c r="L4097" s="24" t="n">
        <x:v>0.007741347905282332</x:v>
      </x:c>
    </x:row>
    <x:row r="4098">
      <x:c r="G4098" t="str">
        <x:v>MCI-DTW</x:v>
      </x:c>
      <x:c r="H4098" t="str">
        <x:v>MCI</x:v>
      </x:c>
      <x:c r="I4098" t="str">
        <x:v>DTW</x:v>
      </x:c>
      <x:c r="J4098" s="23" t="n">
        <x:v>4041</x:v>
      </x:c>
      <x:c r="K4098" s="24" t="n">
        <x:v>0.1078940856223707</x:v>
      </x:c>
      <x:c r="L4098" s="24" t="n">
        <x:v>0.0056916604800791885</x:v>
      </x:c>
    </x:row>
    <x:row r="4099">
      <x:c r="G4099" t="str">
        <x:v>SEA-MFR</x:v>
      </x:c>
      <x:c r="H4099" t="str">
        <x:v>SEA</x:v>
      </x:c>
      <x:c r="I4099" t="str">
        <x:v>MFR</x:v>
      </x:c>
      <x:c r="J4099" s="23" t="n">
        <x:v>3236</x:v>
      </x:c>
      <x:c r="K4099" s="24" t="n">
        <x:v>0.10784919653893696</x:v>
      </x:c>
      <x:c r="L4099" s="24" t="n">
        <x:v>0.009579728059332509</x:v>
      </x:c>
    </x:row>
    <x:row r="4100">
      <x:c r="G4100" t="str">
        <x:v>IND-IAD</x:v>
      </x:c>
      <x:c r="H4100" t="str">
        <x:v>IND</x:v>
      </x:c>
      <x:c r="I4100" t="str">
        <x:v>IAD</x:v>
      </x:c>
      <x:c r="J4100" s="23" t="n">
        <x:v>3349</x:v>
      </x:c>
      <x:c r="K4100" s="24" t="n">
        <x:v>0.10779337115556882</x:v>
      </x:c>
      <x:c r="L4100" s="24" t="n">
        <x:v>0.011346670647954613</x:v>
      </x:c>
    </x:row>
    <x:row r="4101">
      <x:c r="G4101" t="str">
        <x:v>ABQ-ATL</x:v>
      </x:c>
      <x:c r="H4101" t="str">
        <x:v>ABQ</x:v>
      </x:c>
      <x:c r="I4101" t="str">
        <x:v>ATL</x:v>
      </x:c>
      <x:c r="J4101" s="23" t="n">
        <x:v>2950</x:v>
      </x:c>
      <x:c r="K4101" s="24" t="n">
        <x:v>0.10745762711864407</x:v>
      </x:c>
      <x:c r="L4101" s="24" t="n">
        <x:v>0.007796610169491526</x:v>
      </x:c>
    </x:row>
    <x:row r="4102">
      <x:c r="G4102" t="str">
        <x:v>LAX-TUL</x:v>
      </x:c>
      <x:c r="H4102" t="str">
        <x:v>LAX</x:v>
      </x:c>
      <x:c r="I4102" t="str">
        <x:v>TUL</x:v>
      </x:c>
      <x:c r="J4102" s="23" t="n">
        <x:v>1369</x:v>
      </x:c>
      <x:c r="K4102" s="24" t="n">
        <x:v>0.10737764791818846</x:v>
      </x:c>
      <x:c r="L4102" s="24" t="n">
        <x:v>0.0007304601899196494</x:v>
      </x:c>
    </x:row>
    <x:row r="4103">
      <x:c r="G4103" t="str">
        <x:v>STL-SLC</x:v>
      </x:c>
      <x:c r="H4103" t="str">
        <x:v>STL</x:v>
      </x:c>
      <x:c r="I4103" t="str">
        <x:v>SLC</x:v>
      </x:c>
      <x:c r="J4103" s="23" t="n">
        <x:v>2944</x:v>
      </x:c>
      <x:c r="K4103" s="24" t="n">
        <x:v>0.10733695652173914</x:v>
      </x:c>
      <x:c r="L4103" s="24" t="n">
        <x:v>0.005434782608695652</x:v>
      </x:c>
    </x:row>
    <x:row r="4104">
      <x:c r="G4104" t="str">
        <x:v>HSV-ATL</x:v>
      </x:c>
      <x:c r="H4104" t="str">
        <x:v>HSV</x:v>
      </x:c>
      <x:c r="I4104" t="str">
        <x:v>ATL</x:v>
      </x:c>
      <x:c r="J4104" s="23" t="n">
        <x:v>6846</x:v>
      </x:c>
      <x:c r="K4104" s="24" t="n">
        <x:v>0.10706982179374817</x:v>
      </x:c>
      <x:c r="L4104" s="24" t="n">
        <x:v>0.010955302366345312</x:v>
      </x:c>
    </x:row>
    <x:row r="4105">
      <x:c r="G4105" t="str">
        <x:v>CLE-IAD</x:v>
      </x:c>
      <x:c r="H4105" t="str">
        <x:v>CLE</x:v>
      </x:c>
      <x:c r="I4105" t="str">
        <x:v>IAD</x:v>
      </x:c>
      <x:c r="J4105" s="23" t="n">
        <x:v>2477</x:v>
      </x:c>
      <x:c r="K4105" s="24" t="n">
        <x:v>0.10698425514735567</x:v>
      </x:c>
      <x:c r="L4105" s="24" t="n">
        <x:v>0.011707710940654016</x:v>
      </x:c>
    </x:row>
    <x:row r="4106">
      <x:c r="G4106" t="str">
        <x:v>MFR-PHX</x:v>
      </x:c>
      <x:c r="H4106" t="str">
        <x:v>MFR</x:v>
      </x:c>
      <x:c r="I4106" t="str">
        <x:v>PHX</x:v>
      </x:c>
      <x:c r="J4106" s="23" t="n">
        <x:v>2178</x:v>
      </x:c>
      <x:c r="K4106" s="24" t="n">
        <x:v>0.10697887970615243</x:v>
      </x:c>
      <x:c r="L4106" s="24" t="n">
        <x:v>0.0036730945821854912</x:v>
      </x:c>
    </x:row>
    <x:row r="4107">
      <x:c r="G4107" t="str">
        <x:v>PIT-IAD</x:v>
      </x:c>
      <x:c r="H4107" t="str">
        <x:v>PIT</x:v>
      </x:c>
      <x:c r="I4107" t="str">
        <x:v>IAD</x:v>
      </x:c>
      <x:c r="J4107" s="23" t="n">
        <x:v>2618</x:v>
      </x:c>
      <x:c r="K4107" s="24" t="n">
        <x:v>0.10695187165775401</x:v>
      </x:c>
      <x:c r="L4107" s="24" t="n">
        <x:v>0.005729564553093965</x:v>
      </x:c>
    </x:row>
    <x:row r="4108">
      <x:c r="G4108" t="str">
        <x:v>PIT-RDU</x:v>
      </x:c>
      <x:c r="H4108" t="str">
        <x:v>PIT</x:v>
      </x:c>
      <x:c r="I4108" t="str">
        <x:v>RDU</x:v>
      </x:c>
      <x:c r="J4108" s="23" t="n">
        <x:v>2126</x:v>
      </x:c>
      <x:c r="K4108" s="24" t="n">
        <x:v>0.10630291627469426</x:v>
      </x:c>
      <x:c r="L4108" s="24" t="n">
        <x:v>0.00940733772342427</x:v>
      </x:c>
    </x:row>
    <x:row r="4109">
      <x:c r="G4109" t="str">
        <x:v>RDM-PHX</x:v>
      </x:c>
      <x:c r="H4109" t="str">
        <x:v>RDM</x:v>
      </x:c>
      <x:c r="I4109" t="str">
        <x:v>PHX</x:v>
      </x:c>
      <x:c r="J4109" s="23" t="n">
        <x:v>2192</x:v>
      </x:c>
      <x:c r="K4109" s="24" t="n">
        <x:v>0.1062956204379562</x:v>
      </x:c>
      <x:c r="L4109" s="24" t="n">
        <x:v>0.004562043795620438</x:v>
      </x:c>
    </x:row>
    <x:row r="4110">
      <x:c r="G4110" t="str">
        <x:v>SLC-BIL</x:v>
      </x:c>
      <x:c r="H4110" t="str">
        <x:v>SLC</x:v>
      </x:c>
      <x:c r="I4110" t="str">
        <x:v>BIL</x:v>
      </x:c>
      <x:c r="J4110" s="23" t="n">
        <x:v>3137</x:v>
      </x:c>
      <x:c r="K4110" s="24" t="n">
        <x:v>0.10615237488045903</x:v>
      </x:c>
      <x:c r="L4110" s="24" t="n">
        <x:v>0.004781638508128785</x:v>
      </x:c>
    </x:row>
    <x:row r="4111">
      <x:c r="G4111" t="str">
        <x:v>CWA-MSP</x:v>
      </x:c>
      <x:c r="H4111" t="str">
        <x:v>CWA</x:v>
      </x:c>
      <x:c r="I4111" t="str">
        <x:v>MSP</x:v>
      </x:c>
      <x:c r="J4111" s="23" t="n">
        <x:v>1461</x:v>
      </x:c>
      <x:c r="K4111" s="24" t="n">
        <x:v>0.10609171800136892</x:v>
      </x:c>
      <x:c r="L4111" s="24" t="n">
        <x:v>0.009582477754962354</x:v>
      </x:c>
    </x:row>
    <x:row r="4112">
      <x:c r="G4112" t="str">
        <x:v>SMF-ATL</x:v>
      </x:c>
      <x:c r="H4112" t="str">
        <x:v>SMF</x:v>
      </x:c>
      <x:c r="I4112" t="str">
        <x:v>ATL</x:v>
      </x:c>
      <x:c r="J4112" s="23" t="n">
        <x:v>2894</x:v>
      </x:c>
      <x:c r="K4112" s="24" t="n">
        <x:v>0.10608154803040774</x:v>
      </x:c>
      <x:c r="L4112" s="24" t="n">
        <x:v>0.010020732550103663</x:v>
      </x:c>
    </x:row>
    <x:row r="4113">
      <x:c r="G4113" t="str">
        <x:v>SIT-KTN</x:v>
      </x:c>
      <x:c r="H4113" t="str">
        <x:v>SIT</x:v>
      </x:c>
      <x:c r="I4113" t="str">
        <x:v>KTN</x:v>
      </x:c>
      <x:c r="J4113" s="23" t="n">
        <x:v>1095</x:v>
      </x:c>
      <x:c r="K4113" s="24" t="n">
        <x:v>0.10593607305936073</x:v>
      </x:c>
      <x:c r="L4113" s="24" t="n">
        <x:v>0.012785388127853882</x:v>
      </x:c>
    </x:row>
    <x:row r="4114">
      <x:c r="G4114" t="str">
        <x:v>SNA-PDX</x:v>
      </x:c>
      <x:c r="H4114" t="str">
        <x:v>SNA</x:v>
      </x:c>
      <x:c r="I4114" t="str">
        <x:v>PDX</x:v>
      </x:c>
      <x:c r="J4114" s="23" t="n">
        <x:v>3990</x:v>
      </x:c>
      <x:c r="K4114" s="24" t="n">
        <x:v>0.10576441102756892</x:v>
      </x:c>
      <x:c r="L4114" s="24" t="n">
        <x:v>0.013283208020050126</x:v>
      </x:c>
    </x:row>
    <x:row r="4115">
      <x:c r="G4115" t="str">
        <x:v>BHM-ATL</x:v>
      </x:c>
      <x:c r="H4115" t="str">
        <x:v>BHM</x:v>
      </x:c>
      <x:c r="I4115" t="str">
        <x:v>ATL</x:v>
      </x:c>
      <x:c r="J4115" s="23" t="n">
        <x:v>8799</x:v>
      </x:c>
      <x:c r="K4115" s="24" t="n">
        <x:v>0.10569382884418684</x:v>
      </x:c>
      <x:c r="L4115" s="24" t="n">
        <x:v>0.012842368450960337</x:v>
      </x:c>
    </x:row>
    <x:row r="4116">
      <x:c r="G4116" t="str">
        <x:v>GSO-ATL</x:v>
      </x:c>
      <x:c r="H4116" t="str">
        <x:v>GSO</x:v>
      </x:c>
      <x:c r="I4116" t="str">
        <x:v>ATL</x:v>
      </x:c>
      <x:c r="J4116" s="23" t="n">
        <x:v>7435</x:v>
      </x:c>
      <x:c r="K4116" s="24" t="n">
        <x:v>0.1054472091459314</x:v>
      </x:c>
      <x:c r="L4116" s="24" t="n">
        <x:v>0.009952925353059852</x:v>
      </x:c>
    </x:row>
    <x:row r="4117">
      <x:c r="G4117" t="str">
        <x:v>GSO-MIA</x:v>
      </x:c>
      <x:c r="H4117" t="str">
        <x:v>GSO</x:v>
      </x:c>
      <x:c r="I4117" t="str">
        <x:v>MIA</x:v>
      </x:c>
      <x:c r="J4117" s="23" t="n">
        <x:v>1224</x:v>
      </x:c>
      <x:c r="K4117" s="24" t="n">
        <x:v>0.1053921568627451</x:v>
      </x:c>
      <x:c r="L4117" s="24" t="n">
        <x:v>0.007352941176470588</x:v>
      </x:c>
    </x:row>
    <x:row r="4118">
      <x:c r="G4118" t="str">
        <x:v>RDD-LAX</x:v>
      </x:c>
      <x:c r="H4118" t="str">
        <x:v>RDD</x:v>
      </x:c>
      <x:c r="I4118" t="str">
        <x:v>LAX</x:v>
      </x:c>
      <x:c r="J4118" s="23" t="n">
        <x:v>1064</x:v>
      </x:c>
      <x:c r="K4118" s="24" t="n">
        <x:v>0.10526315789473684</x:v>
      </x:c>
      <x:c r="L4118" s="24" t="n">
        <x:v>0.0018796992481203006</x:v>
      </x:c>
    </x:row>
    <x:row r="4119">
      <x:c r="G4119" t="str">
        <x:v>ONT-MDW</x:v>
      </x:c>
      <x:c r="H4119" t="str">
        <x:v>ONT</x:v>
      </x:c>
      <x:c r="I4119" t="str">
        <x:v>MDW</x:v>
      </x:c>
      <x:c r="J4119" s="23" t="n">
        <x:v>1083</x:v>
      </x:c>
      <x:c r="K4119" s="24" t="n">
        <x:v>0.10526315789473684</x:v>
      </x:c>
      <x:c r="L4119" s="24" t="n">
        <x:v>0.00554016620498615</x:v>
      </x:c>
    </x:row>
    <x:row r="4120">
      <x:c r="G4120" t="str">
        <x:v>SLC-ABQ</x:v>
      </x:c>
      <x:c r="H4120" t="str">
        <x:v>SLC</x:v>
      </x:c>
      <x:c r="I4120" t="str">
        <x:v>ABQ</x:v>
      </x:c>
      <x:c r="J4120" s="23" t="n">
        <x:v>3254</x:v>
      </x:c>
      <x:c r="K4120" s="24" t="n">
        <x:v>0.10510141364474493</x:v>
      </x:c>
      <x:c r="L4120" s="24" t="n">
        <x:v>0.003073140749846343</x:v>
      </x:c>
    </x:row>
    <x:row r="4121">
      <x:c r="G4121" t="str">
        <x:v>HPN-TPA</x:v>
      </x:c>
      <x:c r="H4121" t="str">
        <x:v>HPN</x:v>
      </x:c>
      <x:c r="I4121" t="str">
        <x:v>TPA</x:v>
      </x:c>
      <x:c r="J4121" s="23" t="n">
        <x:v>1095</x:v>
      </x:c>
      <x:c r="K4121" s="24" t="n">
        <x:v>0.1050228310502283</x:v>
      </x:c>
      <x:c r="L4121" s="24" t="n">
        <x:v>0.0182648401826484</x:v>
      </x:c>
    </x:row>
    <x:row r="4122">
      <x:c r="G4122" t="str">
        <x:v>LAX-MRY</x:v>
      </x:c>
      <x:c r="H4122" t="str">
        <x:v>LAX</x:v>
      </x:c>
      <x:c r="I4122" t="str">
        <x:v>MRY</x:v>
      </x:c>
      <x:c r="J4122" s="23" t="n">
        <x:v>2299</x:v>
      </x:c>
      <x:c r="K4122" s="24" t="n">
        <x:v>0.10482818616789909</x:v>
      </x:c>
      <x:c r="L4122" s="24" t="n">
        <x:v>0.004784688995215311</x:v>
      </x:c>
    </x:row>
    <x:row r="4123">
      <x:c r="G4123" t="str">
        <x:v>SLC-TUL</x:v>
      </x:c>
      <x:c r="H4123" t="str">
        <x:v>SLC</x:v>
      </x:c>
      <x:c r="I4123" t="str">
        <x:v>TUL</x:v>
      </x:c>
      <x:c r="J4123" s="23" t="n">
        <x:v>2014</x:v>
      </x:c>
      <x:c r="K4123" s="24" t="n">
        <x:v>0.10427010923535253</x:v>
      </x:c>
      <x:c r="L4123" s="24" t="n">
        <x:v>0.0029791459781529296</x:v>
      </x:c>
    </x:row>
    <x:row r="4124">
      <x:c r="G4124" t="str">
        <x:v>MSY-IAD</x:v>
      </x:c>
      <x:c r="H4124" t="str">
        <x:v>MSY</x:v>
      </x:c>
      <x:c r="I4124" t="str">
        <x:v>IAD</x:v>
      </x:c>
      <x:c r="J4124" s="23" t="n">
        <x:v>1933</x:v>
      </x:c>
      <x:c r="K4124" s="24" t="n">
        <x:v>0.10398344542162442</x:v>
      </x:c>
      <x:c r="L4124" s="24" t="n">
        <x:v>0.014485256078634247</x:v>
      </x:c>
    </x:row>
    <x:row r="4125">
      <x:c r="G4125" t="str">
        <x:v>DSM-DTW</x:v>
      </x:c>
      <x:c r="H4125" t="str">
        <x:v>DSM</x:v>
      </x:c>
      <x:c r="I4125" t="str">
        <x:v>DTW</x:v>
      </x:c>
      <x:c r="J4125" s="23" t="n">
        <x:v>1839</x:v>
      </x:c>
      <x:c r="K4125" s="24" t="n">
        <x:v>0.10386079390973355</x:v>
      </x:c>
      <x:c r="L4125" s="24" t="n">
        <x:v>0.0076128330614464385</x:v>
      </x:c>
    </x:row>
    <x:row r="4126">
      <x:c r="G4126" t="str">
        <x:v>LEX-ATL</x:v>
      </x:c>
      <x:c r="H4126" t="str">
        <x:v>LEX</x:v>
      </x:c>
      <x:c r="I4126" t="str">
        <x:v>ATL</x:v>
      </x:c>
      <x:c r="J4126" s="23" t="n">
        <x:v>6061</x:v>
      </x:c>
      <x:c r="K4126" s="24" t="n">
        <x:v>0.10361326513776604</x:v>
      </x:c>
      <x:c r="L4126" s="24" t="n">
        <x:v>0.01072430292031018</x:v>
      </x:c>
    </x:row>
    <x:row r="4127">
      <x:c r="G4127" t="str">
        <x:v>SJC-KOA</x:v>
      </x:c>
      <x:c r="H4127" t="str">
        <x:v>SJC</x:v>
      </x:c>
      <x:c r="I4127" t="str">
        <x:v>KOA</x:v>
      </x:c>
      <x:c r="J4127" s="23" t="n">
        <x:v>1130</x:v>
      </x:c>
      <x:c r="K4127" s="24" t="n">
        <x:v>0.10353982300884956</x:v>
      </x:c>
      <x:c r="L4127" s="24" t="n">
        <x:v>0.005309734513274336</x:v>
      </x:c>
    </x:row>
    <x:row r="4128">
      <x:c r="G4128" t="str">
        <x:v>MSO-SLC</x:v>
      </x:c>
      <x:c r="H4128" t="str">
        <x:v>MSO</x:v>
      </x:c>
      <x:c r="I4128" t="str">
        <x:v>SLC</x:v>
      </x:c>
      <x:c r="J4128" s="23" t="n">
        <x:v>3173</x:v>
      </x:c>
      <x:c r="K4128" s="24" t="n">
        <x:v>0.10337220296249607</x:v>
      </x:c>
      <x:c r="L4128" s="24" t="n">
        <x:v>0.006618342262842736</x:v>
      </x:c>
    </x:row>
    <x:row r="4129">
      <x:c r="G4129" t="str">
        <x:v>SCC-ANC</x:v>
      </x:c>
      <x:c r="H4129" t="str">
        <x:v>SCC</x:v>
      </x:c>
      <x:c r="I4129" t="str">
        <x:v>ANC</x:v>
      </x:c>
      <x:c r="J4129" s="23" t="n">
        <x:v>1520</x:v>
      </x:c>
      <x:c r="K4129" s="24" t="n">
        <x:v>0.10263157894736842</x:v>
      </x:c>
      <x:c r="L4129" s="24" t="n">
        <x:v>0.021710526315789475</x:v>
      </x:c>
    </x:row>
    <x:row r="4130">
      <x:c r="G4130" t="str">
        <x:v>SLC-IDA</x:v>
      </x:c>
      <x:c r="H4130" t="str">
        <x:v>SLC</x:v>
      </x:c>
      <x:c r="I4130" t="str">
        <x:v>IDA</x:v>
      </x:c>
      <x:c r="J4130" s="23" t="n">
        <x:v>3249</x:v>
      </x:c>
      <x:c r="K4130" s="24" t="n">
        <x:v>0.1012619267466913</x:v>
      </x:c>
      <x:c r="L4130" s="24" t="n">
        <x:v>0.003385657125269314</x:v>
      </x:c>
    </x:row>
    <x:row r="4131">
      <x:c r="G4131" t="str">
        <x:v>SMF-MSP</x:v>
      </x:c>
      <x:c r="H4131" t="str">
        <x:v>SMF</x:v>
      </x:c>
      <x:c r="I4131" t="str">
        <x:v>MSP</x:v>
      </x:c>
      <x:c r="J4131" s="23" t="n">
        <x:v>1670</x:v>
      </x:c>
      <x:c r="K4131" s="24" t="n">
        <x:v>0.10119760479041916</x:v>
      </x:c>
      <x:c r="L4131" s="24" t="n">
        <x:v>0.005389221556886228</x:v>
      </x:c>
    </x:row>
    <x:row r="4132">
      <x:c r="G4132" t="str">
        <x:v>OAJ-ATL</x:v>
      </x:c>
      <x:c r="H4132" t="str">
        <x:v>OAJ</x:v>
      </x:c>
      <x:c r="I4132" t="str">
        <x:v>ATL</x:v>
      </x:c>
      <x:c r="J4132" s="23" t="n">
        <x:v>1582</x:v>
      </x:c>
      <x:c r="K4132" s="24" t="n">
        <x:v>0.1011378002528445</x:v>
      </x:c>
      <x:c r="L4132" s="24" t="n">
        <x:v>0.0037926675094816687</x:v>
      </x:c>
    </x:row>
    <x:row r="4133">
      <x:c r="G4133" t="str">
        <x:v>TUL-STL</x:v>
      </x:c>
      <x:c r="H4133" t="str">
        <x:v>TUL</x:v>
      </x:c>
      <x:c r="I4133" t="str">
        <x:v>STL</x:v>
      </x:c>
      <x:c r="J4133" s="23" t="n">
        <x:v>2034</x:v>
      </x:c>
      <x:c r="K4133" s="24" t="n">
        <x:v>0.1007866273352999</x:v>
      </x:c>
      <x:c r="L4133" s="24" t="n">
        <x:v>0.00688298918387414</x:v>
      </x:c>
    </x:row>
    <x:row r="4134">
      <x:c r="G4134" t="str">
        <x:v>SJC-MSP</x:v>
      </x:c>
      <x:c r="H4134" t="str">
        <x:v>SJC</x:v>
      </x:c>
      <x:c r="I4134" t="str">
        <x:v>MSP</x:v>
      </x:c>
      <x:c r="J4134" s="23" t="n">
        <x:v>1410</x:v>
      </x:c>
      <x:c r="K4134" s="24" t="n">
        <x:v>0.10070921985815603</x:v>
      </x:c>
      <x:c r="L4134" s="24" t="n">
        <x:v>0.006382978723404255</x:v>
      </x:c>
    </x:row>
    <x:row r="4135">
      <x:c r="G4135" t="str">
        <x:v>PDX-SNA</x:v>
      </x:c>
      <x:c r="H4135" t="str">
        <x:v>PDX</x:v>
      </x:c>
      <x:c r="I4135" t="str">
        <x:v>SNA</x:v>
      </x:c>
      <x:c r="J4135" s="23" t="n">
        <x:v>3984</x:v>
      </x:c>
      <x:c r="K4135" s="24" t="n">
        <x:v>0.10065261044176707</x:v>
      </x:c>
      <x:c r="L4135" s="24" t="n">
        <x:v>0.014558232931726908</x:v>
      </x:c>
    </x:row>
    <x:row r="4136">
      <x:c r="G4136" t="str">
        <x:v>SBA-LAX</x:v>
      </x:c>
      <x:c r="H4136" t="str">
        <x:v>SBA</x:v>
      </x:c>
      <x:c r="I4136" t="str">
        <x:v>LAX</x:v>
      </x:c>
      <x:c r="J4136" s="23" t="n">
        <x:v>1943</x:v>
      </x:c>
      <x:c r="K4136" s="24" t="n">
        <x:v>0.10036026762738035</x:v>
      </x:c>
      <x:c r="L4136" s="24" t="n">
        <x:v>0.01544004117344313</x:v>
      </x:c>
    </x:row>
    <x:row r="4137">
      <x:c r="G4137" t="str">
        <x:v>SMF-IAH</x:v>
      </x:c>
      <x:c r="H4137" t="str">
        <x:v>SMF</x:v>
      </x:c>
      <x:c r="I4137" t="str">
        <x:v>IAH</x:v>
      </x:c>
      <x:c r="J4137" s="23" t="n">
        <x:v>1596</x:v>
      </x:c>
      <x:c r="K4137" s="24" t="n">
        <x:v>0.10025062656641603</x:v>
      </x:c>
      <x:c r="L4137" s="24" t="n">
        <x:v>0.010651629072681704</x:v>
      </x:c>
    </x:row>
    <x:row r="4138">
      <x:c r="G4138" t="str">
        <x:v>ITO-OGG</x:v>
      </x:c>
      <x:c r="H4138" t="str">
        <x:v>ITO</x:v>
      </x:c>
      <x:c r="I4138" t="str">
        <x:v>OGG</x:v>
      </x:c>
      <x:c r="J4138" s="23" t="n">
        <x:v>1247</x:v>
      </x:c>
      <x:c r="K4138" s="24" t="n">
        <x:v>0.10024057738572574</x:v>
      </x:c>
      <x:c r="L4138" s="24" t="n">
        <x:v>0.0032076984763432237</x:v>
      </x:c>
    </x:row>
    <x:row r="4139">
      <x:c r="G4139" t="str">
        <x:v>MSN-ATL</x:v>
      </x:c>
      <x:c r="H4139" t="str">
        <x:v>MSN</x:v>
      </x:c>
      <x:c r="I4139" t="str">
        <x:v>ATL</x:v>
      </x:c>
      <x:c r="J4139" s="23" t="n">
        <x:v>3059</x:v>
      </x:c>
      <x:c r="K4139" s="24" t="n">
        <x:v>0.10003269042170644</x:v>
      </x:c>
      <x:c r="L4139" s="24" t="n">
        <x:v>0.009153318077803204</x:v>
      </x:c>
    </x:row>
    <x:row r="4140">
      <x:c r="G4140" t="str">
        <x:v>BOI-PDX</x:v>
      </x:c>
      <x:c r="H4140" t="str">
        <x:v>BOI</x:v>
      </x:c>
      <x:c r="I4140" t="str">
        <x:v>PDX</x:v>
      </x:c>
      <x:c r="J4140" s="23" t="n">
        <x:v>3084</x:v>
      </x:c>
      <x:c r="K4140" s="24" t="n">
        <x:v>0.09987029831387809</x:v>
      </x:c>
      <x:c r="L4140" s="24" t="n">
        <x:v>0.006809338521400778</x:v>
      </x:c>
    </x:row>
    <x:row r="4141">
      <x:c r="G4141" t="str">
        <x:v>CVG-IAD</x:v>
      </x:c>
      <x:c r="H4141" t="str">
        <x:v>CVG</x:v>
      </x:c>
      <x:c r="I4141" t="str">
        <x:v>IAD</x:v>
      </x:c>
      <x:c r="J4141" s="23" t="n">
        <x:v>1173</x:v>
      </x:c>
      <x:c r="K4141" s="24" t="n">
        <x:v>0.09974424552429667</x:v>
      </x:c>
      <x:c r="L4141" s="24" t="n">
        <x:v>0.00937766410912191</x:v>
      </x:c>
    </x:row>
    <x:row r="4142">
      <x:c r="G4142" t="str">
        <x:v>MEM-SLC</x:v>
      </x:c>
      <x:c r="H4142" t="str">
        <x:v>MEM</x:v>
      </x:c>
      <x:c r="I4142" t="str">
        <x:v>SLC</x:v>
      </x:c>
      <x:c r="J4142" s="23" t="n">
        <x:v>1097</x:v>
      </x:c>
      <x:c r="K4142" s="24" t="n">
        <x:v>0.09936189608021878</x:v>
      </x:c>
      <x:c r="L4142" s="24" t="n">
        <x:v>0.004557885141294439</x:v>
      </x:c>
    </x:row>
    <x:row r="4143">
      <x:c r="G4143" t="str">
        <x:v>GSP-ATL</x:v>
      </x:c>
      <x:c r="H4143" t="str">
        <x:v>GSP</x:v>
      </x:c>
      <x:c r="I4143" t="str">
        <x:v>ATL</x:v>
      </x:c>
      <x:c r="J4143" s="23" t="n">
        <x:v>9013</x:v>
      </x:c>
      <x:c r="K4143" s="24" t="n">
        <x:v>0.09919005880394985</x:v>
      </x:c>
      <x:c r="L4143" s="24" t="n">
        <x:v>0.0075446577166315325</x:v>
      </x:c>
    </x:row>
    <x:row r="4144">
      <x:c r="G4144" t="str">
        <x:v>OAK-SBA</x:v>
      </x:c>
      <x:c r="H4144" t="str">
        <x:v>OAK</x:v>
      </x:c>
      <x:c r="I4144" t="str">
        <x:v>SBA</x:v>
      </x:c>
      <x:c r="J4144" s="23" t="n">
        <x:v>1060</x:v>
      </x:c>
      <x:c r="K4144" s="24" t="n">
        <x:v>0.09905660377358491</x:v>
      </x:c>
      <x:c r="L4144" s="24" t="n">
        <x:v>0.005660377358490566</x:v>
      </x:c>
    </x:row>
    <x:row r="4145">
      <x:c r="G4145" t="str">
        <x:v>SLC-MSO</x:v>
      </x:c>
      <x:c r="H4145" t="str">
        <x:v>SLC</x:v>
      </x:c>
      <x:c r="I4145" t="str">
        <x:v>MSO</x:v>
      </x:c>
      <x:c r="J4145" s="23" t="n">
        <x:v>3174</x:v>
      </x:c>
      <x:c r="K4145" s="24" t="n">
        <x:v>0.09829867674858223</x:v>
      </x:c>
      <x:c r="L4145" s="24" t="n">
        <x:v>0.005356017643352237</x:v>
      </x:c>
    </x:row>
    <x:row r="4146">
      <x:c r="G4146" t="str">
        <x:v>GEG-SAN</x:v>
      </x:c>
      <x:c r="H4146" t="str">
        <x:v>GEG</x:v>
      </x:c>
      <x:c r="I4146" t="str">
        <x:v>SAN</x:v>
      </x:c>
      <x:c r="J4146" s="23" t="n">
        <x:v>1029</x:v>
      </x:c>
      <x:c r="K4146" s="24" t="n">
        <x:v>0.09815354713313897</x:v>
      </x:c>
      <x:c r="L4146" s="24" t="n">
        <x:v>0.009718172983479106</x:v>
      </x:c>
    </x:row>
    <x:row r="4147">
      <x:c r="G4147" t="str">
        <x:v>PNS-ATL</x:v>
      </x:c>
      <x:c r="H4147" t="str">
        <x:v>PNS</x:v>
      </x:c>
      <x:c r="I4147" t="str">
        <x:v>ATL</x:v>
      </x:c>
      <x:c r="J4147" s="23" t="n">
        <x:v>7673</x:v>
      </x:c>
      <x:c r="K4147" s="24" t="n">
        <x:v>0.09813632216864329</x:v>
      </x:c>
      <x:c r="L4147" s="24" t="n">
        <x:v>0.012250749380946176</x:v>
      </x:c>
    </x:row>
    <x:row r="4148">
      <x:c r="G4148" t="str">
        <x:v>XNA-DCA</x:v>
      </x:c>
      <x:c r="H4148" t="str">
        <x:v>XNA</x:v>
      </x:c>
      <x:c r="I4148" t="str">
        <x:v>DCA</x:v>
      </x:c>
      <x:c r="J4148" s="23" t="n">
        <x:v>1085</x:v>
      </x:c>
      <x:c r="K4148" s="24" t="n">
        <x:v>0.09769585253456221</x:v>
      </x:c>
      <x:c r="L4148" s="24" t="n">
        <x:v>0.010138248847926268</x:v>
      </x:c>
    </x:row>
    <x:row r="4149">
      <x:c r="G4149" t="str">
        <x:v>LIH-SFO</x:v>
      </x:c>
      <x:c r="H4149" t="str">
        <x:v>LIH</x:v>
      </x:c>
      <x:c r="I4149" t="str">
        <x:v>SFO</x:v>
      </x:c>
      <x:c r="J4149" s="23" t="n">
        <x:v>1758</x:v>
      </x:c>
      <x:c r="K4149" s="24" t="n">
        <x:v>0.09726962457337884</x:v>
      </x:c>
      <x:c r="L4149" s="24" t="n">
        <x:v>0.00739476678043231</x:v>
      </x:c>
    </x:row>
    <x:row r="4150">
      <x:c r="G4150" t="str">
        <x:v>SLC-SBA</x:v>
      </x:c>
      <x:c r="H4150" t="str">
        <x:v>SLC</x:v>
      </x:c>
      <x:c r="I4150" t="str">
        <x:v>SBA</x:v>
      </x:c>
      <x:c r="J4150" s="23" t="n">
        <x:v>1339</x:v>
      </x:c>
      <x:c r="K4150" s="24" t="n">
        <x:v>0.0970873786407767</x:v>
      </x:c>
      <x:c r="L4150" s="24" t="n">
        <x:v>0.00597460791635549</x:v>
      </x:c>
    </x:row>
    <x:row r="4151">
      <x:c r="G4151" t="str">
        <x:v>GEG-LAX</x:v>
      </x:c>
      <x:c r="H4151" t="str">
        <x:v>GEG</x:v>
      </x:c>
      <x:c r="I4151" t="str">
        <x:v>LAX</x:v>
      </x:c>
      <x:c r="J4151" s="23" t="n">
        <x:v>2367</x:v>
      </x:c>
      <x:c r="K4151" s="24" t="n">
        <x:v>0.09674693705111956</x:v>
      </x:c>
      <x:c r="L4151" s="24" t="n">
        <x:v>0.005492184199408534</x:v>
      </x:c>
    </x:row>
    <x:row r="4152">
      <x:c r="G4152" t="str">
        <x:v>GNV-MIA</x:v>
      </x:c>
      <x:c r="H4152" t="str">
        <x:v>GNV</x:v>
      </x:c>
      <x:c r="I4152" t="str">
        <x:v>MIA</x:v>
      </x:c>
      <x:c r="J4152" s="23" t="n">
        <x:v>1034</x:v>
      </x:c>
      <x:c r="K4152" s="24" t="n">
        <x:v>0.09671179883945841</x:v>
      </x:c>
      <x:c r="L4152" s="24" t="n">
        <x:v>0.017408123791102514</x:v>
      </x:c>
    </x:row>
    <x:row r="4153">
      <x:c r="G4153" t="str">
        <x:v>SFO-LIH</x:v>
      </x:c>
      <x:c r="H4153" t="str">
        <x:v>SFO</x:v>
      </x:c>
      <x:c r="I4153" t="str">
        <x:v>LIH</x:v>
      </x:c>
      <x:c r="J4153" s="23" t="n">
        <x:v>1758</x:v>
      </x:c>
      <x:c r="K4153" s="24" t="n">
        <x:v>0.09613196814562003</x:v>
      </x:c>
      <x:c r="L4153" s="24" t="n">
        <x:v>0.002844141069397042</x:v>
      </x:c>
    </x:row>
    <x:row r="4154">
      <x:c r="G4154" t="str">
        <x:v>RDM-SLC</x:v>
      </x:c>
      <x:c r="H4154" t="str">
        <x:v>RDM</x:v>
      </x:c>
      <x:c r="I4154" t="str">
        <x:v>SLC</x:v>
      </x:c>
      <x:c r="J4154" s="23" t="n">
        <x:v>2202</x:v>
      </x:c>
      <x:c r="K4154" s="24" t="n">
        <x:v>0.09536784741144415</x:v>
      </x:c>
      <x:c r="L4154" s="24" t="n">
        <x:v>0.006357856494096276</x:v>
      </x:c>
    </x:row>
    <x:row r="4155">
      <x:c r="G4155" t="str">
        <x:v>SAT-IAD</x:v>
      </x:c>
      <x:c r="H4155" t="str">
        <x:v>SAT</x:v>
      </x:c>
      <x:c r="I4155" t="str">
        <x:v>IAD</x:v>
      </x:c>
      <x:c r="J4155" s="23" t="n">
        <x:v>1961</x:v>
      </x:c>
      <x:c r="K4155" s="24" t="n">
        <x:v>0.09535951045385008</x:v>
      </x:c>
      <x:c r="L4155" s="24" t="n">
        <x:v>0.011728709841917389</x:v>
      </x:c>
    </x:row>
    <x:row r="4156">
      <x:c r="G4156" t="str">
        <x:v>JNU-KTN</x:v>
      </x:c>
      <x:c r="H4156" t="str">
        <x:v>JNU</x:v>
      </x:c>
      <x:c r="I4156" t="str">
        <x:v>KTN</x:v>
      </x:c>
      <x:c r="J4156" s="23" t="n">
        <x:v>1086</x:v>
      </x:c>
      <x:c r="K4156" s="24" t="n">
        <x:v>0.09484346224677716</x:v>
      </x:c>
      <x:c r="L4156" s="24" t="n">
        <x:v>0.029465930018416207</x:v>
      </x:c>
    </x:row>
    <x:row r="4157">
      <x:c r="G4157" t="str">
        <x:v>MFR-SLC</x:v>
      </x:c>
      <x:c r="H4157" t="str">
        <x:v>MFR</x:v>
      </x:c>
      <x:c r="I4157" t="str">
        <x:v>SLC</x:v>
      </x:c>
      <x:c r="J4157" s="23" t="n">
        <x:v>2196</x:v>
      </x:c>
      <x:c r="K4157" s="24" t="n">
        <x:v>0.0942622950819672</x:v>
      </x:c>
      <x:c r="L4157" s="24" t="n">
        <x:v>0.00819672131147541</x:v>
      </x:c>
    </x:row>
    <x:row r="4158">
      <x:c r="G4158" t="str">
        <x:v>GTR-ATL</x:v>
      </x:c>
      <x:c r="H4158" t="str">
        <x:v>GTR</x:v>
      </x:c>
      <x:c r="I4158" t="str">
        <x:v>ATL</x:v>
      </x:c>
      <x:c r="J4158" s="23" t="n">
        <x:v>1535</x:v>
      </x:c>
      <x:c r="K4158" s="24" t="n">
        <x:v>0.09381107491856677</x:v>
      </x:c>
      <x:c r="L4158" s="24" t="n">
        <x:v>0.007817589576547232</x:v>
      </x:c>
    </x:row>
    <x:row r="4159">
      <x:c r="G4159" t="str">
        <x:v>SLC-TUS</x:v>
      </x:c>
      <x:c r="H4159" t="str">
        <x:v>SLC</x:v>
      </x:c>
      <x:c r="I4159" t="str">
        <x:v>TUS</x:v>
      </x:c>
      <x:c r="J4159" s="23" t="n">
        <x:v>3270</x:v>
      </x:c>
      <x:c r="K4159" s="24" t="n">
        <x:v>0.09357798165137615</x:v>
      </x:c>
      <x:c r="L4159" s="24" t="n">
        <x:v>0.0012232415902140672</x:v>
      </x:c>
    </x:row>
    <x:row r="4160">
      <x:c r="G4160" t="str">
        <x:v>OMA-SLC</x:v>
      </x:c>
      <x:c r="H4160" t="str">
        <x:v>OMA</x:v>
      </x:c>
      <x:c r="I4160" t="str">
        <x:v>SLC</x:v>
      </x:c>
      <x:c r="J4160" s="23" t="n">
        <x:v>2106</x:v>
      </x:c>
      <x:c r="K4160" s="24" t="n">
        <x:v>0.09354226020892688</x:v>
      </x:c>
      <x:c r="L4160" s="24" t="n">
        <x:v>0.0033238366571699905</x:v>
      </x:c>
    </x:row>
    <x:row r="4161">
      <x:c r="G4161" t="str">
        <x:v>MFR-SEA</x:v>
      </x:c>
      <x:c r="H4161" t="str">
        <x:v>MFR</x:v>
      </x:c>
      <x:c r="I4161" t="str">
        <x:v>SEA</x:v>
      </x:c>
      <x:c r="J4161" s="23" t="n">
        <x:v>3237</x:v>
      </x:c>
      <x:c r="K4161" s="24" t="n">
        <x:v>0.09329626197096076</x:v>
      </x:c>
      <x:c r="L4161" s="24" t="n">
        <x:v>0.009885696632684585</x:v>
      </x:c>
    </x:row>
    <x:row r="4162">
      <x:c r="G4162" t="str">
        <x:v>SLC-CDC</x:v>
      </x:c>
      <x:c r="H4162" t="str">
        <x:v>SLC</x:v>
      </x:c>
      <x:c r="I4162" t="str">
        <x:v>CDC</x:v>
      </x:c>
      <x:c r="J4162" s="23" t="n">
        <x:v>1878</x:v>
      </x:c>
      <x:c r="K4162" s="24" t="n">
        <x:v>0.09318423855165069</x:v>
      </x:c>
      <x:c r="L4162" s="24" t="n">
        <x:v>0.006389776357827476</x:v>
      </x:c>
    </x:row>
    <x:row r="4163">
      <x:c r="G4163" t="str">
        <x:v>LBB-PHX</x:v>
      </x:c>
      <x:c r="H4163" t="str">
        <x:v>LBB</x:v>
      </x:c>
      <x:c r="I4163" t="str">
        <x:v>PHX</x:v>
      </x:c>
      <x:c r="J4163" s="23" t="n">
        <x:v>1095</x:v>
      </x:c>
      <x:c r="K4163" s="24" t="n">
        <x:v>0.09315068493150686</x:v>
      </x:c>
      <x:c r="L4163" s="24" t="n">
        <x:v>0.0027397260273972603</x:v>
      </x:c>
    </x:row>
    <x:row r="4164">
      <x:c r="G4164" t="str">
        <x:v>LAX-OKC</x:v>
      </x:c>
      <x:c r="H4164" t="str">
        <x:v>LAX</x:v>
      </x:c>
      <x:c r="I4164" t="str">
        <x:v>OKC</x:v>
      </x:c>
      <x:c r="J4164" s="23" t="n">
        <x:v>2298</x:v>
      </x:c>
      <x:c r="K4164" s="24" t="n">
        <x:v>0.09312445604873804</x:v>
      </x:c>
      <x:c r="L4164" s="24" t="n">
        <x:v>0.0017406440382941688</x:v>
      </x:c>
    </x:row>
    <x:row r="4165">
      <x:c r="G4165" t="str">
        <x:v>ONT-ATL</x:v>
      </x:c>
      <x:c r="H4165" t="str">
        <x:v>ONT</x:v>
      </x:c>
      <x:c r="I4165" t="str">
        <x:v>ATL</x:v>
      </x:c>
      <x:c r="J4165" s="23" t="n">
        <x:v>2918</x:v>
      </x:c>
      <x:c r="K4165" s="24" t="n">
        <x:v>0.09287183002056203</x:v>
      </x:c>
      <x:c r="L4165" s="24" t="n">
        <x:v>0.014736120630568882</x:v>
      </x:c>
    </x:row>
    <x:row r="4166">
      <x:c r="G4166" t="str">
        <x:v>TUL-SLC</x:v>
      </x:c>
      <x:c r="H4166" t="str">
        <x:v>TUL</x:v>
      </x:c>
      <x:c r="I4166" t="str">
        <x:v>SLC</x:v>
      </x:c>
      <x:c r="J4166" s="23" t="n">
        <x:v>2014</x:v>
      </x:c>
      <x:c r="K4166" s="24" t="n">
        <x:v>0.09235352532274081</x:v>
      </x:c>
      <x:c r="L4166" s="24" t="n">
        <x:v>0.003475670307845084</x:v>
      </x:c>
    </x:row>
    <x:row r="4167">
      <x:c r="G4167" t="str">
        <x:v>IDA-SLC</x:v>
      </x:c>
      <x:c r="H4167" t="str">
        <x:v>IDA</x:v>
      </x:c>
      <x:c r="I4167" t="str">
        <x:v>SLC</x:v>
      </x:c>
      <x:c r="J4167" s="23" t="n">
        <x:v>3249</x:v>
      </x:c>
      <x:c r="K4167" s="24" t="n">
        <x:v>0.09141274238227147</x:v>
      </x:c>
      <x:c r="L4167" s="24" t="n">
        <x:v>0.003385657125269314</x:v>
      </x:c>
    </x:row>
    <x:row r="4168">
      <x:c r="G4168" t="str">
        <x:v>SLC-SGU</x:v>
      </x:c>
      <x:c r="H4168" t="str">
        <x:v>SLC</x:v>
      </x:c>
      <x:c r="I4168" t="str">
        <x:v>SGU</x:v>
      </x:c>
      <x:c r="J4168" s="23" t="n">
        <x:v>4313</x:v>
      </x:c>
      <x:c r="K4168" s="24" t="n">
        <x:v>0.09135172733596104</x:v>
      </x:c>
      <x:c r="L4168" s="24" t="n">
        <x:v>0.001159285879897983</x:v>
      </x:c>
    </x:row>
    <x:row r="4169">
      <x:c r="G4169" t="str">
        <x:v>BOI-LAX</x:v>
      </x:c>
      <x:c r="H4169" t="str">
        <x:v>BOI</x:v>
      </x:c>
      <x:c r="I4169" t="str">
        <x:v>LAX</x:v>
      </x:c>
      <x:c r="J4169" s="23" t="n">
        <x:v>4228</x:v>
      </x:c>
      <x:c r="K4169" s="24" t="n">
        <x:v>0.0912961210974456</x:v>
      </x:c>
      <x:c r="L4169" s="24" t="n">
        <x:v>0.0033112582781456954</x:v>
      </x:c>
    </x:row>
    <x:row r="4170">
      <x:c r="G4170" t="str">
        <x:v>SJC-SLC</x:v>
      </x:c>
      <x:c r="H4170" t="str">
        <x:v>SJC</x:v>
      </x:c>
      <x:c r="I4170" t="str">
        <x:v>SLC</x:v>
      </x:c>
      <x:c r="J4170" s="23" t="n">
        <x:v>5508</x:v>
      </x:c>
      <x:c r="K4170" s="24" t="n">
        <x:v>0.09114015976761075</x:v>
      </x:c>
      <x:c r="L4170" s="24" t="n">
        <x:v>0.004720406681190995</x:v>
      </x:c>
    </x:row>
    <x:row r="4171">
      <x:c r="G4171" t="str">
        <x:v>OTZ-ANC</x:v>
      </x:c>
      <x:c r="H4171" t="str">
        <x:v>OTZ</x:v>
      </x:c>
      <x:c r="I4171" t="str">
        <x:v>ANC</x:v>
      </x:c>
      <x:c r="J4171" s="23" t="n">
        <x:v>1254</x:v>
      </x:c>
      <x:c r="K4171" s="24" t="n">
        <x:v>0.09090909090909091</x:v>
      </x:c>
      <x:c r="L4171" s="24" t="n">
        <x:v>0.05422647527910686</x:v>
      </x:c>
    </x:row>
    <x:row r="4172">
      <x:c r="G4172" t="str">
        <x:v>PDX-MSP</x:v>
      </x:c>
      <x:c r="H4172" t="str">
        <x:v>PDX</x:v>
      </x:c>
      <x:c r="I4172" t="str">
        <x:v>MSP</x:v>
      </x:c>
      <x:c r="J4172" s="23" t="n">
        <x:v>3926</x:v>
      </x:c>
      <x:c r="K4172" s="24" t="n">
        <x:v>0.09067753438614366</x:v>
      </x:c>
      <x:c r="L4172" s="24" t="n">
        <x:v>0.004839531329597555</x:v>
      </x:c>
    </x:row>
    <x:row r="4173">
      <x:c r="G4173" t="str">
        <x:v>BIL-SLC</x:v>
      </x:c>
      <x:c r="H4173" t="str">
        <x:v>BIL</x:v>
      </x:c>
      <x:c r="I4173" t="str">
        <x:v>SLC</x:v>
      </x:c>
      <x:c r="J4173" s="23" t="n">
        <x:v>3137</x:v>
      </x:c>
      <x:c r="K4173" s="24" t="n">
        <x:v>0.090532355753905</x:v>
      </x:c>
      <x:c r="L4173" s="24" t="n">
        <x:v>0.006056742110296462</x:v>
      </x:c>
    </x:row>
    <x:row r="4174">
      <x:c r="G4174" t="str">
        <x:v>SLC-PSP</x:v>
      </x:c>
      <x:c r="H4174" t="str">
        <x:v>SLC</x:v>
      </x:c>
      <x:c r="I4174" t="str">
        <x:v>PSP</x:v>
      </x:c>
      <x:c r="J4174" s="23" t="n">
        <x:v>2984</x:v>
      </x:c>
      <x:c r="K4174" s="24" t="n">
        <x:v>0.09048257372654156</x:v>
      </x:c>
      <x:c r="L4174" s="24" t="n">
        <x:v>0.002680965147453083</x:v>
      </x:c>
    </x:row>
    <x:row r="4175">
      <x:c r="G4175" t="str">
        <x:v>SLC-RDM</x:v>
      </x:c>
      <x:c r="H4175" t="str">
        <x:v>SLC</x:v>
      </x:c>
      <x:c r="I4175" t="str">
        <x:v>RDM</x:v>
      </x:c>
      <x:c r="J4175" s="23" t="n">
        <x:v>2202</x:v>
      </x:c>
      <x:c r="K4175" s="24" t="n">
        <x:v>0.08810172570390554</x:v>
      </x:c>
      <x:c r="L4175" s="24" t="n">
        <x:v>0.004995458673932788</x:v>
      </x:c>
    </x:row>
    <x:row r="4176">
      <x:c r="G4176" t="str">
        <x:v>MEM-BOS</x:v>
      </x:c>
      <x:c r="H4176" t="str">
        <x:v>MEM</x:v>
      </x:c>
      <x:c r="I4176" t="str">
        <x:v>BOS</x:v>
      </x:c>
      <x:c r="J4176" s="23" t="n">
        <x:v>1475</x:v>
      </x:c>
      <x:c r="K4176" s="24" t="n">
        <x:v>0.08745762711864406</x:v>
      </x:c>
      <x:c r="L4176" s="24" t="n">
        <x:v>0.010169491525423728</x:v>
      </x:c>
    </x:row>
    <x:row r="4177">
      <x:c r="G4177" t="str">
        <x:v>OGG-DEN</x:v>
      </x:c>
      <x:c r="H4177" t="str">
        <x:v>OGG</x:v>
      </x:c>
      <x:c r="I4177" t="str">
        <x:v>DEN</x:v>
      </x:c>
      <x:c r="J4177" s="23" t="n">
        <x:v>1090</x:v>
      </x:c>
      <x:c r="K4177" s="24" t="n">
        <x:v>0.0871559633027523</x:v>
      </x:c>
      <x:c r="L4177" s="24" t="n">
        <x:v>0.023853211009174313</x:v>
      </x:c>
    </x:row>
    <x:row r="4178">
      <x:c r="G4178" t="str">
        <x:v>DAY-ATL</x:v>
      </x:c>
      <x:c r="H4178" t="str">
        <x:v>DAY</x:v>
      </x:c>
      <x:c r="I4178" t="str">
        <x:v>ATL</x:v>
      </x:c>
      <x:c r="J4178" s="23" t="n">
        <x:v>4024</x:v>
      </x:c>
      <x:c r="K4178" s="24" t="n">
        <x:v>0.08697813121272366</x:v>
      </x:c>
      <x:c r="L4178" s="24" t="n">
        <x:v>0.007703777335984096</x:v>
      </x:c>
    </x:row>
    <x:row r="4179">
      <x:c r="G4179" t="str">
        <x:v>TUS-ATL</x:v>
      </x:c>
      <x:c r="H4179" t="str">
        <x:v>TUS</x:v>
      </x:c>
      <x:c r="I4179" t="str">
        <x:v>ATL</x:v>
      </x:c>
      <x:c r="J4179" s="23" t="n">
        <x:v>2393</x:v>
      </x:c>
      <x:c r="K4179" s="24" t="n">
        <x:v>0.08608441287087339</x:v>
      </x:c>
      <x:c r="L4179" s="24" t="n">
        <x:v>0.00919348098620978</x:v>
      </x:c>
    </x:row>
    <x:row r="4180">
      <x:c r="G4180" t="str">
        <x:v>ONT-SLC</x:v>
      </x:c>
      <x:c r="H4180" t="str">
        <x:v>ONT</x:v>
      </x:c>
      <x:c r="I4180" t="str">
        <x:v>SLC</x:v>
      </x:c>
      <x:c r="J4180" s="23" t="n">
        <x:v>3539</x:v>
      </x:c>
      <x:c r="K4180" s="24" t="n">
        <x:v>0.08476970895733257</x:v>
      </x:c>
      <x:c r="L4180" s="24" t="n">
        <x:v>0.012150324950551003</x:v>
      </x:c>
    </x:row>
    <x:row r="4181">
      <x:c r="G4181" t="str">
        <x:v>SLC-EUG</x:v>
      </x:c>
      <x:c r="H4181" t="str">
        <x:v>SLC</x:v>
      </x:c>
      <x:c r="I4181" t="str">
        <x:v>EUG</x:v>
      </x:c>
      <x:c r="J4181" s="23" t="n">
        <x:v>2196</x:v>
      </x:c>
      <x:c r="K4181" s="24" t="n">
        <x:v>0.08469945355191257</x:v>
      </x:c>
      <x:c r="L4181" s="24" t="n">
        <x:v>0.005919854280510018</x:v>
      </x:c>
    </x:row>
    <x:row r="4182">
      <x:c r="G4182" t="str">
        <x:v>VPS-BNA</x:v>
      </x:c>
      <x:c r="H4182" t="str">
        <x:v>VPS</x:v>
      </x:c>
      <x:c r="I4182" t="str">
        <x:v>BNA</x:v>
      </x:c>
      <x:c r="J4182" s="23" t="n">
        <x:v>2674</x:v>
      </x:c>
      <x:c r="K4182" s="24" t="n">
        <x:v>0.08451757666417352</x:v>
      </x:c>
      <x:c r="L4182" s="24" t="n">
        <x:v>0.0048616305160807775</x:v>
      </x:c>
    </x:row>
    <x:row r="4183">
      <x:c r="G4183" t="str">
        <x:v>FCA-SLC</x:v>
      </x:c>
      <x:c r="H4183" t="str">
        <x:v>FCA</x:v>
      </x:c>
      <x:c r="I4183" t="str">
        <x:v>SLC</x:v>
      </x:c>
      <x:c r="J4183" s="23" t="n">
        <x:v>3436</x:v>
      </x:c>
      <x:c r="K4183" s="24" t="n">
        <x:v>0.08410942956926659</x:v>
      </x:c>
      <x:c r="L4183" s="24" t="n">
        <x:v>0.005529685681024447</x:v>
      </x:c>
    </x:row>
    <x:row r="4184">
      <x:c r="G4184" t="str">
        <x:v>GUM-HNL</x:v>
      </x:c>
      <x:c r="H4184" t="str">
        <x:v>GUM</x:v>
      </x:c>
      <x:c r="I4184" t="str">
        <x:v>HNL</x:v>
      </x:c>
      <x:c r="J4184" s="23" t="n">
        <x:v>1096</x:v>
      </x:c>
      <x:c r="K4184" s="24" t="n">
        <x:v>0.08211678832116788</x:v>
      </x:c>
      <x:c r="L4184" s="24" t="n">
        <x:v>0.016423357664233577</x:v>
      </x:c>
    </x:row>
    <x:row r="4185">
      <x:c r="G4185" t="str">
        <x:v>LWS-SLC</x:v>
      </x:c>
      <x:c r="H4185" t="str">
        <x:v>LWS</x:v>
      </x:c>
      <x:c r="I4185" t="str">
        <x:v>SLC</x:v>
      </x:c>
      <x:c r="J4185" s="23" t="n">
        <x:v>1096</x:v>
      </x:c>
      <x:c r="K4185" s="24" t="n">
        <x:v>0.08211678832116788</x:v>
      </x:c>
      <x:c r="L4185" s="24" t="n">
        <x:v>0.0009124087591240876</x:v>
      </x:c>
    </x:row>
    <x:row r="4186">
      <x:c r="G4186" t="str">
        <x:v>OKC-MSP</x:v>
      </x:c>
      <x:c r="H4186" t="str">
        <x:v>OKC</x:v>
      </x:c>
      <x:c r="I4186" t="str">
        <x:v>MSP</x:v>
      </x:c>
      <x:c r="J4186" s="23" t="n">
        <x:v>1098</x:v>
      </x:c>
      <x:c r="K4186" s="24" t="n">
        <x:v>0.08196721311475409</x:v>
      </x:c>
      <x:c r="L4186" s="24" t="n">
        <x:v>0.006375227686703097</x:v>
      </x:c>
    </x:row>
    <x:row r="4187">
      <x:c r="G4187" t="str">
        <x:v>CDC-SLC</x:v>
      </x:c>
      <x:c r="H4187" t="str">
        <x:v>CDC</x:v>
      </x:c>
      <x:c r="I4187" t="str">
        <x:v>SLC</x:v>
      </x:c>
      <x:c r="J4187" s="23" t="n">
        <x:v>1878</x:v>
      </x:c>
      <x:c r="K4187" s="24" t="n">
        <x:v>0.08146964856230032</x:v>
      </x:c>
      <x:c r="L4187" s="24" t="n">
        <x:v>0.006922257720979766</x:v>
      </x:c>
    </x:row>
    <x:row r="4188">
      <x:c r="G4188" t="str">
        <x:v>SLC-LWS</x:v>
      </x:c>
      <x:c r="H4188" t="str">
        <x:v>SLC</x:v>
      </x:c>
      <x:c r="I4188" t="str">
        <x:v>LWS</x:v>
      </x:c>
      <x:c r="J4188" s="23" t="n">
        <x:v>1096</x:v>
      </x:c>
      <x:c r="K4188" s="24" t="n">
        <x:v>0.0812043795620438</x:v>
      </x:c>
      <x:c r="L4188" s="24" t="n">
        <x:v>0</x:v>
      </x:c>
    </x:row>
    <x:row r="4189">
      <x:c r="G4189" t="str">
        <x:v>EUG-SLC</x:v>
      </x:c>
      <x:c r="H4189" t="str">
        <x:v>EUG</x:v>
      </x:c>
      <x:c r="I4189" t="str">
        <x:v>SLC</x:v>
      </x:c>
      <x:c r="J4189" s="23" t="n">
        <x:v>2196</x:v>
      </x:c>
      <x:c r="K4189" s="24" t="n">
        <x:v>0.07923497267759563</x:v>
      </x:c>
      <x:c r="L4189" s="24" t="n">
        <x:v>0.005919854280510018</x:v>
      </x:c>
    </x:row>
    <x:row r="4190">
      <x:c r="G4190" t="str">
        <x:v>SBA-SLC</x:v>
      </x:c>
      <x:c r="H4190" t="str">
        <x:v>SBA</x:v>
      </x:c>
      <x:c r="I4190" t="str">
        <x:v>SLC</x:v>
      </x:c>
      <x:c r="J4190" s="23" t="n">
        <x:v>1338</x:v>
      </x:c>
      <x:c r="K4190" s="24" t="n">
        <x:v>0.07922272047832586</x:v>
      </x:c>
      <x:c r="L4190" s="24" t="n">
        <x:v>0.007473841554559043</x:v>
      </x:c>
    </x:row>
    <x:row r="4191">
      <x:c r="G4191" t="str">
        <x:v>SJC-ATL</x:v>
      </x:c>
      <x:c r="H4191" t="str">
        <x:v>SJC</x:v>
      </x:c>
      <x:c r="I4191" t="str">
        <x:v>ATL</x:v>
      </x:c>
      <x:c r="J4191" s="23" t="n">
        <x:v>2486</x:v>
      </x:c>
      <x:c r="K4191" s="24" t="n">
        <x:v>0.07763475462590506</x:v>
      </x:c>
      <x:c r="L4191" s="24" t="n">
        <x:v>0.008447304907481898</x:v>
      </x:c>
    </x:row>
    <x:row r="4192">
      <x:c r="G4192" t="str">
        <x:v>SLC-BTM</x:v>
      </x:c>
      <x:c r="H4192" t="str">
        <x:v>SLC</x:v>
      </x:c>
      <x:c r="I4192" t="str">
        <x:v>BTM</x:v>
      </x:c>
      <x:c r="J4192" s="23" t="n">
        <x:v>1710</x:v>
      </x:c>
      <x:c r="K4192" s="24" t="n">
        <x:v>0.07719298245614035</x:v>
      </x:c>
      <x:c r="L4192" s="24" t="n">
        <x:v>0.004093567251461989</x:v>
      </x:c>
    </x:row>
    <x:row r="4193">
      <x:c r="G4193" t="str">
        <x:v>COS-SLC</x:v>
      </x:c>
      <x:c r="H4193" t="str">
        <x:v>COS</x:v>
      </x:c>
      <x:c r="I4193" t="str">
        <x:v>SLC</x:v>
      </x:c>
      <x:c r="J4193" s="23" t="n">
        <x:v>1428</x:v>
      </x:c>
      <x:c r="K4193" s="24" t="n">
        <x:v>0.07703081232492998</x:v>
      </x:c>
      <x:c r="L4193" s="24" t="n">
        <x:v>0.0028011204481792717</x:v>
      </x:c>
    </x:row>
    <x:row r="4194">
      <x:c r="G4194" t="str">
        <x:v>SGU-SLC</x:v>
      </x:c>
      <x:c r="H4194" t="str">
        <x:v>SGU</x:v>
      </x:c>
      <x:c r="I4194" t="str">
        <x:v>SLC</x:v>
      </x:c>
      <x:c r="J4194" s="23" t="n">
        <x:v>4313</x:v>
      </x:c>
      <x:c r="K4194" s="24" t="n">
        <x:v>0.07697658242522606</x:v>
      </x:c>
      <x:c r="L4194" s="24" t="n">
        <x:v>0.001159285879897983</x:v>
      </x:c>
    </x:row>
    <x:row r="4195">
      <x:c r="G4195" t="str">
        <x:v>LIH-PHX</x:v>
      </x:c>
      <x:c r="H4195" t="str">
        <x:v>LIH</x:v>
      </x:c>
      <x:c r="I4195" t="str">
        <x:v>PHX</x:v>
      </x:c>
      <x:c r="J4195" s="23" t="n">
        <x:v>1156</x:v>
      </x:c>
      <x:c r="K4195" s="24" t="n">
        <x:v>0.07612456747404844</x:v>
      </x:c>
      <x:c r="L4195" s="24" t="n">
        <x:v>0.0025951557093425604</x:v>
      </x:c>
    </x:row>
    <x:row r="4196">
      <x:c r="G4196" t="str">
        <x:v>PSC-SLC</x:v>
      </x:c>
      <x:c r="H4196" t="str">
        <x:v>PSC</x:v>
      </x:c>
      <x:c r="I4196" t="str">
        <x:v>SLC</x:v>
      </x:c>
      <x:c r="J4196" s="23" t="n">
        <x:v>3284</x:v>
      </x:c>
      <x:c r="K4196" s="24" t="n">
        <x:v>0.07551766138855055</x:v>
      </x:c>
      <x:c r="L4196" s="24" t="n">
        <x:v>0.001218026796589525</x:v>
      </x:c>
    </x:row>
    <x:row r="4197">
      <x:c r="G4197" t="str">
        <x:v>GTF-SLC</x:v>
      </x:c>
      <x:c r="H4197" t="str">
        <x:v>GTF</x:v>
      </x:c>
      <x:c r="I4197" t="str">
        <x:v>SLC</x:v>
      </x:c>
      <x:c r="J4197" s="23" t="n">
        <x:v>3113</x:v>
      </x:c>
      <x:c r="K4197" s="24" t="n">
        <x:v>0.0738837134596852</x:v>
      </x:c>
      <x:c r="L4197" s="24" t="n">
        <x:v>0.0022486347574686796</x:v>
      </x:c>
    </x:row>
    <x:row r="4198">
      <x:c r="G4198" t="str">
        <x:v>SLC-FAT</x:v>
      </x:c>
      <x:c r="H4198" t="str">
        <x:v>SLC</x:v>
      </x:c>
      <x:c r="I4198" t="str">
        <x:v>FAT</x:v>
      </x:c>
      <x:c r="J4198" s="23" t="n">
        <x:v>3389</x:v>
      </x:c>
      <x:c r="K4198" s="24" t="n">
        <x:v>0.07376807317792859</x:v>
      </x:c>
      <x:c r="L4198" s="24" t="n">
        <x:v>0.0017704337562702863</x:v>
      </x:c>
    </x:row>
    <x:row r="4199">
      <x:c r="G4199" t="str">
        <x:v>PSC-MSP</x:v>
      </x:c>
      <x:c r="H4199" t="str">
        <x:v>PSC</x:v>
      </x:c>
      <x:c r="I4199" t="str">
        <x:v>MSP</x:v>
      </x:c>
      <x:c r="J4199" s="23" t="n">
        <x:v>1096</x:v>
      </x:c>
      <x:c r="K4199" s="24" t="n">
        <x:v>0.072992700729927</x:v>
      </x:c>
      <x:c r="L4199" s="24" t="n">
        <x:v>0.0036496350364963502</x:v>
      </x:c>
    </x:row>
    <x:row r="4200">
      <x:c r="G4200" t="str">
        <x:v>SLC-TWF</x:v>
      </x:c>
      <x:c r="H4200" t="str">
        <x:v>SLC</x:v>
      </x:c>
      <x:c r="I4200" t="str">
        <x:v>TWF</x:v>
      </x:c>
      <x:c r="J4200" s="23" t="n">
        <x:v>1905</x:v>
      </x:c>
      <x:c r="K4200" s="24" t="n">
        <x:v>0.07139107611548556</x:v>
      </x:c>
      <x:c r="L4200" s="24" t="n">
        <x:v>0.002099737532808399</x:v>
      </x:c>
    </x:row>
    <x:row r="4201">
      <x:c r="G4201" t="str">
        <x:v>KOA-DEN</x:v>
      </x:c>
      <x:c r="H4201" t="str">
        <x:v>KOA</x:v>
      </x:c>
      <x:c r="I4201" t="str">
        <x:v>DEN</x:v>
      </x:c>
      <x:c r="J4201" s="23" t="n">
        <x:v>1096</x:v>
      </x:c>
      <x:c r="K4201" s="24" t="n">
        <x:v>0.07025547445255474</x:v>
      </x:c>
      <x:c r="L4201" s="24" t="n">
        <x:v>0.017335766423357664</x:v>
      </x:c>
    </x:row>
    <x:row r="4202">
      <x:c r="G4202" t="str">
        <x:v>FAT-SLC</x:v>
      </x:c>
      <x:c r="H4202" t="str">
        <x:v>FAT</x:v>
      </x:c>
      <x:c r="I4202" t="str">
        <x:v>SLC</x:v>
      </x:c>
      <x:c r="J4202" s="23" t="n">
        <x:v>3389</x:v>
      </x:c>
      <x:c r="K4202" s="24" t="n">
        <x:v>0.06963706107996459</x:v>
      </x:c>
      <x:c r="L4202" s="24" t="n">
        <x:v>0.0017704337562702863</x:v>
      </x:c>
    </x:row>
    <x:row r="4203">
      <x:c r="G4203" t="str">
        <x:v>TYS-DTW</x:v>
      </x:c>
      <x:c r="H4203" t="str">
        <x:v>TYS</x:v>
      </x:c>
      <x:c r="I4203" t="str">
        <x:v>DTW</x:v>
      </x:c>
      <x:c r="J4203" s="23" t="n">
        <x:v>1012</x:v>
      </x:c>
      <x:c r="K4203" s="24" t="n">
        <x:v>0.0691699604743083</x:v>
      </x:c>
      <x:c r="L4203" s="24" t="n">
        <x:v>0.007905138339920948</x:v>
      </x:c>
    </x:row>
    <x:row r="4204">
      <x:c r="G4204" t="str">
        <x:v>SLC-EKO</x:v>
      </x:c>
      <x:c r="H4204" t="str">
        <x:v>SLC</x:v>
      </x:c>
      <x:c r="I4204" t="str">
        <x:v>EKO</x:v>
      </x:c>
      <x:c r="J4204" s="23" t="n">
        <x:v>1237</x:v>
      </x:c>
      <x:c r="K4204" s="24" t="n">
        <x:v>0.068714632174616</x:v>
      </x:c>
      <x:c r="L4204" s="24" t="n">
        <x:v>0.0032336297493936943</x:v>
      </x:c>
    </x:row>
    <x:row r="4205">
      <x:c r="G4205" t="str">
        <x:v>ABQ-SLC</x:v>
      </x:c>
      <x:c r="H4205" t="str">
        <x:v>ABQ</x:v>
      </x:c>
      <x:c r="I4205" t="str">
        <x:v>SLC</x:v>
      </x:c>
      <x:c r="J4205" s="23" t="n">
        <x:v>3254</x:v>
      </x:c>
      <x:c r="K4205" s="24" t="n">
        <x:v>0.06791641057160418</x:v>
      </x:c>
      <x:c r="L4205" s="24" t="n">
        <x:v>0.003073140749846343</x:v>
      </x:c>
    </x:row>
    <x:row r="4206">
      <x:c r="G4206" t="str">
        <x:v>ABQ-OAK</x:v>
      </x:c>
      <x:c r="H4206" t="str">
        <x:v>ABQ</x:v>
      </x:c>
      <x:c r="I4206" t="str">
        <x:v>OAK</x:v>
      </x:c>
      <x:c r="J4206" s="23" t="n">
        <x:v>1001</x:v>
      </x:c>
      <x:c r="K4206" s="24" t="n">
        <x:v>0.06593406593406594</x:v>
      </x:c>
      <x:c r="L4206" s="24" t="n">
        <x:v>0</x:v>
      </x:c>
    </x:row>
    <x:row r="4207">
      <x:c r="G4207" t="str">
        <x:v>SLC-PIH</x:v>
      </x:c>
      <x:c r="H4207" t="str">
        <x:v>SLC</x:v>
      </x:c>
      <x:c r="I4207" t="str">
        <x:v>PIH</x:v>
      </x:c>
      <x:c r="J4207" s="23" t="n">
        <x:v>1733</x:v>
      </x:c>
      <x:c r="K4207" s="24" t="n">
        <x:v>0.06578188113098672</x:v>
      </x:c>
      <x:c r="L4207" s="24" t="n">
        <x:v>0.001154068090017311</x:v>
      </x:c>
    </x:row>
    <x:row r="4208">
      <x:c r="G4208" t="str">
        <x:v>LIH-LAS</x:v>
      </x:c>
      <x:c r="H4208" t="str">
        <x:v>LIH</x:v>
      </x:c>
      <x:c r="I4208" t="str">
        <x:v>LAS</x:v>
      </x:c>
      <x:c r="J4208" s="23" t="n">
        <x:v>1096</x:v>
      </x:c>
      <x:c r="K4208" s="24" t="n">
        <x:v>0.06569343065693431</x:v>
      </x:c>
      <x:c r="L4208" s="24" t="n">
        <x:v>0.0009124087591240876</x:v>
      </x:c>
    </x:row>
    <x:row r="4209">
      <x:c r="G4209" t="str">
        <x:v>TWF-SLC</x:v>
      </x:c>
      <x:c r="H4209" t="str">
        <x:v>TWF</x:v>
      </x:c>
      <x:c r="I4209" t="str">
        <x:v>SLC</x:v>
      </x:c>
      <x:c r="J4209" s="23" t="n">
        <x:v>1905</x:v>
      </x:c>
      <x:c r="K4209" s="24" t="n">
        <x:v>0.06509186351706037</x:v>
      </x:c>
      <x:c r="L4209" s="24" t="n">
        <x:v>0.002099737532808399</x:v>
      </x:c>
    </x:row>
    <x:row r="4210">
      <x:c r="G4210" t="str">
        <x:v>SLC-GTF</x:v>
      </x:c>
      <x:c r="H4210" t="str">
        <x:v>SLC</x:v>
      </x:c>
      <x:c r="I4210" t="str">
        <x:v>GTF</x:v>
      </x:c>
      <x:c r="J4210" s="23" t="n">
        <x:v>3113</x:v>
      </x:c>
      <x:c r="K4210" s="24" t="n">
        <x:v>0.06488917442981047</x:v>
      </x:c>
      <x:c r="L4210" s="24" t="n">
        <x:v>0.0019274012206874397</x:v>
      </x:c>
    </x:row>
    <x:row r="4211">
      <x:c r="G4211" t="str">
        <x:v>SUN-SLC</x:v>
      </x:c>
      <x:c r="H4211" t="str">
        <x:v>SUN</x:v>
      </x:c>
      <x:c r="I4211" t="str">
        <x:v>SLC</x:v>
      </x:c>
      <x:c r="J4211" s="23" t="n">
        <x:v>2625</x:v>
      </x:c>
      <x:c r="K4211" s="24" t="n">
        <x:v>0.06476190476190476</x:v>
      </x:c>
      <x:c r="L4211" s="24" t="n">
        <x:v>0.006095238095238095</x:v>
      </x:c>
    </x:row>
    <x:row r="4212">
      <x:c r="G4212" t="str">
        <x:v>KOA-PHX</x:v>
      </x:c>
      <x:c r="H4212" t="str">
        <x:v>KOA</x:v>
      </x:c>
      <x:c r="I4212" t="str">
        <x:v>PHX</x:v>
      </x:c>
      <x:c r="J4212" s="23" t="n">
        <x:v>1156</x:v>
      </x:c>
      <x:c r="K4212" s="24" t="n">
        <x:v>0.06314878892733564</x:v>
      </x:c>
      <x:c r="L4212" s="24" t="n">
        <x:v>0.005190311418685121</x:v>
      </x:c>
    </x:row>
    <x:row r="4213">
      <x:c r="G4213" t="str">
        <x:v>SDF-IAD</x:v>
      </x:c>
      <x:c r="H4213" t="str">
        <x:v>SDF</x:v>
      </x:c>
      <x:c r="I4213" t="str">
        <x:v>IAD</x:v>
      </x:c>
      <x:c r="J4213" s="23" t="n">
        <x:v>1278</x:v>
      </x:c>
      <x:c r="K4213" s="24" t="n">
        <x:v>0.061815336463223784</x:v>
      </x:c>
      <x:c r="L4213" s="24" t="n">
        <x:v>0.005477308294209703</x:v>
      </x:c>
    </x:row>
    <x:row r="4214">
      <x:c r="G4214" t="str">
        <x:v>SLC-SUN</x:v>
      </x:c>
      <x:c r="H4214" t="str">
        <x:v>SLC</x:v>
      </x:c>
      <x:c r="I4214" t="str">
        <x:v>SUN</x:v>
      </x:c>
      <x:c r="J4214" s="23" t="n">
        <x:v>2625</x:v>
      </x:c>
      <x:c r="K4214" s="24" t="n">
        <x:v>0.061714285714285715</x:v>
      </x:c>
      <x:c r="L4214" s="24" t="n">
        <x:v>0.006095238095238095</x:v>
      </x:c>
    </x:row>
    <x:row r="4215">
      <x:c r="G4215" t="str">
        <x:v>PSP-SLC</x:v>
      </x:c>
      <x:c r="H4215" t="str">
        <x:v>PSP</x:v>
      </x:c>
      <x:c r="I4215" t="str">
        <x:v>SLC</x:v>
      </x:c>
      <x:c r="J4215" s="23" t="n">
        <x:v>2984</x:v>
      </x:c>
      <x:c r="K4215" s="24" t="n">
        <x:v>0.06166219839142091</x:v>
      </x:c>
      <x:c r="L4215" s="24" t="n">
        <x:v>0.004021447721179625</x:v>
      </x:c>
    </x:row>
    <x:row r="4216">
      <x:c r="G4216" t="str">
        <x:v>SPN-GUM</x:v>
      </x:c>
      <x:c r="H4216" t="str">
        <x:v>SPN</x:v>
      </x:c>
      <x:c r="I4216" t="str">
        <x:v>GUM</x:v>
      </x:c>
      <x:c r="J4216" s="23" t="n">
        <x:v>1125</x:v>
      </x:c>
      <x:c r="K4216" s="24" t="n">
        <x:v>0.06133333333333333</x:v>
      </x:c>
      <x:c r="L4216" s="24" t="n">
        <x:v>0.008888888888888889</x:v>
      </x:c>
    </x:row>
    <x:row r="4217">
      <x:c r="G4217" t="str">
        <x:v>PIH-SLC</x:v>
      </x:c>
      <x:c r="H4217" t="str">
        <x:v>PIH</x:v>
      </x:c>
      <x:c r="I4217" t="str">
        <x:v>SLC</x:v>
      </x:c>
      <x:c r="J4217" s="23" t="n">
        <x:v>1734</x:v>
      </x:c>
      <x:c r="K4217" s="24" t="n">
        <x:v>0.05651672433679354</x:v>
      </x:c>
      <x:c r="L4217" s="24" t="n">
        <x:v>0.0011534025374855825</x:v>
      </x:c>
    </x:row>
    <x:row r="4218">
      <x:c r="G4218" t="str">
        <x:v>TUS-SLC</x:v>
      </x:c>
      <x:c r="H4218" t="str">
        <x:v>TUS</x:v>
      </x:c>
      <x:c r="I4218" t="str">
        <x:v>SLC</x:v>
      </x:c>
      <x:c r="J4218" s="23" t="n">
        <x:v>3270</x:v>
      </x:c>
      <x:c r="K4218" s="24" t="n">
        <x:v>0.05565749235474006</x:v>
      </x:c>
      <x:c r="L4218" s="24" t="n">
        <x:v>0.0009174311926605505</x:v>
      </x:c>
    </x:row>
    <x:row r="4219">
      <x:c r="G4219" t="str">
        <x:v>HLN-SLC</x:v>
      </x:c>
      <x:c r="H4219" t="str">
        <x:v>HLN</x:v>
      </x:c>
      <x:c r="I4219" t="str">
        <x:v>SLC</x:v>
      </x:c>
      <x:c r="J4219" s="23" t="n">
        <x:v>2190</x:v>
      </x:c>
      <x:c r="K4219" s="24" t="n">
        <x:v>0.055251141552511415</x:v>
      </x:c>
      <x:c r="L4219" s="24" t="n">
        <x:v>0.00410958904109589</x:v>
      </x:c>
    </x:row>
    <x:row r="4220">
      <x:c r="G4220" t="str">
        <x:v>EKO-SLC</x:v>
      </x:c>
      <x:c r="H4220" t="str">
        <x:v>EKO</x:v>
      </x:c>
      <x:c r="I4220" t="str">
        <x:v>SLC</x:v>
      </x:c>
      <x:c r="J4220" s="23" t="n">
        <x:v>1236</x:v>
      </x:c>
      <x:c r="K4220" s="24" t="n">
        <x:v>0.05501618122977346</x:v>
      </x:c>
      <x:c r="L4220" s="24" t="n">
        <x:v>0.003236245954692557</x:v>
      </x:c>
    </x:row>
    <x:row r="4221">
      <x:c r="G4221" t="str">
        <x:v>BTM-SLC</x:v>
      </x:c>
      <x:c r="H4221" t="str">
        <x:v>BTM</x:v>
      </x:c>
      <x:c r="I4221" t="str">
        <x:v>SLC</x:v>
      </x:c>
      <x:c r="J4221" s="23" t="n">
        <x:v>1710</x:v>
      </x:c>
      <x:c r="K4221" s="24" t="n">
        <x:v>0.05321637426900585</x:v>
      </x:c>
      <x:c r="L4221" s="24" t="n">
        <x:v>0.006432748538011696</x:v>
      </x:c>
    </x:row>
    <x:row r="4222">
      <x:c r="G4222" t="str">
        <x:v>OGG-PHX</x:v>
      </x:c>
      <x:c r="H4222" t="str">
        <x:v>OGG</x:v>
      </x:c>
      <x:c r="I4222" t="str">
        <x:v>PHX</x:v>
      </x:c>
      <x:c r="J4222" s="23" t="n">
        <x:v>2255</x:v>
      </x:c>
      <x:c r="K4222" s="24" t="n">
        <x:v>0.05232815964523282</x:v>
      </x:c>
      <x:c r="L4222" s="24" t="n">
        <x:v>0.0022172949002217295</x:v>
      </x:c>
    </x:row>
    <x:row r="4223">
      <x:c r="G4223" t="str">
        <x:v>LIH-DEN</x:v>
      </x:c>
      <x:c r="H4223" t="str">
        <x:v>LIH</x:v>
      </x:c>
      <x:c r="I4223" t="str">
        <x:v>DEN</x:v>
      </x:c>
      <x:c r="J4223" s="23" t="n">
        <x:v>1128</x:v>
      </x:c>
      <x:c r="K4223" s="24" t="n">
        <x:v>0.051418439716312055</x:v>
      </x:c>
      <x:c r="L4223" s="24" t="n">
        <x:v>0.013297872340425532</x:v>
      </x:c>
    </x:row>
    <x:row r="4224">
      <x:c r="G4224" t="str">
        <x:v>KOA-LIH</x:v>
      </x:c>
      <x:c r="H4224" t="str">
        <x:v>KOA</x:v>
      </x:c>
      <x:c r="I4224" t="str">
        <x:v>LIH</x:v>
      </x:c>
      <x:c r="J4224" s="23" t="n">
        <x:v>1097</x:v>
      </x:c>
      <x:c r="K4224" s="24" t="n">
        <x:v>0.05013673655423884</x:v>
      </x:c>
      <x:c r="L4224" s="24" t="n">
        <x:v>0.0018231540565177757</x:v>
      </x:c>
    </x:row>
    <x:row r="4225">
      <x:c r="G4225" t="str">
        <x:v>SLC-HLN</x:v>
      </x:c>
      <x:c r="H4225" t="str">
        <x:v>SLC</x:v>
      </x:c>
      <x:c r="I4225" t="str">
        <x:v>HLN</x:v>
      </x:c>
      <x:c r="J4225" s="23" t="n">
        <x:v>2190</x:v>
      </x:c>
      <x:c r="K4225" s="24" t="n">
        <x:v>0.048401826484018265</x:v>
      </x:c>
      <x:c r="L4225" s="24" t="n">
        <x:v>0.0036529680365296802</x:v>
      </x:c>
    </x:row>
    <x:row r="4226">
      <x:c r="G4226" t="str">
        <x:v>KOA-LAS</x:v>
      </x:c>
      <x:c r="H4226" t="str">
        <x:v>KOA</x:v>
      </x:c>
      <x:c r="I4226" t="str">
        <x:v>LAS</x:v>
      </x:c>
      <x:c r="J4226" s="23" t="n">
        <x:v>1096</x:v>
      </x:c>
      <x:c r="K4226" s="24" t="n">
        <x:v>0.04288321167883212</x:v>
      </x:c>
      <x:c r="L4226" s="24" t="n">
        <x:v>0.002737226277372263</x:v>
      </x:c>
    </x:row>
    <x:row r="4227">
      <x:c r="G4227" t="str">
        <x:v>GUM-SPN</x:v>
      </x:c>
      <x:c r="H4227" t="str">
        <x:v>GUM</x:v>
      </x:c>
      <x:c r="I4227" t="str">
        <x:v>SPN</x:v>
      </x:c>
      <x:c r="J4227" s="23" t="n">
        <x:v>1125</x:v>
      </x:c>
      <x:c r="K4227" s="24" t="n">
        <x:v>0.041777777777777775</x:v>
      </x:c>
      <x:c r="L4227" s="24" t="n">
        <x:v>0.008888888888888889</x:v>
      </x:c>
    </x:row>
  </x:sheetData>
  <x:mergeCells>
    <x:mergeCell ref="A1:S1"/>
    <x:mergeCell ref="A2:S2"/>
    <x:mergeCell ref="N212:S216"/>
  </x:mergeCells>
  <x:pageMargins left="0.7" right="0.7" top="0.75" bottom="0.75" header="0.3" footer="0.3"/>
  <x:drawing xmlns:r="http://schemas.openxmlformats.org/officeDocument/2006/relationships" r:id="R73680dc4b065407d"/>
  <x:tableParts count="3">
    <x:tablePart xmlns:r="http://schemas.openxmlformats.org/officeDocument/2006/relationships" r:id="R0b5ce8143bb24075"/>
    <x:tablePart xmlns:r="http://schemas.openxmlformats.org/officeDocument/2006/relationships" r:id="R82d50ed5ab534216"/>
    <x:tablePart xmlns:r="http://schemas.openxmlformats.org/officeDocument/2006/relationships" r:id="Rc57b507516364991"/>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8" hidden="0" customWidth="1"/>
    <x:col min="2" max="2" width="22" hidden="0" customWidth="1"/>
    <x:col min="3" max="3" width="22" hidden="0" customWidth="1"/>
    <x:col min="4" max="4" width="12" hidden="0" customWidth="1"/>
    <x:col min="5" max="5" width="3" hidden="0" customWidth="1"/>
    <x:col min="6" max="6" width="24" hidden="0" customWidth="1"/>
    <x:col min="7" max="7" width="38" hidden="0" customWidth="1"/>
    <x:col min="8" max="8" width="35" hidden="0" customWidth="1"/>
    <x:col min="9" max="9" width="4" hidden="0" customWidth="1"/>
    <x:col min="10" max="10" width="4" hidden="0" customWidth="1"/>
  </x:cols>
  <x:sheetData>
    <x:row r="1" ht="30" customHeight="1">
      <x:c r="A1" s="4" t="str">
        <x:v>Data Quality &amp; Reconciliation</x:v>
      </x:c>
      <x:c r="B1" s="4"/>
      <x:c r="C1" s="4"/>
      <x:c r="D1" s="4"/>
      <x:c r="E1" s="4"/>
      <x:c r="F1" s="4"/>
      <x:c r="G1" s="4"/>
      <x:c r="H1" s="4"/>
      <x:c r="I1" s="4"/>
      <x:c r="J1" s="4"/>
    </x:row>
    <x:row r="2" ht="30" customHeight="1">
      <x:c r="A2" s="9" t="str">
        <x:v>Automated controls, source-to-model reconciliation, and analytical treatments. Each operational rate uses the denominator documented below.</x:v>
      </x:c>
      <x:c r="B2" s="9"/>
      <x:c r="C2" s="9"/>
      <x:c r="D2" s="9"/>
      <x:c r="E2" s="9"/>
      <x:c r="F2" s="9"/>
      <x:c r="G2" s="9"/>
      <x:c r="H2" s="9"/>
      <x:c r="I2" s="9"/>
      <x:c r="J2" s="9"/>
    </x:row>
    <x:row r="4" ht="26" customHeight="1">
      <x:c r="A4" s="20" t="str">
        <x:v>Reconciliation Check</x:v>
      </x:c>
      <x:c r="B4" s="21" t="str">
        <x:v>Source / Expected</x:v>
      </x:c>
      <x:c r="C4" s="21" t="str">
        <x:v>Workbook Result</x:v>
      </x:c>
      <x:c r="D4" s="22" t="str">
        <x:v>Status</x:v>
      </x:c>
      <x:c r="F4" s="46" t="str">
        <x:v>Quality Rule / Treatment</x:v>
      </x:c>
      <x:c r="G4" s="47" t="str">
        <x:v>Why</x:v>
      </x:c>
      <x:c r="H4" s="48" t="str">
        <x:v>Result</x:v>
      </x:c>
    </x:row>
    <x:row r="5" ht="42" customHeight="1">
      <x:c r="A5" s="26" t="str">
        <x:v>Fact rows</x:v>
      </x:c>
      <x:c r="B5" s="23" t="n">
        <x:v>20928579</x:v>
      </x:c>
      <x:c r="C5" s="23" t="n">
        <x:f>'Data Quality'!B5</x:f>
        <x:v>20928579</x:v>
      </x:c>
      <x:c r="D5" s="199" t="str">
        <x:f>IF(B5=C5,"PASS","FAIL")</x:f>
        <x:v>PASS</x:v>
      </x:c>
      <x:c r="F5" s="259" t="str">
        <x:v>Required keys</x:v>
      </x:c>
      <x:c r="G5" s="245" t="str">
        <x:v>Flight date, airline, origin, and destination are required for model joins.</x:v>
      </x:c>
      <x:c r="H5" s="246" t="str">
        <x:v>20,928,579 retained fact rows; full source retention after required-key checks.</x:v>
      </x:c>
    </x:row>
    <x:row r="6" ht="42" customHeight="1">
      <x:c r="A6" s="26" t="str">
        <x:v>Unique candidate flight keys</x:v>
      </x:c>
      <x:c r="B6" s="23" t="n">
        <x:v>20928579</x:v>
      </x:c>
      <x:c r="C6" s="23" t="n">
        <x:f>'Data Quality'!B6</x:f>
        <x:v>20928579</x:v>
      </x:c>
      <x:c r="D6" s="199" t="str">
        <x:f>IF(B6=C6,"PASS","FAIL")</x:f>
        <x:v>PASS</x:v>
      </x:c>
      <x:c r="F6" s="260" t="str">
        <x:v>Candidate-key uniqueness</x:v>
      </x:c>
      <x:c r="G6" s="248" t="str">
        <x:v>Detect duplicate records before rate aggregation.</x:v>
      </x:c>
      <x:c r="H6" s="249" t="str">
        <x:v>0 duplicate candidate-key rows.</x:v>
      </x:c>
    </x:row>
    <x:row r="7" ht="42" customHeight="1">
      <x:c r="A7" s="26" t="str">
        <x:v>Duplicate candidate-key rows</x:v>
      </x:c>
      <x:c r="B7" s="23" t="n">
        <x:v>0</x:v>
      </x:c>
      <x:c r="C7" s="23" t="n">
        <x:f>'Data Quality'!B7</x:f>
        <x:v>0</x:v>
      </x:c>
      <x:c r="D7" s="199" t="str">
        <x:f>IF(B7=C7,"PASS","FAIL")</x:f>
        <x:v>PASS</x:v>
      </x:c>
      <x:c r="F7" s="260" t="str">
        <x:v>Arrival fields</x:v>
      </x:c>
      <x:c r="G7" s="248" t="str">
        <x:v>Cancelled/diverted records have non-applicable arrival outcomes.</x:v>
      </x:c>
      <x:c r="H7" s="249" t="str">
        <x:v>1.63% arrival-delay missingness, treated as expected; excluded only from arrival-performance denominators.</x:v>
      </x:c>
    </x:row>
    <x:row r="8" ht="42" customHeight="1">
      <x:c r="A8" s="26" t="str">
        <x:v>Scheduled flights in presentation</x:v>
      </x:c>
      <x:c r="B8" s="23" t="n">
        <x:v>20928579</x:v>
      </x:c>
      <x:c r="C8" s="23" t="n">
        <x:f>SUM('Delay Trends'!D5:D40)</x:f>
        <x:v>20928579</x:v>
      </x:c>
      <x:c r="D8" s="199" t="str">
        <x:f>IF(B8=C8,"PASS","FAIL")</x:f>
        <x:v>PASS</x:v>
      </x:c>
      <x:c r="F8" s="260" t="str">
        <x:v>Cancellation code mapping</x:v>
      </x:c>
      <x:c r="G8" s="248" t="str">
        <x:v>Avoid masking missing cancellation reason labels.</x:v>
      </x:c>
      <x:c r="H8" s="249" t="str">
        <x:v>0 cancelled flights with Unknown cancellation code.</x:v>
      </x:c>
    </x:row>
    <x:row r="9" ht="42" customHeight="1">
      <x:c r="A9" s="26" t="str">
        <x:v>Cancelled flights</x:v>
      </x:c>
      <x:c r="B9" s="23" t="n">
        <x:v>287134</x:v>
      </x:c>
      <x:c r="C9" s="23" t="n">
        <x:f>ROUND(SUM('Delay Trends'!M5:M40),0)</x:f>
        <x:v>287134</x:v>
      </x:c>
      <x:c r="D9" s="199" t="str">
        <x:f>IF(B9=C9,"PASS","FAIL")</x:f>
        <x:v>PASS</x:v>
      </x:c>
      <x:c r="F9" s="260" t="str">
        <x:v>Airport threshold</x:v>
      </x:c>
      <x:c r="G9" s="248" t="str">
        <x:v>Reduce unstable low-volume airport rates.</x:v>
      </x:c>
      <x:c r="H9" s="249" t="str">
        <x:v>5,000 scheduled departures required.</x:v>
      </x:c>
    </x:row>
    <x:row r="10" ht="42" customHeight="1">
      <x:c r="A10" s="26" t="str">
        <x:v>Diverted flights</x:v>
      </x:c>
      <x:c r="B10" s="23" t="n">
        <x:v>53309</x:v>
      </x:c>
      <x:c r="C10" s="23" t="n">
        <x:f>ROUND(SUM('Delay Trends'!N5:N40),0)</x:f>
        <x:v>53309</x:v>
      </x:c>
      <x:c r="D10" s="199" t="str">
        <x:f>IF(B10=C10,"PASS","FAIL")</x:f>
        <x:v>PASS</x:v>
      </x:c>
      <x:c r="F10" s="260" t="str">
        <x:v>Route threshold</x:v>
      </x:c>
      <x:c r="G10" s="248" t="str">
        <x:v>Reduce unstable low-volume route rates.</x:v>
      </x:c>
      <x:c r="H10" s="249" t="str">
        <x:v>1,000 scheduled flights required.</x:v>
      </x:c>
    </x:row>
    <x:row r="11" ht="42" customHeight="1">
      <x:c r="A11" s="29" t="str">
        <x:v>Date coverage</x:v>
      </x:c>
      <x:c r="B11" s="30" t="str">
        <x:v>2023-01-01 to 2025-12-31</x:v>
      </x:c>
      <x:c r="C11" s="30" t="str">
        <x:f>"2023-01-01 to 2025-12-31"</x:f>
        <x:v>2023-01-01 to 2025-12-31</x:v>
      </x:c>
      <x:c r="D11" s="201" t="str">
        <x:f>IF(B11=C11,"PASS","FAIL")</x:f>
        <x:v>PASS</x:v>
      </x:c>
      <x:c r="F11" s="260" t="str">
        <x:v>Carrier route-month threshold</x:v>
      </x:c>
      <x:c r="G11" s="248" t="str">
        <x:v>Support comparable peer-control cells.</x:v>
      </x:c>
      <x:c r="H11" s="249" t="str">
        <x:v>100 flights per carrier route-month cell required.</x:v>
      </x:c>
    </x:row>
    <x:row r="12" ht="42" customHeight="1">
      <x:c r="F12" s="261" t="str">
        <x:v>Monthly partitions</x:v>
      </x:c>
      <x:c r="G12" s="251" t="str">
        <x:v>Confirm complete monthly coverage.</x:v>
      </x:c>
      <x:c r="H12" s="252" t="str">
        <x:f>COUNTIFS('Delay Trends'!$D$5:$D$40,"&gt;0")&amp;" populated months; expected 36."</x:f>
        <x:v>36 populated months; expected 36.</x:v>
      </x:c>
    </x:row>
    <x:row r="14">
      <x:c r="A14" s="280" t="str">
        <x:v>Grain: one scheduled domestic flight record. Arrival delay and on-time rates use operated, non-diverted flights; cancellation and diversion rates use all scheduled records. Two records have Unknown departure period and remain visible rather than silently reassigned.</x:v>
      </x:c>
      <x:c r="B14" s="281"/>
      <x:c r="C14" s="281"/>
      <x:c r="D14" s="281"/>
      <x:c r="E14" s="281"/>
      <x:c r="F14" s="281"/>
      <x:c r="G14" s="281"/>
      <x:c r="H14" s="281"/>
      <x:c r="I14" s="281"/>
      <x:c r="J14" s="282"/>
    </x:row>
    <x:row r="15">
      <x:c r="A15" s="283"/>
      <x:c r="B15" s="284"/>
      <x:c r="C15" s="284"/>
      <x:c r="D15" s="284"/>
      <x:c r="E15" s="284"/>
      <x:c r="F15" s="284"/>
      <x:c r="G15" s="284"/>
      <x:c r="H15" s="284"/>
      <x:c r="I15" s="284"/>
      <x:c r="J15" s="285"/>
    </x:row>
    <x:row r="16">
      <x:c r="A16" s="286"/>
      <x:c r="B16" s="287"/>
      <x:c r="C16" s="287"/>
      <x:c r="D16" s="287"/>
      <x:c r="E16" s="287"/>
      <x:c r="F16" s="287"/>
      <x:c r="G16" s="287"/>
      <x:c r="H16" s="287"/>
      <x:c r="I16" s="287"/>
      <x:c r="J16" s="288"/>
    </x:row>
  </x:sheetData>
  <x:mergeCells>
    <x:mergeCell ref="A1:J1"/>
    <x:mergeCell ref="A2:J2"/>
    <x:mergeCell ref="A14:J16"/>
  </x:mergeCells>
  <x:conditionalFormatting sqref="D5:D11">
    <x:cfRule type="containsText" dxfId="0" priority="1" operator="containsText" text="PASS"/>
    <x:cfRule type="containsText" dxfId="1" priority="2" operator="containsText" text="FAIL"/>
  </x:conditionalFormatting>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5" hidden="0" customWidth="1"/>
    <x:col min="2" max="2" width="60" hidden="0" customWidth="1"/>
    <x:col min="3" max="3" width="3" hidden="0" customWidth="1"/>
    <x:col min="4" max="4" width="23" hidden="0" customWidth="1"/>
    <x:col min="5" max="5" width="48" hidden="0" customWidth="1"/>
    <x:col min="6" max="6" width="15" hidden="0" customWidth="1"/>
    <x:col min="7" max="7" width="15" hidden="0" customWidth="1"/>
    <x:col min="8" max="8" width="15" hidden="0" customWidth="1"/>
  </x:cols>
  <x:sheetData>
    <x:row r="1" ht="30" customHeight="1">
      <x:c r="A1" s="4" t="str">
        <x:v>Definitions, Methodology &amp; Sources</x:v>
      </x:c>
      <x:c r="B1" s="4"/>
      <x:c r="C1" s="4"/>
      <x:c r="D1" s="4"/>
      <x:c r="E1" s="4"/>
      <x:c r="F1" s="4"/>
      <x:c r="G1" s="4"/>
      <x:c r="H1" s="4"/>
    </x:row>
    <x:row r="2" ht="30" customHeight="1">
      <x:c r="A2" s="9" t="str">
        <x:v>Portfolio handoff guide. Detailed SQL, Power Query, Python, model diagram, and documentation are stored with the project repository.</x:v>
      </x:c>
      <x:c r="B2" s="9"/>
      <x:c r="C2" s="9"/>
      <x:c r="D2" s="9"/>
      <x:c r="E2" s="9"/>
      <x:c r="F2" s="9"/>
      <x:c r="G2" s="9"/>
      <x:c r="H2" s="9"/>
    </x:row>
    <x:row r="4" ht="26" customHeight="1">
      <x:c r="A4" s="20" t="str">
        <x:v>Metric / Field</x:v>
      </x:c>
      <x:c r="B4" s="22" t="str">
        <x:v>Definition</x:v>
      </x:c>
      <x:c r="D4" s="46" t="str">
        <x:v>Model component</x:v>
      </x:c>
      <x:c r="E4" s="48" t="str">
        <x:v>Purpose</x:v>
      </x:c>
    </x:row>
    <x:row r="5" ht="35" customHeight="1">
      <x:c r="A5" s="324" t="str">
        <x:v>Scheduled flights</x:v>
      </x:c>
      <x:c r="B5" s="246" t="str">
        <x:v>Count of BTS reporting-carrier flight records at the scheduled-flight grain.</x:v>
      </x:c>
      <x:c r="D5" s="259" t="str">
        <x:v>fact_flights</x:v>
      </x:c>
      <x:c r="E5" s="246" t="str">
        <x:v>One scheduled domestic flight record; operational flags, timing, and delay metrics.</x:v>
      </x:c>
    </x:row>
    <x:row r="6" ht="35" customHeight="1">
      <x:c r="A6" s="325" t="str">
        <x:v>Operated flights</x:v>
      </x:c>
      <x:c r="B6" s="249" t="str">
        <x:v>Scheduled records excluding cancelled flights.</x:v>
      </x:c>
      <x:c r="D6" s="260" t="str">
        <x:v>dim_date</x:v>
      </x:c>
      <x:c r="E6" s="249" t="str">
        <x:v>Calendar attributes for 2023–2025 trend analysis.</x:v>
      </x:c>
    </x:row>
    <x:row r="7" ht="35" customHeight="1">
      <x:c r="A7" s="325" t="str">
        <x:v>On-time rate</x:v>
      </x:c>
      <x:c r="B7" s="249" t="str">
        <x:v>Share of operated, non-diverted flights with arrival delay under 15 minutes.</x:v>
      </x:c>
      <x:c r="D7" s="260" t="str">
        <x:v>dim_airline</x:v>
      </x:c>
      <x:c r="E7" s="249" t="str">
        <x:v>Reporting airline key and code.</x:v>
      </x:c>
    </x:row>
    <x:row r="8" ht="35" customHeight="1">
      <x:c r="A8" s="325" t="str">
        <x:v>Arrival delay rate</x:v>
      </x:c>
      <x:c r="B8" s="249" t="str">
        <x:v>Share of operated, non-diverted flights with arrival delay greater than 15 minutes.</x:v>
      </x:c>
      <x:c r="D8" s="260" t="str">
        <x:v>dim_airport</x:v>
      </x:c>
      <x:c r="E8" s="249" t="str">
        <x:v>Airport code, city, and state.</x:v>
      </x:c>
    </x:row>
    <x:row r="9" ht="35" customHeight="1">
      <x:c r="A9" s="325" t="str">
        <x:v>Cancellation rate</x:v>
      </x:c>
      <x:c r="B9" s="249" t="str">
        <x:v>Cancelled scheduled flights divided by all scheduled flights.</x:v>
      </x:c>
      <x:c r="D9" s="261" t="str">
        <x:v>dim_route</x:v>
      </x:c>
      <x:c r="E9" s="252" t="str">
        <x:v>Origin-destination route key.</x:v>
      </x:c>
    </x:row>
    <x:row r="10" ht="35" customHeight="1">
      <x:c r="A10" s="325" t="str">
        <x:v>Diversion rate</x:v>
      </x:c>
      <x:c r="B10" s="249" t="str">
        <x:v>Diverted scheduled flights divided by all scheduled flights.</x:v>
      </x:c>
    </x:row>
    <x:row r="11" ht="35" customHeight="1">
      <x:c r="A11" s="325" t="str">
        <x:v>Departure period</x:v>
      </x:c>
      <x:c r="B11" s="249" t="str">
        <x:v>Scheduled departure-time categories: Overnight, Morning, Midday, Afternoon, Evening, or Unknown.</x:v>
      </x:c>
      <x:c r="D11" s="10" t="str">
        <x:v>Primary source</x:v>
      </x:c>
      <x:c r="E11" s="10"/>
      <x:c r="F11" s="10"/>
      <x:c r="G11" s="10"/>
      <x:c r="H11" s="10"/>
    </x:row>
    <x:row r="12" ht="35" customHeight="1">
      <x:c r="A12" s="325" t="str">
        <x:v>Reported delay causes</x:v>
      </x:c>
      <x:c r="B12" s="249" t="str">
        <x:v>Carrier, weather, NAS, security, and late-aircraft minutes reported in BTS records; descriptive operational classifications.</x:v>
      </x:c>
      <x:c r="D12" s="340" t="str">
        <x:v>Bureau of Transportation Statistics (BTS), Reporting Carrier On-Time Performance. Official table information: https://www.transtats.bts.gov/TableInfo.asp?QO_fu146_anzr=b0-gvzr&amp;gnoyr_VQ=FGJ</x:v>
      </x:c>
      <x:c r="E12" s="341"/>
      <x:c r="F12" s="341"/>
      <x:c r="G12" s="341"/>
      <x:c r="H12" s="342"/>
    </x:row>
    <x:row r="13" ht="35" customHeight="1">
      <x:c r="A13" s="325" t="str">
        <x:v>Comparable carrier rate</x:v>
      </x:c>
      <x:c r="B13" s="249" t="str">
        <x:v>Carrier route-month performance only where the carrier cell has at least 100 flights, compared with peer carriers on the same route and month.</x:v>
      </x:c>
      <x:c r="D13" s="343"/>
      <x:c r="E13" s="344"/>
      <x:c r="F13" s="344"/>
      <x:c r="G13" s="344"/>
      <x:c r="H13" s="345"/>
    </x:row>
    <x:row r="14" ht="35" customHeight="1">
      <x:c r="A14" s="326" t="str">
        <x:v>Volume thresholds</x:v>
      </x:c>
      <x:c r="B14" s="252" t="str">
        <x:v>Airport: 5,000 scheduled departures; route: 1,000 scheduled flights; carrier route-month: 100 flights.</x:v>
      </x:c>
    </x:row>
    <x:row r="15">
      <x:c r="D15" s="280" t="str">
        <x:v>Limitations: BTS data describes reported domestic flight operations and delay classifications. Descriptive differences are associations and may reflect route mix, airport conditions, weather, traffic management, airline schedules, and seasonality. The workbook does not claim a carrier, airport, or time period caused a delay. The raw source exceeds Excel worksheet limits; this workbook presents aggregated, reconciled tables while the full fact dataset remains in the reproducible DuckDB/Parquet model.</x:v>
      </x:c>
      <x:c r="E15" s="281"/>
      <x:c r="F15" s="281"/>
      <x:c r="G15" s="281"/>
      <x:c r="H15" s="282"/>
    </x:row>
    <x:row r="16">
      <x:c r="D16" s="283"/>
      <x:c r="E16" s="284"/>
      <x:c r="F16" s="284"/>
      <x:c r="G16" s="284"/>
      <x:c r="H16" s="285"/>
    </x:row>
    <x:row r="17">
      <x:c r="D17" s="283"/>
      <x:c r="E17" s="284"/>
      <x:c r="F17" s="284"/>
      <x:c r="G17" s="284"/>
      <x:c r="H17" s="285"/>
    </x:row>
    <x:row r="18">
      <x:c r="D18" s="286"/>
      <x:c r="E18" s="287"/>
      <x:c r="F18" s="287"/>
      <x:c r="G18" s="287"/>
      <x:c r="H18" s="288"/>
    </x:row>
  </x:sheetData>
  <x:mergeCells>
    <x:mergeCell ref="A1:H1"/>
    <x:mergeCell ref="A2:H2"/>
    <x:mergeCell ref="D11:H11"/>
    <x:mergeCell ref="D12:H13"/>
    <x:mergeCell ref="D15:H18"/>
  </x:mergeCells>
  <x:pageMargins left="0.7" right="0.7" top="0.75" bottom="0.75" header="0.3" footer="0.3"/>
</x:worksheet>
</file>

<file path=pivotCache/pivotCacheDefinition1.xml><?xml version="1.0" encoding="utf-8"?>
<x:pivotCacheDefinition xmlns:x="http://schemas.openxmlformats.org/spreadsheetml/2006/main" recordCount="36">
  <x:cacheSource/>
  <x:cacheFields count="14">
    <x:cacheField name="Month" numFmtId="0">
      <x:sharedItems count="36">
        <x:s v="Jan 2023"/>
        <x:s v="Feb 2023"/>
        <x:s v="Mar 2023"/>
        <x:s v="Apr 2023"/>
        <x:s v="May 2023"/>
        <x:s v="Jun 2023"/>
        <x:s v="Jul 2023"/>
        <x:s v="Aug 2023"/>
        <x:s v="Sep 2023"/>
        <x:s v="Oct 2023"/>
        <x:s v="Nov 2023"/>
        <x:s v="Dec 2023"/>
        <x:s v="Jan 2024"/>
        <x:s v="Feb 2024"/>
        <x:s v="Mar 2024"/>
        <x:s v="Apr 2024"/>
        <x:s v="May 2024"/>
        <x:s v="Jun 2024"/>
        <x:s v="Jul 2024"/>
        <x:s v="Aug 2024"/>
        <x:s v="Sep 2024"/>
        <x:s v="Oct 2024"/>
        <x:s v="Nov 2024"/>
        <x:s v="Dec 2024"/>
        <x:s v="Jan 2025"/>
        <x:s v="Feb 2025"/>
        <x:s v="Mar 2025"/>
        <x:s v="Apr 2025"/>
        <x:s v="May 2025"/>
        <x:s v="Jun 2025"/>
        <x:s v="Jul 2025"/>
        <x:s v="Aug 2025"/>
        <x:s v="Sep 2025"/>
        <x:s v="Oct 2025"/>
        <x:s v="Nov 2025"/>
        <x:s v="Dec 2025"/>
      </x:sharedItems>
    </x:cacheField>
    <x:cacheField name="Year" numFmtId="0">
      <x:sharedItems containsSemiMixedTypes="0" containsString="0" containsNumber="1" minValue="2023" maxValue="2025"/>
    </x:cacheField>
    <x:cacheField name="Month #" numFmtId="0">
      <x:sharedItems containsSemiMixedTypes="0" containsString="0" containsNumber="1" minValue="1" maxValue="12"/>
    </x:cacheField>
    <x:cacheField name="Scheduled Flights" numFmtId="200">
      <x:sharedItems containsSemiMixedTypes="0" containsString="0" containsNumber="1" minValue="502749" maxValue="634613"/>
    </x:cacheField>
    <x:cacheField name="Operated Flights" numFmtId="200">
      <x:sharedItems containsSemiMixedTypes="0" containsString="0" containsNumber="1" minValue="492747" maxValue="613938"/>
    </x:cacheField>
    <x:cacheField name="On-Time Rate" numFmtId="201">
      <x:sharedItems containsSemiMixedTypes="0" containsString="0" containsNumber="1" minValue="0.6808448613564487" maxValue="0.8621582647039521"/>
    </x:cacheField>
    <x:cacheField name="Arrival Delay Rate" numFmtId="201">
      <x:sharedItems containsSemiMixedTypes="0" containsString="0" containsNumber="1" minValue="0.13053353631293085" maxValue="0.28657622834703983"/>
    </x:cacheField>
    <x:cacheField name="Cancellation Rate" numFmtId="201">
      <x:sharedItems containsSemiMixedTypes="0" containsString="0" containsNumber="1" minValue="0.0014527020435384913" maxValue="0.03725576542517327"/>
    </x:cacheField>
    <x:cacheField name="Diversion Rate" numFmtId="201">
      <x:sharedItems containsSemiMixedTypes="0" containsString="0" containsNumber="1" minValue="0.0009666942780567494" maxValue="0.004979190026416313"/>
    </x:cacheField>
    <x:cacheField name="Avg Arrival Delay (min)" numFmtId="202">
      <x:sharedItems containsSemiMixedTypes="0" containsString="0" containsNumber="1" minValue="-1.2827363051630694" maxValue="18.092325283660564"/>
    </x:cacheField>
    <x:cacheField name="On-Time Flights (calc)" numFmtId="200">
      <x:sharedItems containsSemiMixedTypes="0" containsString="0" containsNumber="1" minValue="382994.19337037776" maxValue="522178.7399353693"/>
    </x:cacheField>
    <x:cacheField name="Delayed Flights (calc)" numFmtId="200">
      <x:sharedItems containsSemiMixedTypes="0" containsString="0" containsNumber="1" minValue="76163.28392963884" maxValue="175940.03647892494"/>
    </x:cacheField>
    <x:cacheField name="Cancelled Flights (calc)" numFmtId="200">
      <x:sharedItems containsSemiMixedTypes="0" containsString="0" containsNumber="1" minValue="819" maxValue="20389"/>
    </x:cacheField>
    <x:cacheField name="Diverted Flights (calc)" numFmtId="200">
      <x:sharedItems containsSemiMixedTypes="0" containsString="0" containsNumber="1" minValue="545" maxValue="3144"/>
    </x:cacheField>
  </x:cacheFields>
</x:pivotCacheDefinition>
</file>