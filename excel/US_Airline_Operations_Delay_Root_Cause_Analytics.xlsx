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drawings/drawing2.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charts/chart2.xml" ContentType="application/vnd.openxmlformats-officedocument.drawingml.chart+xml"/>
  <Override PartName="/xl/drawings/drawing3.xml" ContentType="application/vnd.openxmlformats-officedocument.drawing+xml"/>
  <Override PartName="/xl/tables/table3.xml" ContentType="application/vnd.openxmlformats-officedocument.spreadsheetml.table+xml"/>
  <Override PartName="/xl/charts/chart3.xml" ContentType="application/vnd.openxmlformats-officedocument.drawingml.chart+xml"/>
  <Override PartName="/xl/drawings/drawing4.xml" ContentType="application/vnd.openxmlformats-officedocument.drawing+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charts/chart4.xml" ContentType="application/vnd.openxmlformats-officedocument.drawingml.chart+xml"/>
  <Override PartName="/xl/drawings/drawing5.xml" ContentType="application/vnd.openxmlformats-officedocument.drawing+xml"/>
  <Override PartName="/xl/tables/table7.xml" ContentType="application/vnd.openxmlformats-officedocument.spreadsheetml.table+xml"/>
  <Override PartName="/xl/charts/chart5.xml" ContentType="application/vnd.openxmlformats-officedocument.drawingml.chart+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17"/>
  <workbookPr/>
  <mc:AlternateContent xmlns:mc="http://schemas.openxmlformats.org/markup-compatibility/2006">
    <mc:Choice Requires="x15">
      <x15ac:absPath xmlns:x15ac="http://schemas.microsoft.com/office/spreadsheetml/2010/11/ac" url="D:\working\waccache\LN2PEPF0000C0B9\EXCELCNV\9b8277a7-e4b7-4f18-a8a9-a1e2732da7cd\"/>
    </mc:Choice>
  </mc:AlternateContent>
  <xr:revisionPtr revIDLastSave="0" documentId="8_{4419FA34-3C3A-4BD9-B37B-907801B516AA}" xr6:coauthVersionLast="47" xr6:coauthVersionMax="47" xr10:uidLastSave="{00000000-0000-0000-0000-000000000000}"/>
  <bookViews>
    <workbookView xWindow="-60" yWindow="-60" windowWidth="15480" windowHeight="11640" firstSheet="1" xr2:uid="{00000000-000D-0000-FFFF-FFFF00000000}"/>
  </bookViews>
  <sheets>
    <sheet name="Executive Summary" sheetId="1" r:id="rId1"/>
    <sheet name="Delay Drivers" sheetId="3" r:id="rId2"/>
    <sheet name="Airport Analysis" sheetId="4" r:id="rId3"/>
    <sheet name="Carrier and Route Analysis" sheetId="5" r:id="rId4"/>
    <sheet name="Data Quality" sheetId="6" r:id="rId5"/>
    <sheet name="Definitions" sheetId="7" r:id="rId6"/>
    <sheet name="Delay Trends" sheetId="2" r:id="rId7"/>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0" i="4" l="1"/>
  <c r="B9" i="4"/>
  <c r="B8" i="4"/>
  <c r="B7" i="4"/>
  <c r="B6" i="4"/>
  <c r="H12" i="6"/>
  <c r="C11" i="6"/>
  <c r="D11" i="6" s="1"/>
  <c r="C8" i="6"/>
  <c r="D8" i="6" s="1"/>
  <c r="C7" i="6"/>
  <c r="D7" i="6" s="1"/>
  <c r="C6" i="6"/>
  <c r="D6" i="6" s="1"/>
  <c r="C5" i="6"/>
  <c r="D5" i="6" s="1"/>
  <c r="J9" i="3"/>
  <c r="J8" i="3"/>
  <c r="J7" i="3"/>
  <c r="J6" i="3"/>
  <c r="J5" i="3"/>
  <c r="N40" i="2"/>
  <c r="M40" i="2"/>
  <c r="L40" i="2"/>
  <c r="K40" i="2"/>
  <c r="N39" i="2"/>
  <c r="M39" i="2"/>
  <c r="L39" i="2"/>
  <c r="K39" i="2"/>
  <c r="N38" i="2"/>
  <c r="M38" i="2"/>
  <c r="L38" i="2"/>
  <c r="K38" i="2"/>
  <c r="N37" i="2"/>
  <c r="M37" i="2"/>
  <c r="L37" i="2"/>
  <c r="K37" i="2"/>
  <c r="N36" i="2"/>
  <c r="M36" i="2"/>
  <c r="L36" i="2"/>
  <c r="K36" i="2"/>
  <c r="N35" i="2"/>
  <c r="M35" i="2"/>
  <c r="L35" i="2"/>
  <c r="K35" i="2"/>
  <c r="N34" i="2"/>
  <c r="M34" i="2"/>
  <c r="L34" i="2"/>
  <c r="K34" i="2"/>
  <c r="N33" i="2"/>
  <c r="M33" i="2"/>
  <c r="L33" i="2"/>
  <c r="K33" i="2"/>
  <c r="N32" i="2"/>
  <c r="M32" i="2"/>
  <c r="L32" i="2"/>
  <c r="K32" i="2"/>
  <c r="N31" i="2"/>
  <c r="M31" i="2"/>
  <c r="L31" i="2"/>
  <c r="K31" i="2"/>
  <c r="N30" i="2"/>
  <c r="M30" i="2"/>
  <c r="L30" i="2"/>
  <c r="K30" i="2"/>
  <c r="N29" i="2"/>
  <c r="M29" i="2"/>
  <c r="L29" i="2"/>
  <c r="K29" i="2"/>
  <c r="N28" i="2"/>
  <c r="M28" i="2"/>
  <c r="L28" i="2"/>
  <c r="K28" i="2"/>
  <c r="N27" i="2"/>
  <c r="M27" i="2"/>
  <c r="L27" i="2"/>
  <c r="K27" i="2"/>
  <c r="N26" i="2"/>
  <c r="M26" i="2"/>
  <c r="L26" i="2"/>
  <c r="K26" i="2"/>
  <c r="N25" i="2"/>
  <c r="M25" i="2"/>
  <c r="L25" i="2"/>
  <c r="K25" i="2"/>
  <c r="N24" i="2"/>
  <c r="M24" i="2"/>
  <c r="L24" i="2"/>
  <c r="K24" i="2"/>
  <c r="N23" i="2"/>
  <c r="M23" i="2"/>
  <c r="L23" i="2"/>
  <c r="K23" i="2"/>
  <c r="N22" i="2"/>
  <c r="M22" i="2"/>
  <c r="L22" i="2"/>
  <c r="K22" i="2"/>
  <c r="N21" i="2"/>
  <c r="M21" i="2"/>
  <c r="L21" i="2"/>
  <c r="K21" i="2"/>
  <c r="N20" i="2"/>
  <c r="M20" i="2"/>
  <c r="L20" i="2"/>
  <c r="K20" i="2"/>
  <c r="N19" i="2"/>
  <c r="M19" i="2"/>
  <c r="L19" i="2"/>
  <c r="K19" i="2"/>
  <c r="N18" i="2"/>
  <c r="M18" i="2"/>
  <c r="L18" i="2"/>
  <c r="K18" i="2"/>
  <c r="N17" i="2"/>
  <c r="M17" i="2"/>
  <c r="L17" i="2"/>
  <c r="K17" i="2"/>
  <c r="N16" i="2"/>
  <c r="M16" i="2"/>
  <c r="L16" i="2"/>
  <c r="K16" i="2"/>
  <c r="N15" i="2"/>
  <c r="M15" i="2"/>
  <c r="L15" i="2"/>
  <c r="K15" i="2"/>
  <c r="N14" i="2"/>
  <c r="M14" i="2"/>
  <c r="L14" i="2"/>
  <c r="K14" i="2"/>
  <c r="N13" i="2"/>
  <c r="M13" i="2"/>
  <c r="L13" i="2"/>
  <c r="K13" i="2"/>
  <c r="N12" i="2"/>
  <c r="M12" i="2"/>
  <c r="L12" i="2"/>
  <c r="K12" i="2"/>
  <c r="N11" i="2"/>
  <c r="M11" i="2"/>
  <c r="L11" i="2"/>
  <c r="K11" i="2"/>
  <c r="N10" i="2"/>
  <c r="M10" i="2"/>
  <c r="L10" i="2"/>
  <c r="K10" i="2"/>
  <c r="N9" i="2"/>
  <c r="M9" i="2"/>
  <c r="L9" i="2"/>
  <c r="K9" i="2"/>
  <c r="N8" i="2"/>
  <c r="M8" i="2"/>
  <c r="L8" i="2"/>
  <c r="K8" i="2"/>
  <c r="R7" i="2"/>
  <c r="Q7" i="2"/>
  <c r="N7" i="2"/>
  <c r="M7" i="2"/>
  <c r="L7" i="2"/>
  <c r="K7" i="2"/>
  <c r="R6" i="2"/>
  <c r="Q6" i="2"/>
  <c r="N6" i="2"/>
  <c r="M6" i="2"/>
  <c r="L6" i="2"/>
  <c r="K6" i="2"/>
  <c r="R5" i="2"/>
  <c r="Q5" i="2"/>
  <c r="N5" i="2"/>
  <c r="M5" i="2"/>
  <c r="L5" i="2"/>
  <c r="T5" i="2" s="1"/>
  <c r="K5" i="2"/>
  <c r="S5" i="2" s="1"/>
  <c r="J5" i="1"/>
  <c r="G5" i="1"/>
  <c r="D5" i="1"/>
  <c r="A5" i="1"/>
  <c r="C9" i="6" l="1"/>
  <c r="D9" i="6" s="1"/>
  <c r="U5" i="2"/>
  <c r="C10" i="6"/>
  <c r="D10" i="6" s="1"/>
  <c r="V5" i="2"/>
  <c r="V6" i="2"/>
  <c r="U6" i="2"/>
  <c r="T6" i="2"/>
  <c r="S6" i="2"/>
  <c r="V7" i="2"/>
  <c r="U7" i="2"/>
  <c r="T7" i="2"/>
  <c r="S7" i="2"/>
</calcChain>
</file>

<file path=xl/sharedStrings.xml><?xml version="1.0" encoding="utf-8"?>
<sst xmlns="http://schemas.openxmlformats.org/spreadsheetml/2006/main" count="14346" uniqueCount="5018">
  <si>
    <t>U.S. Airline Operations &amp; Delay Root-Cause Analytics</t>
  </si>
  <si>
    <t>Executive summary | BTS Reporting Carrier On-Time Performance | Complete 2023–2025 monthly files | 20.93M scheduled domestic-flight records</t>
  </si>
  <si>
    <t>Scheduled Flights</t>
  </si>
  <si>
    <t>On-Time Rate</t>
  </si>
  <si>
    <t>Arrival Delay Rate</t>
  </si>
  <si>
    <t>Cancellation Rate</t>
  </si>
  <si>
    <t>Operational findings</t>
  </si>
  <si>
    <t>2025 reliability</t>
  </si>
  <si>
    <t>On-time performance fell from 78.2% in 2023 to 76.3% in 2025 while the arrival-delay rate rose from 20.3% to 21.9%.</t>
  </si>
  <si>
    <t>Later-day risk</t>
  </si>
  <si>
    <t>Evening flights had a 28.7% observed delay rate and afternoon flights 27.5%, versus 13.4% in the morning across the full period.</t>
  </si>
  <si>
    <t>Delay propagation</t>
  </si>
  <si>
    <t>Late-aircraft delay was 39.2% of reported delay minutes in 2025, the largest reported category.</t>
  </si>
  <si>
    <t>High-volume diagnostics</t>
  </si>
  <si>
    <t>FLL, MIA, DFW, MCO, and CLT have elevated observed delay rates after the 5,000-departure threshold; comparisons require route/season context.</t>
  </si>
  <si>
    <t>Recommended operational focus (associational evidence, not causal claims)</t>
  </si>
  <si>
    <t>Recommendation</t>
  </si>
  <si>
    <t>Supporting finding</t>
  </si>
  <si>
    <t>Recommended action</t>
  </si>
  <si>
    <t>Limitation</t>
  </si>
  <si>
    <t>Protect later-day operations</t>
  </si>
  <si>
    <t>Later-day observed delay rates are roughly double morning levels.</t>
  </si>
  <si>
    <t>Prioritize recovery buffers, turn-time monitoring, and constrained-airport playbooks for afternoon/evening banks.</t>
  </si>
  <si>
    <t>Time of day is correlated with route mix, weather, and schedule design.</t>
  </si>
  <si>
    <t>Reduce delay propagation</t>
  </si>
  <si>
    <t>Late-aircraft delay was 39.2% of reported 2025 delay minutes.</t>
  </si>
  <si>
    <t>Review aircraft rotations, crew options, and connection-risk routes for recovery opportunities.</t>
  </si>
  <si>
    <t>Reported cause categories are operational classifications, not experiments.</t>
  </si>
  <si>
    <t>Use thresholded airport reviews</t>
  </si>
  <si>
    <t>DFW and CLT combine high volume with elevated observed delay rates.</t>
  </si>
  <si>
    <t>Segment reviews by departure period, season, carrier, and route before allocating resources.</t>
  </si>
  <si>
    <t>Airport comparisons reflect traffic, weather, and route-mix differences.</t>
  </si>
  <si>
    <t>Monitor cancellations separately</t>
  </si>
  <si>
    <t>ASE 6.61%; LGA 2.70%; EWR 2.61%; DCA 2.33% cancellation rates.</t>
  </si>
  <si>
    <t>Maintain separate cancellation/diversion controls alongside delay monitoring.</t>
  </si>
  <si>
    <t>Local weather, airport constraints, and airline schedules differ.</t>
  </si>
  <si>
    <t>Delay Drivers</t>
  </si>
  <si>
    <t>Reported delay-minute causes and departure-period patterns. Reported cause minutes apply to delayed operations and are not a causal experiment.</t>
  </si>
  <si>
    <t>Year</t>
  </si>
  <si>
    <t>Carrier Minutes</t>
  </si>
  <si>
    <t>Weather Minutes</t>
  </si>
  <si>
    <t>NAS Minutes</t>
  </si>
  <si>
    <t>Security Minutes</t>
  </si>
  <si>
    <t>Late Aircraft Minutes</t>
  </si>
  <si>
    <t>Total Reported Delay Minutes</t>
  </si>
  <si>
    <t>2025 Cause</t>
  </si>
  <si>
    <t>Share of Reported Delay Minutes</t>
  </si>
  <si>
    <t>Month</t>
  </si>
  <si>
    <t>Departure Period</t>
  </si>
  <si>
    <t>Flights</t>
  </si>
  <si>
    <t>Delay Rate</t>
  </si>
  <si>
    <t>Mean Arrival Delay (min)</t>
  </si>
  <si>
    <t>Late Aircraft</t>
  </si>
  <si>
    <t>Afternoon</t>
  </si>
  <si>
    <t>Carrier</t>
  </si>
  <si>
    <t>Evening</t>
  </si>
  <si>
    <t>NAS</t>
  </si>
  <si>
    <t>Midday</t>
  </si>
  <si>
    <t>Weather</t>
  </si>
  <si>
    <t>Morning</t>
  </si>
  <si>
    <t>Security</t>
  </si>
  <si>
    <t>Overnight</t>
  </si>
  <si>
    <t>Key pattern: observed delay risk increases later in the day. Across 2023–2025, evening was 28.7%, afternoon 27.5%, midday 20.6%, morning 13.4%, and overnight 9.7%.</t>
  </si>
  <si>
    <t>Unknown</t>
  </si>
  <si>
    <t>Airport Analysis</t>
  </si>
  <si>
    <t>Airport-level observed performance. The source table includes origins with at least 5,000 scheduled departures; use volume and context before interpreting differences.</t>
  </si>
  <si>
    <t>Airport lookup (editable)</t>
  </si>
  <si>
    <t>Airport code</t>
  </si>
  <si>
    <t>EVV</t>
  </si>
  <si>
    <t>City</t>
  </si>
  <si>
    <t>Departures</t>
  </si>
  <si>
    <t>Delay rate</t>
  </si>
  <si>
    <t>Cancellation rate</t>
  </si>
  <si>
    <t>Mean arrival delay</t>
  </si>
  <si>
    <t>Airport</t>
  </si>
  <si>
    <t>State</t>
  </si>
  <si>
    <t>Diversion Rate</t>
  </si>
  <si>
    <t>ASE</t>
  </si>
  <si>
    <t>Aspen, CO</t>
  </si>
  <si>
    <t>CO</t>
  </si>
  <si>
    <t>FLL</t>
  </si>
  <si>
    <t>Fort Lauderdale, FL</t>
  </si>
  <si>
    <t>FL</t>
  </si>
  <si>
    <t>EGE</t>
  </si>
  <si>
    <t>Eagle, CO</t>
  </si>
  <si>
    <t>MIA</t>
  </si>
  <si>
    <t>Miami, FL</t>
  </si>
  <si>
    <t>SFB</t>
  </si>
  <si>
    <t>Sanford, FL</t>
  </si>
  <si>
    <t>DFW</t>
  </si>
  <si>
    <t>Dallas/Fort Worth, TX</t>
  </si>
  <si>
    <t>TX</t>
  </si>
  <si>
    <t>HDN</t>
  </si>
  <si>
    <t>Hayden, CO</t>
  </si>
  <si>
    <t>Interpretation guardrail: this is a thresholded operational-screening list, not an airport-quality ranking. Compare within season, departure period, carrier, and route before taking action.</t>
  </si>
  <si>
    <t>MCO</t>
  </si>
  <si>
    <t>Orlando, FL</t>
  </si>
  <si>
    <t>BQN</t>
  </si>
  <si>
    <t>Aguadilla, PR</t>
  </si>
  <si>
    <t>PR</t>
  </si>
  <si>
    <t>CLT</t>
  </si>
  <si>
    <t>Charlotte, NC</t>
  </si>
  <si>
    <t>NC</t>
  </si>
  <si>
    <t>DEN</t>
  </si>
  <si>
    <t>Denver, CO</t>
  </si>
  <si>
    <t>SJU</t>
  </si>
  <si>
    <t>San Juan, PR</t>
  </si>
  <si>
    <t>TVC</t>
  </si>
  <si>
    <t>Traverse City, MI</t>
  </si>
  <si>
    <t>MI</t>
  </si>
  <si>
    <t>JAC</t>
  </si>
  <si>
    <t>Jackson, WY</t>
  </si>
  <si>
    <t>WY</t>
  </si>
  <si>
    <t>FNT</t>
  </si>
  <si>
    <t>Flint, MI</t>
  </si>
  <si>
    <t>BWI</t>
  </si>
  <si>
    <t>Baltimore, MD</t>
  </si>
  <si>
    <t>MD</t>
  </si>
  <si>
    <t>ORD</t>
  </si>
  <si>
    <t>Chicago, IL</t>
  </si>
  <si>
    <t>IL</t>
  </si>
  <si>
    <t>PBI</t>
  </si>
  <si>
    <t>West Palm Beach/Palm Beach, FL</t>
  </si>
  <si>
    <t>FWA</t>
  </si>
  <si>
    <t>Fort Wayne, IN</t>
  </si>
  <si>
    <t>IN</t>
  </si>
  <si>
    <t>TTN</t>
  </si>
  <si>
    <t>Trenton, NJ</t>
  </si>
  <si>
    <t>NJ</t>
  </si>
  <si>
    <t>EYW</t>
  </si>
  <si>
    <t>Key West, FL</t>
  </si>
  <si>
    <t>LAS</t>
  </si>
  <si>
    <t>Las Vegas, NV</t>
  </si>
  <si>
    <t>NV</t>
  </si>
  <si>
    <t>IAH</t>
  </si>
  <si>
    <t>Houston, TX</t>
  </si>
  <si>
    <t>MDW</t>
  </si>
  <si>
    <t>PHL</t>
  </si>
  <si>
    <t>Philadelphia, PA</t>
  </si>
  <si>
    <t>PA</t>
  </si>
  <si>
    <t>EWR</t>
  </si>
  <si>
    <t>Newark, NJ</t>
  </si>
  <si>
    <t>PIA</t>
  </si>
  <si>
    <t>Peoria, IL</t>
  </si>
  <si>
    <t>AVL</t>
  </si>
  <si>
    <t>Asheville, NC</t>
  </si>
  <si>
    <t>CRW</t>
  </si>
  <si>
    <t>Charleston/Dunbar, WV</t>
  </si>
  <si>
    <t>WV</t>
  </si>
  <si>
    <t>JFK</t>
  </si>
  <si>
    <t>New York, NY</t>
  </si>
  <si>
    <t>NY</t>
  </si>
  <si>
    <t>COU</t>
  </si>
  <si>
    <t>Columbia, MO</t>
  </si>
  <si>
    <t>MO</t>
  </si>
  <si>
    <t>STS</t>
  </si>
  <si>
    <t>Santa Rosa, CA</t>
  </si>
  <si>
    <t>CA</t>
  </si>
  <si>
    <t>SGF</t>
  </si>
  <si>
    <t>Springfield, MO</t>
  </si>
  <si>
    <t>DAL</t>
  </si>
  <si>
    <t>Dallas, TX</t>
  </si>
  <si>
    <t>BOS</t>
  </si>
  <si>
    <t>Boston, MA</t>
  </si>
  <si>
    <t>MA</t>
  </si>
  <si>
    <t>ISP</t>
  </si>
  <si>
    <t>Islip, NY</t>
  </si>
  <si>
    <t>ACV</t>
  </si>
  <si>
    <t>Arcata/Eureka, CA</t>
  </si>
  <si>
    <t>MGM</t>
  </si>
  <si>
    <t>Montgomery, AL</t>
  </si>
  <si>
    <t>AL</t>
  </si>
  <si>
    <t>STT</t>
  </si>
  <si>
    <t>Charlotte Amalie, VI</t>
  </si>
  <si>
    <t>VI</t>
  </si>
  <si>
    <t>XWA</t>
  </si>
  <si>
    <t>Williston, ND</t>
  </si>
  <si>
    <t>ND</t>
  </si>
  <si>
    <t>SBN</t>
  </si>
  <si>
    <t>South Bend, IN</t>
  </si>
  <si>
    <t>PIE</t>
  </si>
  <si>
    <t>St. Petersburg, FL</t>
  </si>
  <si>
    <t>SAN</t>
  </si>
  <si>
    <t>San Diego, CA</t>
  </si>
  <si>
    <t>PVU</t>
  </si>
  <si>
    <t>Provo, UT</t>
  </si>
  <si>
    <t>UT</t>
  </si>
  <si>
    <t>MTJ</t>
  </si>
  <si>
    <t>Montrose/Delta, CO</t>
  </si>
  <si>
    <t>AUS</t>
  </si>
  <si>
    <t>Austin, TX</t>
  </si>
  <si>
    <t>SAF</t>
  </si>
  <si>
    <t>Santa Fe, NM</t>
  </si>
  <si>
    <t>NM</t>
  </si>
  <si>
    <t>CAK</t>
  </si>
  <si>
    <t>Akron, OH</t>
  </si>
  <si>
    <t>OH</t>
  </si>
  <si>
    <t>FSD</t>
  </si>
  <si>
    <t>Sioux Falls, SD</t>
  </si>
  <si>
    <t>SD</t>
  </si>
  <si>
    <t>PGD</t>
  </si>
  <si>
    <t>Punta Gorda, FL</t>
  </si>
  <si>
    <t>TPA</t>
  </si>
  <si>
    <t>Tampa, FL</t>
  </si>
  <si>
    <t>DCA</t>
  </si>
  <si>
    <t>Washington, DC</t>
  </si>
  <si>
    <t>VA</t>
  </si>
  <si>
    <t>ATW</t>
  </si>
  <si>
    <t>Appleton, WI</t>
  </si>
  <si>
    <t>WI</t>
  </si>
  <si>
    <t>LNK</t>
  </si>
  <si>
    <t>Lincoln, NE</t>
  </si>
  <si>
    <t>NE</t>
  </si>
  <si>
    <t>ROA</t>
  </si>
  <si>
    <t>Roanoke, VA</t>
  </si>
  <si>
    <t>SEA</t>
  </si>
  <si>
    <t>Seattle, WA</t>
  </si>
  <si>
    <t>WA</t>
  </si>
  <si>
    <t>ATL</t>
  </si>
  <si>
    <t>Atlanta, GA</t>
  </si>
  <si>
    <t>GA</t>
  </si>
  <si>
    <t>MSY</t>
  </si>
  <si>
    <t>New Orleans, LA</t>
  </si>
  <si>
    <t>LA</t>
  </si>
  <si>
    <t>HPN</t>
  </si>
  <si>
    <t>White Plains, NY</t>
  </si>
  <si>
    <t>SFO</t>
  </si>
  <si>
    <t>San Francisco, CA</t>
  </si>
  <si>
    <t>BZN</t>
  </si>
  <si>
    <t>Bozeman, MT</t>
  </si>
  <si>
    <t>MT</t>
  </si>
  <si>
    <t>AGS</t>
  </si>
  <si>
    <t>Augusta, GA</t>
  </si>
  <si>
    <t>BNA</t>
  </si>
  <si>
    <t>Nashville, TN</t>
  </si>
  <si>
    <t>TN</t>
  </si>
  <si>
    <t>STL</t>
  </si>
  <si>
    <t>St. Louis, MO</t>
  </si>
  <si>
    <t>SHV</t>
  </si>
  <si>
    <t>Shreveport, LA</t>
  </si>
  <si>
    <t>BDL</t>
  </si>
  <si>
    <t>Hartford, CT</t>
  </si>
  <si>
    <t>CT</t>
  </si>
  <si>
    <t>MBS</t>
  </si>
  <si>
    <t>Saginaw/Bay City/Midland, MI</t>
  </si>
  <si>
    <t>CID</t>
  </si>
  <si>
    <t>Cedar Rapids/Iowa City, IA</t>
  </si>
  <si>
    <t>IA</t>
  </si>
  <si>
    <t>RAP</t>
  </si>
  <si>
    <t>Rapid City, SD</t>
  </si>
  <si>
    <t>HSV</t>
  </si>
  <si>
    <t>Huntsville, AL</t>
  </si>
  <si>
    <t>RDU</t>
  </si>
  <si>
    <t>Raleigh/Durham, NC</t>
  </si>
  <si>
    <t>RSW</t>
  </si>
  <si>
    <t>Fort Myers, FL</t>
  </si>
  <si>
    <t>BGR</t>
  </si>
  <si>
    <t>Bangor, ME</t>
  </si>
  <si>
    <t>ME</t>
  </si>
  <si>
    <t>LGA</t>
  </si>
  <si>
    <t>HHH</t>
  </si>
  <si>
    <t>Hilton Head, SC</t>
  </si>
  <si>
    <t>SC</t>
  </si>
  <si>
    <t>LIT</t>
  </si>
  <si>
    <t>Little Rock, AR</t>
  </si>
  <si>
    <t>AR</t>
  </si>
  <si>
    <t>CPR</t>
  </si>
  <si>
    <t>Casper, WY</t>
  </si>
  <si>
    <t>HOU</t>
  </si>
  <si>
    <t>RIC</t>
  </si>
  <si>
    <t>Richmond, VA</t>
  </si>
  <si>
    <t>DRO</t>
  </si>
  <si>
    <t>Durango, CO</t>
  </si>
  <si>
    <t>BTV</t>
  </si>
  <si>
    <t>Burlington, VT</t>
  </si>
  <si>
    <t>VT</t>
  </si>
  <si>
    <t>MFE</t>
  </si>
  <si>
    <t>Mission/McAllen/Edinburg, TX</t>
  </si>
  <si>
    <t>SBP</t>
  </si>
  <si>
    <t>San Luis Obispo, CA</t>
  </si>
  <si>
    <t>AVP</t>
  </si>
  <si>
    <t>Scranton/Wilkes-Barre, PA</t>
  </si>
  <si>
    <t>JAX</t>
  </si>
  <si>
    <t>Jacksonville, FL</t>
  </si>
  <si>
    <t>GRK</t>
  </si>
  <si>
    <t>Killeen, TX</t>
  </si>
  <si>
    <t>CHA</t>
  </si>
  <si>
    <t>Chattanooga, TN</t>
  </si>
  <si>
    <t>BUF</t>
  </si>
  <si>
    <t>Buffalo, NY</t>
  </si>
  <si>
    <t>Evansville, IN</t>
  </si>
  <si>
    <t>COS</t>
  </si>
  <si>
    <t>Colorado Springs, CO</t>
  </si>
  <si>
    <t>ALB</t>
  </si>
  <si>
    <t>Albany, NY</t>
  </si>
  <si>
    <t>MSO</t>
  </si>
  <si>
    <t>Missoula, MT</t>
  </si>
  <si>
    <t>ORF</t>
  </si>
  <si>
    <t>Norfolk, VA</t>
  </si>
  <si>
    <t>GRR</t>
  </si>
  <si>
    <t>Grand Rapids, MI</t>
  </si>
  <si>
    <t>SYR</t>
  </si>
  <si>
    <t>Syracuse, NY</t>
  </si>
  <si>
    <t>LFT</t>
  </si>
  <si>
    <t>Lafayette, LA</t>
  </si>
  <si>
    <t>XNA</t>
  </si>
  <si>
    <t>Fayetteville, AR</t>
  </si>
  <si>
    <t>MLI</t>
  </si>
  <si>
    <t>Moline, IL</t>
  </si>
  <si>
    <t>BIS</t>
  </si>
  <si>
    <t>Bismarck/Mandan, ND</t>
  </si>
  <si>
    <t>FAR</t>
  </si>
  <si>
    <t>Fargo, ND</t>
  </si>
  <si>
    <t>ECP</t>
  </si>
  <si>
    <t>Panama City, FL</t>
  </si>
  <si>
    <t>MOT</t>
  </si>
  <si>
    <t>Minot, ND</t>
  </si>
  <si>
    <t>SRQ</t>
  </si>
  <si>
    <t>Sarasota/Bradenton, FL</t>
  </si>
  <si>
    <t>PVD</t>
  </si>
  <si>
    <t>Providence, RI</t>
  </si>
  <si>
    <t>RI</t>
  </si>
  <si>
    <t>DTW</t>
  </si>
  <si>
    <t>Detroit, MI</t>
  </si>
  <si>
    <t>DSM</t>
  </si>
  <si>
    <t>Des Moines, IA</t>
  </si>
  <si>
    <t>PHX</t>
  </si>
  <si>
    <t>Phoenix, AZ</t>
  </si>
  <si>
    <t>AZ</t>
  </si>
  <si>
    <t>PWM</t>
  </si>
  <si>
    <t>Portland, ME</t>
  </si>
  <si>
    <t>CVG</t>
  </si>
  <si>
    <t>Cincinnati, OH</t>
  </si>
  <si>
    <t>KY</t>
  </si>
  <si>
    <t>LEX</t>
  </si>
  <si>
    <t>Lexington, KY</t>
  </si>
  <si>
    <t>SAV</t>
  </si>
  <si>
    <t>Savannah, GA</t>
  </si>
  <si>
    <t>CHO</t>
  </si>
  <si>
    <t>Charlottesville, VA</t>
  </si>
  <si>
    <t>TYS</t>
  </si>
  <si>
    <t>Knoxville, TN</t>
  </si>
  <si>
    <t>CHS</t>
  </si>
  <si>
    <t>Charleston, SC</t>
  </si>
  <si>
    <t>PNS</t>
  </si>
  <si>
    <t>Pensacola, FL</t>
  </si>
  <si>
    <t>IAD</t>
  </si>
  <si>
    <t>ROC</t>
  </si>
  <si>
    <t>Rochester, NY</t>
  </si>
  <si>
    <t>ICT</t>
  </si>
  <si>
    <t>Wichita, KS</t>
  </si>
  <si>
    <t>KS</t>
  </si>
  <si>
    <t>MCI</t>
  </si>
  <si>
    <t>Kansas City, MO</t>
  </si>
  <si>
    <t>MDT</t>
  </si>
  <si>
    <t>Harrisburg, PA</t>
  </si>
  <si>
    <t>VPS</t>
  </si>
  <si>
    <t>Valparaiso, FL</t>
  </si>
  <si>
    <t>CLE</t>
  </si>
  <si>
    <t>Cleveland, OH</t>
  </si>
  <si>
    <t>MKE</t>
  </si>
  <si>
    <t>Milwaukee, WI</t>
  </si>
  <si>
    <t>RNO</t>
  </si>
  <si>
    <t>Reno, NV</t>
  </si>
  <si>
    <t>GJT</t>
  </si>
  <si>
    <t>Grand Junction, CO</t>
  </si>
  <si>
    <t>MSN</t>
  </si>
  <si>
    <t>Madison, WI</t>
  </si>
  <si>
    <t>MYR</t>
  </si>
  <si>
    <t>Myrtle Beach, SC</t>
  </si>
  <si>
    <t>LAX</t>
  </si>
  <si>
    <t>Los Angeles, CA</t>
  </si>
  <si>
    <t>MEM</t>
  </si>
  <si>
    <t>Memphis, TN</t>
  </si>
  <si>
    <t>OKC</t>
  </si>
  <si>
    <t>Oklahoma City, OK</t>
  </si>
  <si>
    <t>OK</t>
  </si>
  <si>
    <t>MSP</t>
  </si>
  <si>
    <t>Minneapolis, MN</t>
  </si>
  <si>
    <t>MN</t>
  </si>
  <si>
    <t>BTR</t>
  </si>
  <si>
    <t>Baton Rouge, LA</t>
  </si>
  <si>
    <t>AMA</t>
  </si>
  <si>
    <t>Amarillo, TX</t>
  </si>
  <si>
    <t>GRB</t>
  </si>
  <si>
    <t>Green Bay, WI</t>
  </si>
  <si>
    <t>FCA</t>
  </si>
  <si>
    <t>Kalispell, MT</t>
  </si>
  <si>
    <t>BHM</t>
  </si>
  <si>
    <t>Birmingham, AL</t>
  </si>
  <si>
    <t>SNA</t>
  </si>
  <si>
    <t>Santa Ana, CA</t>
  </si>
  <si>
    <t>MHT</t>
  </si>
  <si>
    <t>Manchester, NH</t>
  </si>
  <si>
    <t>NH</t>
  </si>
  <si>
    <t>IDA</t>
  </si>
  <si>
    <t>Idaho Falls, ID</t>
  </si>
  <si>
    <t>ID</t>
  </si>
  <si>
    <t>OAK</t>
  </si>
  <si>
    <t>Oakland, CA</t>
  </si>
  <si>
    <t>SBA</t>
  </si>
  <si>
    <t>Santa Barbara, CA</t>
  </si>
  <si>
    <t>ACY</t>
  </si>
  <si>
    <t>Atlantic City, NJ</t>
  </si>
  <si>
    <t>PSP</t>
  </si>
  <si>
    <t>Palm Springs, CA</t>
  </si>
  <si>
    <t>OMA</t>
  </si>
  <si>
    <t>Omaha, NE</t>
  </si>
  <si>
    <t>IND</t>
  </si>
  <si>
    <t>Indianapolis, IN</t>
  </si>
  <si>
    <t>SDF</t>
  </si>
  <si>
    <t>Louisville, KY</t>
  </si>
  <si>
    <t>FAT</t>
  </si>
  <si>
    <t>Fresno, CA</t>
  </si>
  <si>
    <t>CMH</t>
  </si>
  <si>
    <t>Columbus, OH</t>
  </si>
  <si>
    <t>SAT</t>
  </si>
  <si>
    <t>San Antonio, TX</t>
  </si>
  <si>
    <t>BUR</t>
  </si>
  <si>
    <t>Burbank, CA</t>
  </si>
  <si>
    <t>CAE</t>
  </si>
  <si>
    <t>Columbia, SC</t>
  </si>
  <si>
    <t>PIT</t>
  </si>
  <si>
    <t>Pittsburgh, PA</t>
  </si>
  <si>
    <t>BMI</t>
  </si>
  <si>
    <t>Bloomington/Normal, IL</t>
  </si>
  <si>
    <t>DAY</t>
  </si>
  <si>
    <t>Dayton, OH</t>
  </si>
  <si>
    <t>ILM</t>
  </si>
  <si>
    <t>Wilmington, NC</t>
  </si>
  <si>
    <t>DLH</t>
  </si>
  <si>
    <t>Duluth, MN</t>
  </si>
  <si>
    <t>LBB</t>
  </si>
  <si>
    <t>Lubbock, TX</t>
  </si>
  <si>
    <t>ABQ</t>
  </si>
  <si>
    <t>Albuquerque, NM</t>
  </si>
  <si>
    <t>BIL</t>
  </si>
  <si>
    <t>Billings, MT</t>
  </si>
  <si>
    <t>MRY</t>
  </si>
  <si>
    <t>Monterey, CA</t>
  </si>
  <si>
    <t>RDM</t>
  </si>
  <si>
    <t>Bend/Redmond, OR</t>
  </si>
  <si>
    <t>OR</t>
  </si>
  <si>
    <t>EUG</t>
  </si>
  <si>
    <t>Eugene, OR</t>
  </si>
  <si>
    <t>TLH</t>
  </si>
  <si>
    <t>Tallahassee, FL</t>
  </si>
  <si>
    <t>MOB</t>
  </si>
  <si>
    <t>Mobile, AL</t>
  </si>
  <si>
    <t>PDX</t>
  </si>
  <si>
    <t>Portland, OR</t>
  </si>
  <si>
    <t>ELP</t>
  </si>
  <si>
    <t>El Paso, TX</t>
  </si>
  <si>
    <t>GSP</t>
  </si>
  <si>
    <t>Greer, SC</t>
  </si>
  <si>
    <t>SMF</t>
  </si>
  <si>
    <t>Sacramento, CA</t>
  </si>
  <si>
    <t>TUL</t>
  </si>
  <si>
    <t>Tulsa, OK</t>
  </si>
  <si>
    <t>GSO</t>
  </si>
  <si>
    <t>Greensboro/High Point, NC</t>
  </si>
  <si>
    <t>SLC</t>
  </si>
  <si>
    <t>Salt Lake City, UT</t>
  </si>
  <si>
    <t>ANC</t>
  </si>
  <si>
    <t>Anchorage, AK</t>
  </si>
  <si>
    <t>AK</t>
  </si>
  <si>
    <t>ONT</t>
  </si>
  <si>
    <t>Ontario, CA</t>
  </si>
  <si>
    <t>FAI</t>
  </si>
  <si>
    <t>Fairbanks, AK</t>
  </si>
  <si>
    <t>ABE</t>
  </si>
  <si>
    <t>Allentown/Bethlehem/Easton, PA</t>
  </si>
  <si>
    <t>MAF</t>
  </si>
  <si>
    <t>Midland/Odessa, TX</t>
  </si>
  <si>
    <t>AZA</t>
  </si>
  <si>
    <t>KTN</t>
  </si>
  <si>
    <t>Ketchikan, AK</t>
  </si>
  <si>
    <t>FLG</t>
  </si>
  <si>
    <t>Flagstaff, AZ</t>
  </si>
  <si>
    <t>JAN</t>
  </si>
  <si>
    <t>Jackson/Vicksburg, MS</t>
  </si>
  <si>
    <t>MS</t>
  </si>
  <si>
    <t>TRI</t>
  </si>
  <si>
    <t>Bristol/Johnson City/Kingsport, TN</t>
  </si>
  <si>
    <t>BOI</t>
  </si>
  <si>
    <t>Boise, ID</t>
  </si>
  <si>
    <t>OGG</t>
  </si>
  <si>
    <t>Kahului, HI</t>
  </si>
  <si>
    <t>HI</t>
  </si>
  <si>
    <t>SJC</t>
  </si>
  <si>
    <t>San Jose, CA</t>
  </si>
  <si>
    <t>BFL</t>
  </si>
  <si>
    <t>Bakersfield, CA</t>
  </si>
  <si>
    <t>MLB</t>
  </si>
  <si>
    <t>Melbourne, FL</t>
  </si>
  <si>
    <t>HNL</t>
  </si>
  <si>
    <t>Honolulu, HI</t>
  </si>
  <si>
    <t>TUS</t>
  </si>
  <si>
    <t>Tucson, AZ</t>
  </si>
  <si>
    <t>HRL</t>
  </si>
  <si>
    <t>Harlingen/San Benito, TX</t>
  </si>
  <si>
    <t>BLI</t>
  </si>
  <si>
    <t>Bellingham, WA</t>
  </si>
  <si>
    <t>LGB</t>
  </si>
  <si>
    <t>Long Beach, CA</t>
  </si>
  <si>
    <t>CRP</t>
  </si>
  <si>
    <t>Corpus Christi, TX</t>
  </si>
  <si>
    <t>GEG</t>
  </si>
  <si>
    <t>Spokane, WA</t>
  </si>
  <si>
    <t>GPT</t>
  </si>
  <si>
    <t>Gulfport/Biloxi, MS</t>
  </si>
  <si>
    <t>DAB</t>
  </si>
  <si>
    <t>Daytona Beach, FL</t>
  </si>
  <si>
    <t>JNU</t>
  </si>
  <si>
    <t>Juneau, AK</t>
  </si>
  <si>
    <t>LIH</t>
  </si>
  <si>
    <t>Lihue, HI</t>
  </si>
  <si>
    <t>GNV</t>
  </si>
  <si>
    <t>Gainesville, FL</t>
  </si>
  <si>
    <t>MFR</t>
  </si>
  <si>
    <t>Medford, OR</t>
  </si>
  <si>
    <t>SUN</t>
  </si>
  <si>
    <t>Sun Valley/Hailey/Ketchum, ID</t>
  </si>
  <si>
    <t>SGU</t>
  </si>
  <si>
    <t>St. George, UT</t>
  </si>
  <si>
    <t>KOA</t>
  </si>
  <si>
    <t>Kona, HI</t>
  </si>
  <si>
    <t>PSC</t>
  </si>
  <si>
    <t>Pasco/Kennewick/Richland, WA</t>
  </si>
  <si>
    <t>YUM</t>
  </si>
  <si>
    <t>Yuma, AZ</t>
  </si>
  <si>
    <t>GTF</t>
  </si>
  <si>
    <t>Great Falls, MT</t>
  </si>
  <si>
    <t>ITO</t>
  </si>
  <si>
    <t>Hilo, HI</t>
  </si>
  <si>
    <t>Carrier and Route Analysis</t>
  </si>
  <si>
    <t>Carrier comparison uses route-month peer controls with a 100-flight carrier cell threshold; route performance uses a 1,000-flight threshold.</t>
  </si>
  <si>
    <t>Comparable Flights</t>
  </si>
  <si>
    <t>Comparable Delay Rate</t>
  </si>
  <si>
    <t>Route-Month Peer Rate</t>
  </si>
  <si>
    <t>Relative Delay Rate</t>
  </si>
  <si>
    <t>Route</t>
  </si>
  <si>
    <t>Origin</t>
  </si>
  <si>
    <t>Destination</t>
  </si>
  <si>
    <t>WN</t>
  </si>
  <si>
    <t>DFW-SYR</t>
  </si>
  <si>
    <t>DL</t>
  </si>
  <si>
    <t>DFW-MDT</t>
  </si>
  <si>
    <t>AA</t>
  </si>
  <si>
    <t>DCA-AUS</t>
  </si>
  <si>
    <t>UA</t>
  </si>
  <si>
    <t>DEN-BUF</t>
  </si>
  <si>
    <t>OO</t>
  </si>
  <si>
    <t>BDL-SJU</t>
  </si>
  <si>
    <t>YX</t>
  </si>
  <si>
    <t>SCK-LAS</t>
  </si>
  <si>
    <t>SCK</t>
  </si>
  <si>
    <t>B6</t>
  </si>
  <si>
    <t>DFW-GEG</t>
  </si>
  <si>
    <t>AS</t>
  </si>
  <si>
    <t>SNA-PVU</t>
  </si>
  <si>
    <t>MIA-MEM</t>
  </si>
  <si>
    <t>MQ</t>
  </si>
  <si>
    <t>DFW-BFL</t>
  </si>
  <si>
    <t>HA</t>
  </si>
  <si>
    <t>DFW-BUF</t>
  </si>
  <si>
    <t>NK</t>
  </si>
  <si>
    <t>SJU-BDL</t>
  </si>
  <si>
    <t>9E</t>
  </si>
  <si>
    <t>EYW-DFW</t>
  </si>
  <si>
    <t>F9</t>
  </si>
  <si>
    <t>PHL-SJU</t>
  </si>
  <si>
    <t>ASE-ATL</t>
  </si>
  <si>
    <t>FLL-TYS</t>
  </si>
  <si>
    <t>DFW-MSN</t>
  </si>
  <si>
    <t>JFK-BQN</t>
  </si>
  <si>
    <t>SRQ-DFW</t>
  </si>
  <si>
    <t>FLL-ALB</t>
  </si>
  <si>
    <t>SJU-DCA</t>
  </si>
  <si>
    <t>FLL-SAN</t>
  </si>
  <si>
    <t>ASE-IAH</t>
  </si>
  <si>
    <t>SAT-BOS</t>
  </si>
  <si>
    <t>DEN-MLI</t>
  </si>
  <si>
    <t>IAH-JFK</t>
  </si>
  <si>
    <t>DFW-PBI</t>
  </si>
  <si>
    <t>MIA-MCI</t>
  </si>
  <si>
    <t>CLT-SFO</t>
  </si>
  <si>
    <t>DFW-BDL</t>
  </si>
  <si>
    <t>DFW-MCO</t>
  </si>
  <si>
    <t>SJU-PHL</t>
  </si>
  <si>
    <t>DFW-SFO</t>
  </si>
  <si>
    <t>FLL-RIC</t>
  </si>
  <si>
    <t>DFW-FAT</t>
  </si>
  <si>
    <t>SAN-FLL</t>
  </si>
  <si>
    <t>AVL-FLL</t>
  </si>
  <si>
    <t>DFW-MKE</t>
  </si>
  <si>
    <t>DFW-RSW</t>
  </si>
  <si>
    <t>MIA-SAN</t>
  </si>
  <si>
    <t>EWR-BQN</t>
  </si>
  <si>
    <t>ASE-SFO</t>
  </si>
  <si>
    <t>CLT-SMF</t>
  </si>
  <si>
    <t>FLL-PHX</t>
  </si>
  <si>
    <t>DFW-EYW</t>
  </si>
  <si>
    <t>RIC-MCO</t>
  </si>
  <si>
    <t>DFW-SAN</t>
  </si>
  <si>
    <t>FLL-AUS</t>
  </si>
  <si>
    <t>FLL-RDU</t>
  </si>
  <si>
    <t>BWI-SJU</t>
  </si>
  <si>
    <t>DFW-GSO</t>
  </si>
  <si>
    <t>FLL-JAX</t>
  </si>
  <si>
    <t>DFW-ANC</t>
  </si>
  <si>
    <t>DFW-SBA</t>
  </si>
  <si>
    <t>DEN-ORF</t>
  </si>
  <si>
    <t>FLL-PIT</t>
  </si>
  <si>
    <t>DFW-GRR</t>
  </si>
  <si>
    <t>EYW-PHL</t>
  </si>
  <si>
    <t>DFW-SMF</t>
  </si>
  <si>
    <t>FLL-AVL</t>
  </si>
  <si>
    <t>CLT-PDX</t>
  </si>
  <si>
    <t>FLL-BQN</t>
  </si>
  <si>
    <t>IAH-DSM</t>
  </si>
  <si>
    <t>MIA-RIC</t>
  </si>
  <si>
    <t>BOS-PBI</t>
  </si>
  <si>
    <t>FLL-PVD</t>
  </si>
  <si>
    <t>DEN-RIC</t>
  </si>
  <si>
    <t>ORD-ASE</t>
  </si>
  <si>
    <t>ORD-HSV</t>
  </si>
  <si>
    <t>DFW-CAE</t>
  </si>
  <si>
    <t>DFW-DSM</t>
  </si>
  <si>
    <t>IAH-ASE</t>
  </si>
  <si>
    <t>MIA-IND</t>
  </si>
  <si>
    <t>FCA-ORD</t>
  </si>
  <si>
    <t>DFW-ECP</t>
  </si>
  <si>
    <t>MIA-SAT</t>
  </si>
  <si>
    <t>DFW-MSY</t>
  </si>
  <si>
    <t>MIA-SEA</t>
  </si>
  <si>
    <t>LAS-SFO</t>
  </si>
  <si>
    <t>BET-ANC</t>
  </si>
  <si>
    <t>BET</t>
  </si>
  <si>
    <t>DFW-SAV</t>
  </si>
  <si>
    <t>DFW-PVU</t>
  </si>
  <si>
    <t>BOS-SJU</t>
  </si>
  <si>
    <t>DFW-LAS</t>
  </si>
  <si>
    <t>DCA-CAK</t>
  </si>
  <si>
    <t>TYS-FLL</t>
  </si>
  <si>
    <t>DCA-AGS</t>
  </si>
  <si>
    <t>ASE-ORD</t>
  </si>
  <si>
    <t>MCO-BQN</t>
  </si>
  <si>
    <t>IAH-HNL</t>
  </si>
  <si>
    <t>FLL-LAS</t>
  </si>
  <si>
    <t>DFW-SAT</t>
  </si>
  <si>
    <t>MDW-DFW</t>
  </si>
  <si>
    <t>EYW-ORD</t>
  </si>
  <si>
    <t>DFW-PNS</t>
  </si>
  <si>
    <t>EWR-SJU</t>
  </si>
  <si>
    <t>DFW-TPA</t>
  </si>
  <si>
    <t>MCO-PDX</t>
  </si>
  <si>
    <t>STT-SJU</t>
  </si>
  <si>
    <t>DFW-PDX</t>
  </si>
  <si>
    <t>BOS-FLL</t>
  </si>
  <si>
    <t>DFW-FSD</t>
  </si>
  <si>
    <t>DEN-SYR</t>
  </si>
  <si>
    <t>DFW-MDW</t>
  </si>
  <si>
    <t>DEN-SFO</t>
  </si>
  <si>
    <t>MIA-LAS</t>
  </si>
  <si>
    <t>IAH-PNS</t>
  </si>
  <si>
    <t>RDU-SJU</t>
  </si>
  <si>
    <t>LAS-SAN</t>
  </si>
  <si>
    <t>FLL-BOS</t>
  </si>
  <si>
    <t>BRW-ANC</t>
  </si>
  <si>
    <t>BRW</t>
  </si>
  <si>
    <t>SFB-AVL</t>
  </si>
  <si>
    <t>DFW-TYS</t>
  </si>
  <si>
    <t>SAN-SFO</t>
  </si>
  <si>
    <t>DFW-ONT</t>
  </si>
  <si>
    <t>SFO-ASE</t>
  </si>
  <si>
    <t>DFW-BOI</t>
  </si>
  <si>
    <t>DFW-BNA</t>
  </si>
  <si>
    <t>SFB-TYS</t>
  </si>
  <si>
    <t>MIA-CLE</t>
  </si>
  <si>
    <t>MDW-SEA</t>
  </si>
  <si>
    <t>DFW-JAX</t>
  </si>
  <si>
    <t>DTW-SBN</t>
  </si>
  <si>
    <t>CLT-CID</t>
  </si>
  <si>
    <t>DFW-SJU</t>
  </si>
  <si>
    <t>MIA-SFO</t>
  </si>
  <si>
    <t>CLT-SEA</t>
  </si>
  <si>
    <t>DCA-LIT</t>
  </si>
  <si>
    <t>AZA-PVU</t>
  </si>
  <si>
    <t>DEN-OAK</t>
  </si>
  <si>
    <t>DEN-BDL</t>
  </si>
  <si>
    <t>BWI-SEA</t>
  </si>
  <si>
    <t>DFW-PHX</t>
  </si>
  <si>
    <t>DFW-MCI</t>
  </si>
  <si>
    <t>JFK-SJU</t>
  </si>
  <si>
    <t>DFW-MIA</t>
  </si>
  <si>
    <t>FLL-BDL</t>
  </si>
  <si>
    <t>MIA-SDF</t>
  </si>
  <si>
    <t>BOS-MCO</t>
  </si>
  <si>
    <t>GRR-DFW</t>
  </si>
  <si>
    <t>MCO-HPN</t>
  </si>
  <si>
    <t>PBI-DFW</t>
  </si>
  <si>
    <t>DFW-BOS</t>
  </si>
  <si>
    <t>FLL-IND</t>
  </si>
  <si>
    <t>MCO-SAN</t>
  </si>
  <si>
    <t>PIE-CVG</t>
  </si>
  <si>
    <t>DFW-OMA</t>
  </si>
  <si>
    <t>TPA-HPN</t>
  </si>
  <si>
    <t>DFW-RDU</t>
  </si>
  <si>
    <t>PNS-DEN</t>
  </si>
  <si>
    <t>SFB-CVG</t>
  </si>
  <si>
    <t>HSV-ORD</t>
  </si>
  <si>
    <t>DFW-DEN</t>
  </si>
  <si>
    <t>JFK-PBI</t>
  </si>
  <si>
    <t>HNL-ONT</t>
  </si>
  <si>
    <t>JFK-MCO</t>
  </si>
  <si>
    <t>CLT-EWR</t>
  </si>
  <si>
    <t>IAH-OMA</t>
  </si>
  <si>
    <t>JAX-FLL</t>
  </si>
  <si>
    <t>DFW-ELP</t>
  </si>
  <si>
    <t>DFW-MRY</t>
  </si>
  <si>
    <t>DEN-BHM</t>
  </si>
  <si>
    <t>DEN-BOS</t>
  </si>
  <si>
    <t>DEN-JAX</t>
  </si>
  <si>
    <t>MIA-STL</t>
  </si>
  <si>
    <t>LAS-SDF</t>
  </si>
  <si>
    <t>MSY-BOS</t>
  </si>
  <si>
    <t>FLL-ORF</t>
  </si>
  <si>
    <t>DFW-SBP</t>
  </si>
  <si>
    <t>MIA-BOS</t>
  </si>
  <si>
    <t>DEN-MIA</t>
  </si>
  <si>
    <t>DFW-BWI</t>
  </si>
  <si>
    <t>AUS-ONT</t>
  </si>
  <si>
    <t>PNS-DFW</t>
  </si>
  <si>
    <t>HNL-PDX</t>
  </si>
  <si>
    <t>PIE-TYS</t>
  </si>
  <si>
    <t>DFW-EGE</t>
  </si>
  <si>
    <t>BGR-ORD</t>
  </si>
  <si>
    <t>MIA-DFW</t>
  </si>
  <si>
    <t>ORD-COS</t>
  </si>
  <si>
    <t>DFW-ABQ</t>
  </si>
  <si>
    <t>FLL-CMH</t>
  </si>
  <si>
    <t>MCO-DFW</t>
  </si>
  <si>
    <t>AUS-FLL</t>
  </si>
  <si>
    <t>SAV-BOS</t>
  </si>
  <si>
    <t>CLT-DCA</t>
  </si>
  <si>
    <t>DFW-CVG</t>
  </si>
  <si>
    <t>FLL-SJU</t>
  </si>
  <si>
    <t>DFW-GSP</t>
  </si>
  <si>
    <t>ASE-DFW</t>
  </si>
  <si>
    <t>CLT-MCO</t>
  </si>
  <si>
    <t>DFW-CHS</t>
  </si>
  <si>
    <t>ORD-ICT</t>
  </si>
  <si>
    <t>DEN-LBB</t>
  </si>
  <si>
    <t>DFW-IND</t>
  </si>
  <si>
    <t>ORD-JST</t>
  </si>
  <si>
    <t>JST</t>
  </si>
  <si>
    <t>PHL-PBI</t>
  </si>
  <si>
    <t>DFW-CID</t>
  </si>
  <si>
    <t>MIA-MSY</t>
  </si>
  <si>
    <t>ORD-RST</t>
  </si>
  <si>
    <t>RST</t>
  </si>
  <si>
    <t>MIA-ATL</t>
  </si>
  <si>
    <t>BWI-SYR</t>
  </si>
  <si>
    <t>MCO-SDF</t>
  </si>
  <si>
    <t>JAC-SFO</t>
  </si>
  <si>
    <t>MCO-MEM</t>
  </si>
  <si>
    <t>ATL-MIA</t>
  </si>
  <si>
    <t>ORD-CAK</t>
  </si>
  <si>
    <t>DFW-FLL</t>
  </si>
  <si>
    <t>How to use this page: first identify a high-volume exception, then compare it with route-month peer performance, seasons, departure periods, and cancellation/diversion patterns. Do not infer that a carrier, airport, or route caused a delay from descriptive rankings.</t>
  </si>
  <si>
    <t>JFK-IAH</t>
  </si>
  <si>
    <t>DEN-SDF</t>
  </si>
  <si>
    <t>MDW-PDX</t>
  </si>
  <si>
    <t>ORD-CHO</t>
  </si>
  <si>
    <t>MCO-PHL</t>
  </si>
  <si>
    <t>DFW-VPS</t>
  </si>
  <si>
    <t>DEN-ATW</t>
  </si>
  <si>
    <t>LAS-FLL</t>
  </si>
  <si>
    <t>SBP-DFW</t>
  </si>
  <si>
    <t>FLL-CLE</t>
  </si>
  <si>
    <t>DFW-IAH</t>
  </si>
  <si>
    <t>STL-SFO</t>
  </si>
  <si>
    <t>DFW-SRQ</t>
  </si>
  <si>
    <t>FLL-MSY</t>
  </si>
  <si>
    <t>ORD-FNT</t>
  </si>
  <si>
    <t>DFW-BUR</t>
  </si>
  <si>
    <t>ORD-TVC</t>
  </si>
  <si>
    <t>AUS-OAK</t>
  </si>
  <si>
    <t>PSP-SFO</t>
  </si>
  <si>
    <t>ATL-MCO</t>
  </si>
  <si>
    <t>MCI-OAK</t>
  </si>
  <si>
    <t>FLL-JFK</t>
  </si>
  <si>
    <t>MIA-BDL</t>
  </si>
  <si>
    <t>FLL-ATL</t>
  </si>
  <si>
    <t>EGE-DFW</t>
  </si>
  <si>
    <t>DFW-CLE</t>
  </si>
  <si>
    <t>ACK-JFK</t>
  </si>
  <si>
    <t>ACK</t>
  </si>
  <si>
    <t>MIA-TPA</t>
  </si>
  <si>
    <t>DFW-AUS</t>
  </si>
  <si>
    <t>FLL-DFW</t>
  </si>
  <si>
    <t>AVL-DFW</t>
  </si>
  <si>
    <t>PVD-PBI</t>
  </si>
  <si>
    <t>MIA-RDU</t>
  </si>
  <si>
    <t>MIA-CHS</t>
  </si>
  <si>
    <t>MDW-SJC</t>
  </si>
  <si>
    <t>ORD-MKE</t>
  </si>
  <si>
    <t>DFW-ORF</t>
  </si>
  <si>
    <t>DFW-MEM</t>
  </si>
  <si>
    <t>MIA-JFK</t>
  </si>
  <si>
    <t>DFW-TUS</t>
  </si>
  <si>
    <t>ORF-FLL</t>
  </si>
  <si>
    <t>BUF-FLL</t>
  </si>
  <si>
    <t>SJU-EWR</t>
  </si>
  <si>
    <t>PHX-FLL</t>
  </si>
  <si>
    <t>DFW-MYR</t>
  </si>
  <si>
    <t>SFO-STL</t>
  </si>
  <si>
    <t>PBI-BOS</t>
  </si>
  <si>
    <t>ORD-EWR</t>
  </si>
  <si>
    <t>PNS-FLL</t>
  </si>
  <si>
    <t>MCO-PSE</t>
  </si>
  <si>
    <t>PSE</t>
  </si>
  <si>
    <t>IAH-STL</t>
  </si>
  <si>
    <t>MCO-MCI</t>
  </si>
  <si>
    <t>JAC-DFW</t>
  </si>
  <si>
    <t>DFW-SEA</t>
  </si>
  <si>
    <t>PHX-MEM</t>
  </si>
  <si>
    <t>PHL-SEA</t>
  </si>
  <si>
    <t>SAN-HNL</t>
  </si>
  <si>
    <t>BWI-MCI</t>
  </si>
  <si>
    <t>BOS-RSW</t>
  </si>
  <si>
    <t>SYR-MCO</t>
  </si>
  <si>
    <t>SAT-JFK</t>
  </si>
  <si>
    <t>CLT-BUF</t>
  </si>
  <si>
    <t>FLL-DCA</t>
  </si>
  <si>
    <t>ORD-CMX</t>
  </si>
  <si>
    <t>CMX</t>
  </si>
  <si>
    <t>DFW-SLC</t>
  </si>
  <si>
    <t>FLL-ORD</t>
  </si>
  <si>
    <t>CHS-BOS</t>
  </si>
  <si>
    <t>LAX-SFO</t>
  </si>
  <si>
    <t>AVL-DCA</t>
  </si>
  <si>
    <t>IAH-CVG</t>
  </si>
  <si>
    <t>MDW-ORF</t>
  </si>
  <si>
    <t>ORD-FSD</t>
  </si>
  <si>
    <t>MCO-JFK</t>
  </si>
  <si>
    <t>EWR-IAD</t>
  </si>
  <si>
    <t>PDX-HNL</t>
  </si>
  <si>
    <t>MCO-SJU</t>
  </si>
  <si>
    <t>MIA-PIT</t>
  </si>
  <si>
    <t>DCA-TLH</t>
  </si>
  <si>
    <t>CRW-ORD</t>
  </si>
  <si>
    <t>DFW-MFE</t>
  </si>
  <si>
    <t>MCO-LAS</t>
  </si>
  <si>
    <t>MCO-BOS</t>
  </si>
  <si>
    <t>DEN-RDU</t>
  </si>
  <si>
    <t>DFW-CLT</t>
  </si>
  <si>
    <t>FNT-ORD</t>
  </si>
  <si>
    <t>DFW-PHL</t>
  </si>
  <si>
    <t>LGA-PBI</t>
  </si>
  <si>
    <t>CLT-LFT</t>
  </si>
  <si>
    <t>SAV-DEN</t>
  </si>
  <si>
    <t>DFW-PSP</t>
  </si>
  <si>
    <t>MIA-EWR</t>
  </si>
  <si>
    <t>FLL-MCI</t>
  </si>
  <si>
    <t>AMA-DEN</t>
  </si>
  <si>
    <t>DCA-HPN</t>
  </si>
  <si>
    <t>MDW-ALB</t>
  </si>
  <si>
    <t>MDW-LAX</t>
  </si>
  <si>
    <t>DFW-RIC</t>
  </si>
  <si>
    <t>FLL-HPN</t>
  </si>
  <si>
    <t>CLT-SAT</t>
  </si>
  <si>
    <t>BWI-BUF</t>
  </si>
  <si>
    <t>MDW-SRQ</t>
  </si>
  <si>
    <t>PHL-MCO</t>
  </si>
  <si>
    <t>PBI-ORD</t>
  </si>
  <si>
    <t>DCA-PNS</t>
  </si>
  <si>
    <t>CLT-DSM</t>
  </si>
  <si>
    <t>SEA-SFO</t>
  </si>
  <si>
    <t>JFK-FLL</t>
  </si>
  <si>
    <t>DSM-DFW</t>
  </si>
  <si>
    <t>CLT-TPA</t>
  </si>
  <si>
    <t>LAS-TPA</t>
  </si>
  <si>
    <t>FLL-EWR</t>
  </si>
  <si>
    <t>MIA-LGA</t>
  </si>
  <si>
    <t>MDW-SMF</t>
  </si>
  <si>
    <t>PHX-SFO</t>
  </si>
  <si>
    <t>DFW-LAX</t>
  </si>
  <si>
    <t>MCO-RIC</t>
  </si>
  <si>
    <t>BUR-SFO</t>
  </si>
  <si>
    <t>CLT-DEN</t>
  </si>
  <si>
    <t>LAX-ASE</t>
  </si>
  <si>
    <t>MIA-LAX</t>
  </si>
  <si>
    <t>ORD-FWA</t>
  </si>
  <si>
    <t>DEN-PIT</t>
  </si>
  <si>
    <t>SAT-SEA</t>
  </si>
  <si>
    <t>DEN-DAL</t>
  </si>
  <si>
    <t>MCO-DAL</t>
  </si>
  <si>
    <t>MIA-AUS</t>
  </si>
  <si>
    <t>SNA-JFK</t>
  </si>
  <si>
    <t>ATL-FLL</t>
  </si>
  <si>
    <t>EWR-MSN</t>
  </si>
  <si>
    <t>CLT-PHL</t>
  </si>
  <si>
    <t>MKE-DFW</t>
  </si>
  <si>
    <t>IAD-EWR</t>
  </si>
  <si>
    <t>CLT-FLL</t>
  </si>
  <si>
    <t>ANC-DFW</t>
  </si>
  <si>
    <t>BQN-MCO</t>
  </si>
  <si>
    <t>SAN-SAT</t>
  </si>
  <si>
    <t>SEA-HNL</t>
  </si>
  <si>
    <t>PBI-PHL</t>
  </si>
  <si>
    <t>DEN-FLL</t>
  </si>
  <si>
    <t>MDW-OAK</t>
  </si>
  <si>
    <t>DFW-STL</t>
  </si>
  <si>
    <t>MIA-DAL</t>
  </si>
  <si>
    <t>MEM-DFW</t>
  </si>
  <si>
    <t>ORD-SBN</t>
  </si>
  <si>
    <t>MDW-BOS</t>
  </si>
  <si>
    <t>PBI-JFK</t>
  </si>
  <si>
    <t>MCO-TTN</t>
  </si>
  <si>
    <t>SBA-SFO</t>
  </si>
  <si>
    <t>DEN-LAS</t>
  </si>
  <si>
    <t>HOU-CMH</t>
  </si>
  <si>
    <t>BOS-TPA</t>
  </si>
  <si>
    <t>BOS-AUS</t>
  </si>
  <si>
    <t>CLT-OKC</t>
  </si>
  <si>
    <t>COD-DEN</t>
  </si>
  <si>
    <t>COD</t>
  </si>
  <si>
    <t>MIA-IAH</t>
  </si>
  <si>
    <t>ASE-DEN</t>
  </si>
  <si>
    <t>DEN-CMH</t>
  </si>
  <si>
    <t>DFW-CMH</t>
  </si>
  <si>
    <t>DAL-CLT</t>
  </si>
  <si>
    <t>FLL-MCO</t>
  </si>
  <si>
    <t>SDF-FLL</t>
  </si>
  <si>
    <t>LAS-MCO</t>
  </si>
  <si>
    <t>CLT-CLE</t>
  </si>
  <si>
    <t>MIA-DTW</t>
  </si>
  <si>
    <t>DFW-SJC</t>
  </si>
  <si>
    <t>FWA-ORD</t>
  </si>
  <si>
    <t>AUS-BOS</t>
  </si>
  <si>
    <t>MDW-ROC</t>
  </si>
  <si>
    <t>ATL-ASE</t>
  </si>
  <si>
    <t>CLT-IND</t>
  </si>
  <si>
    <t>FLL-SEA</t>
  </si>
  <si>
    <t>LAS-PSP</t>
  </si>
  <si>
    <t>IAH-MCI</t>
  </si>
  <si>
    <t>ATL-EWR</t>
  </si>
  <si>
    <t>DFW-EWR</t>
  </si>
  <si>
    <t>DEN-ONT</t>
  </si>
  <si>
    <t>SRQ-ORD</t>
  </si>
  <si>
    <t>DEN-PHL</t>
  </si>
  <si>
    <t>CLT-LGA</t>
  </si>
  <si>
    <t>EWR-MCI</t>
  </si>
  <si>
    <t>RSW-DFW</t>
  </si>
  <si>
    <t>ORD-COU</t>
  </si>
  <si>
    <t>DEN-SBP</t>
  </si>
  <si>
    <t>ISP-TPA</t>
  </si>
  <si>
    <t>MIA-BNA</t>
  </si>
  <si>
    <t>MSY-DFW</t>
  </si>
  <si>
    <t>CLT-AUS</t>
  </si>
  <si>
    <t>SFO-LAS</t>
  </si>
  <si>
    <t>DEN-EWR</t>
  </si>
  <si>
    <t>ECP-DFW</t>
  </si>
  <si>
    <t>SAN-MCO</t>
  </si>
  <si>
    <t>DFW-RNO</t>
  </si>
  <si>
    <t>MIA-MCO</t>
  </si>
  <si>
    <t>ANC-BRW</t>
  </si>
  <si>
    <t>MYR-DCA</t>
  </si>
  <si>
    <t>IAH-SMF</t>
  </si>
  <si>
    <t>ASE-LAX</t>
  </si>
  <si>
    <t>DEN-MEM</t>
  </si>
  <si>
    <t>DEN-TPA</t>
  </si>
  <si>
    <t>SFB-GRR</t>
  </si>
  <si>
    <t>BWI-ROC</t>
  </si>
  <si>
    <t>SRQ-DCA</t>
  </si>
  <si>
    <t>FLL-DAL</t>
  </si>
  <si>
    <t>STT-MCO</t>
  </si>
  <si>
    <t>FLL-BUF</t>
  </si>
  <si>
    <t>CLT-JAX</t>
  </si>
  <si>
    <t>DAL-ONT</t>
  </si>
  <si>
    <t>CLE-LAS</t>
  </si>
  <si>
    <t>MCO-EWR</t>
  </si>
  <si>
    <t>PNS-MCO</t>
  </si>
  <si>
    <t>ORD-PHL</t>
  </si>
  <si>
    <t>CLT-GRR</t>
  </si>
  <si>
    <t>SEA-IND</t>
  </si>
  <si>
    <t>AUS-SMF</t>
  </si>
  <si>
    <t>ORD-LIT</t>
  </si>
  <si>
    <t>ATL-DFW</t>
  </si>
  <si>
    <t>DEN-HNL</t>
  </si>
  <si>
    <t>DEN-LNK</t>
  </si>
  <si>
    <t>SEA-BOS</t>
  </si>
  <si>
    <t>DCA-CRW</t>
  </si>
  <si>
    <t>LGA-FLL</t>
  </si>
  <si>
    <t>DEN-ICT</t>
  </si>
  <si>
    <t>IAH-DFW</t>
  </si>
  <si>
    <t>BDL-MCO</t>
  </si>
  <si>
    <t>MDW-BUF</t>
  </si>
  <si>
    <t>PBI-DTW</t>
  </si>
  <si>
    <t>BNA-DFW</t>
  </si>
  <si>
    <t>SRQ-JFK</t>
  </si>
  <si>
    <t>LGA-MSY</t>
  </si>
  <si>
    <t>SJU-BOS</t>
  </si>
  <si>
    <t>MCO-PIT</t>
  </si>
  <si>
    <t>MCO-LGA</t>
  </si>
  <si>
    <t>LGA-MCO</t>
  </si>
  <si>
    <t>HOU-MIA</t>
  </si>
  <si>
    <t>ORD-MBS</t>
  </si>
  <si>
    <t>ORD-JFK</t>
  </si>
  <si>
    <t>SJU-RDU</t>
  </si>
  <si>
    <t>SJU-STT</t>
  </si>
  <si>
    <t>MCO-PHX</t>
  </si>
  <si>
    <t>BWI-PBI</t>
  </si>
  <si>
    <t>MCO-MSY</t>
  </si>
  <si>
    <t>BWI-CLE</t>
  </si>
  <si>
    <t>AVL-PIE</t>
  </si>
  <si>
    <t>PVD-FLL</t>
  </si>
  <si>
    <t>MIA-TYS</t>
  </si>
  <si>
    <t>CLT-MEM</t>
  </si>
  <si>
    <t>LIT-DFW</t>
  </si>
  <si>
    <t>CLT-CVG</t>
  </si>
  <si>
    <t>ORD-RIC</t>
  </si>
  <si>
    <t>MCO-BDL</t>
  </si>
  <si>
    <t>MCO-MYR</t>
  </si>
  <si>
    <t>RIC-DFW</t>
  </si>
  <si>
    <t>ATL-SFO</t>
  </si>
  <si>
    <t>DEN-CHS</t>
  </si>
  <si>
    <t>LAS-OMA</t>
  </si>
  <si>
    <t>LAS-HNL</t>
  </si>
  <si>
    <t>BWI-CMH</t>
  </si>
  <si>
    <t>SEA-ABQ</t>
  </si>
  <si>
    <t>ATL-LAS</t>
  </si>
  <si>
    <t>JAC-ORD</t>
  </si>
  <si>
    <t>MCO-CMH</t>
  </si>
  <si>
    <t>MCO-DCA</t>
  </si>
  <si>
    <t>GRR-MCO</t>
  </si>
  <si>
    <t>SFO-SAN</t>
  </si>
  <si>
    <t>EWR-ORD</t>
  </si>
  <si>
    <t>FLL-LGA</t>
  </si>
  <si>
    <t>TPA-SEA</t>
  </si>
  <si>
    <t>CLE-TPA</t>
  </si>
  <si>
    <t>EWR-SFO</t>
  </si>
  <si>
    <t>RDU-PHL</t>
  </si>
  <si>
    <t>PBI-DCA</t>
  </si>
  <si>
    <t>ORD-ATW</t>
  </si>
  <si>
    <t>DEN-ASE</t>
  </si>
  <si>
    <t>DEN-GRR</t>
  </si>
  <si>
    <t>CLT-BWI</t>
  </si>
  <si>
    <t>TVC-ORD</t>
  </si>
  <si>
    <t>ATW-ORD</t>
  </si>
  <si>
    <t>DEN-BUR</t>
  </si>
  <si>
    <t>BWI-DAL</t>
  </si>
  <si>
    <t>MCO-CVG</t>
  </si>
  <si>
    <t>HPN-DCA</t>
  </si>
  <si>
    <t>ORD-BOS</t>
  </si>
  <si>
    <t>JFK-DEN</t>
  </si>
  <si>
    <t>MCO-DTW</t>
  </si>
  <si>
    <t>ORD-AVP</t>
  </si>
  <si>
    <t>ATL-JFK</t>
  </si>
  <si>
    <t>RST-ORD</t>
  </si>
  <si>
    <t>SLC-SFO</t>
  </si>
  <si>
    <t>AVL-SFB</t>
  </si>
  <si>
    <t>CHO-ORD</t>
  </si>
  <si>
    <t>CLT-MSN</t>
  </si>
  <si>
    <t>CLT-SDF</t>
  </si>
  <si>
    <t>ORF-DFW</t>
  </si>
  <si>
    <t>ORF-MCO</t>
  </si>
  <si>
    <t>BWI-MSY</t>
  </si>
  <si>
    <t>IAH-BOS</t>
  </si>
  <si>
    <t>FLL-PHL</t>
  </si>
  <si>
    <t>LAS-OAK</t>
  </si>
  <si>
    <t>MCI-FLL</t>
  </si>
  <si>
    <t>RSW-BOS</t>
  </si>
  <si>
    <t>CLT-VPS</t>
  </si>
  <si>
    <t>ORD-CRW</t>
  </si>
  <si>
    <t>MRY-DFW</t>
  </si>
  <si>
    <t>BWI-MKE</t>
  </si>
  <si>
    <t>ORD-SFO</t>
  </si>
  <si>
    <t>BWI-JAX</t>
  </si>
  <si>
    <t>DEN-MFR</t>
  </si>
  <si>
    <t>ORF-BOS</t>
  </si>
  <si>
    <t>ORD-FAR</t>
  </si>
  <si>
    <t>DEN-DFW</t>
  </si>
  <si>
    <t>JAX-BOS</t>
  </si>
  <si>
    <t>DAL-FLL</t>
  </si>
  <si>
    <t>MCO-AUS</t>
  </si>
  <si>
    <t>LGA-TPA</t>
  </si>
  <si>
    <t>MCO-ATL</t>
  </si>
  <si>
    <t>DAL-TPA</t>
  </si>
  <si>
    <t>STL-SAN</t>
  </si>
  <si>
    <t>FLL-MYR</t>
  </si>
  <si>
    <t>MCO-PNS</t>
  </si>
  <si>
    <t>MDW-IAH</t>
  </si>
  <si>
    <t>FLL-CVG</t>
  </si>
  <si>
    <t>ORD-DLH</t>
  </si>
  <si>
    <t>LIT-ORD</t>
  </si>
  <si>
    <t>MCO-BHM</t>
  </si>
  <si>
    <t>ORD-MQT</t>
  </si>
  <si>
    <t>MQT</t>
  </si>
  <si>
    <t>ORD-SUX</t>
  </si>
  <si>
    <t>SUX</t>
  </si>
  <si>
    <t>PHL-LAS</t>
  </si>
  <si>
    <t>ORD-OMA</t>
  </si>
  <si>
    <t>JFK-HNL</t>
  </si>
  <si>
    <t>DEN-GEG</t>
  </si>
  <si>
    <t>DAL-OAK</t>
  </si>
  <si>
    <t>SEA-JFK</t>
  </si>
  <si>
    <t>EWR-MIA</t>
  </si>
  <si>
    <t>DFW-JAC</t>
  </si>
  <si>
    <t>BWI-HOU</t>
  </si>
  <si>
    <t>CLT-MKE</t>
  </si>
  <si>
    <t>STS-SEA</t>
  </si>
  <si>
    <t>DFW-HNL</t>
  </si>
  <si>
    <t>ATL-TPA</t>
  </si>
  <si>
    <t>DCA-SAV</t>
  </si>
  <si>
    <t>BWI-SAT</t>
  </si>
  <si>
    <t>MSN-DFW</t>
  </si>
  <si>
    <t>ORD-DFW</t>
  </si>
  <si>
    <t>MCO-MDW</t>
  </si>
  <si>
    <t>CLT-IAH</t>
  </si>
  <si>
    <t>EWR-FLL</t>
  </si>
  <si>
    <t>CLT-XNA</t>
  </si>
  <si>
    <t>BWI-MIA</t>
  </si>
  <si>
    <t>DEN-AMA</t>
  </si>
  <si>
    <t>PHL-CVG</t>
  </si>
  <si>
    <t>DCA-XNA</t>
  </si>
  <si>
    <t>CLT-SYR</t>
  </si>
  <si>
    <t>MIA-PHX</t>
  </si>
  <si>
    <t>VPS-DFW</t>
  </si>
  <si>
    <t>SLC-EWR</t>
  </si>
  <si>
    <t>HNL-ANC</t>
  </si>
  <si>
    <t>CLT-DFW</t>
  </si>
  <si>
    <t>DEN-LGA</t>
  </si>
  <si>
    <t>AUS-BUR</t>
  </si>
  <si>
    <t>DEN-HOU</t>
  </si>
  <si>
    <t>DFW-PIT</t>
  </si>
  <si>
    <t>ORD-TYS</t>
  </si>
  <si>
    <t>CLT-RIC</t>
  </si>
  <si>
    <t>DFW-OKC</t>
  </si>
  <si>
    <t>MCO-ACY</t>
  </si>
  <si>
    <t>BWI-PHX</t>
  </si>
  <si>
    <t>SEA-PHL</t>
  </si>
  <si>
    <t>IAH-CMH</t>
  </si>
  <si>
    <t>MIA-JAX</t>
  </si>
  <si>
    <t>ORD-CID</t>
  </si>
  <si>
    <t>DEN-PNS</t>
  </si>
  <si>
    <t>CLT-MIA</t>
  </si>
  <si>
    <t>DAL-LGA</t>
  </si>
  <si>
    <t>FLL-CHS</t>
  </si>
  <si>
    <t>MIA-DEN</t>
  </si>
  <si>
    <t>CLT-PWM</t>
  </si>
  <si>
    <t>CLT-SAN</t>
  </si>
  <si>
    <t>SAN-MRY</t>
  </si>
  <si>
    <t>BWI-ISP</t>
  </si>
  <si>
    <t>CLT-BOS</t>
  </si>
  <si>
    <t>BWI-FLL</t>
  </si>
  <si>
    <t>BWI-RSW</t>
  </si>
  <si>
    <t>IAH-JAX</t>
  </si>
  <si>
    <t>ALB-DCA</t>
  </si>
  <si>
    <t>IAH-SHV</t>
  </si>
  <si>
    <t>VPS-CVG</t>
  </si>
  <si>
    <t>EUG-LAS</t>
  </si>
  <si>
    <t>BWI-MCO</t>
  </si>
  <si>
    <t>MIA-SLC</t>
  </si>
  <si>
    <t>BWI-SAN</t>
  </si>
  <si>
    <t>MDW-MHT</t>
  </si>
  <si>
    <t>JFK-TPA</t>
  </si>
  <si>
    <t>BNA-SFO</t>
  </si>
  <si>
    <t>MKE-ORD</t>
  </si>
  <si>
    <t>MDW-CLT</t>
  </si>
  <si>
    <t>IAH-MEM</t>
  </si>
  <si>
    <t>DEN-IAH</t>
  </si>
  <si>
    <t>DFW-BZN</t>
  </si>
  <si>
    <t>SAN-LAS</t>
  </si>
  <si>
    <t>MIA-HOU</t>
  </si>
  <si>
    <t>MCO-STL</t>
  </si>
  <si>
    <t>DCA-OKC</t>
  </si>
  <si>
    <t>MCO-BUF</t>
  </si>
  <si>
    <t>DEN-TUL</t>
  </si>
  <si>
    <t>DCA-FLL</t>
  </si>
  <si>
    <t>MCO-ORD</t>
  </si>
  <si>
    <t>BZN-LAS</t>
  </si>
  <si>
    <t>IAH-COS</t>
  </si>
  <si>
    <t>JFK-ROC</t>
  </si>
  <si>
    <t>MDW-OKC</t>
  </si>
  <si>
    <t>BWI-PIT</t>
  </si>
  <si>
    <t>LAS-OKC</t>
  </si>
  <si>
    <t>BZN-DFW</t>
  </si>
  <si>
    <t>AVP-ORD</t>
  </si>
  <si>
    <t>DFW-ORD</t>
  </si>
  <si>
    <t>EWR-SEA</t>
  </si>
  <si>
    <t>DEN-SEA</t>
  </si>
  <si>
    <t>PRC-LAX</t>
  </si>
  <si>
    <t>PRC</t>
  </si>
  <si>
    <t>DEN-ORD</t>
  </si>
  <si>
    <t>MDW-MYR</t>
  </si>
  <si>
    <t>SRQ-PHL</t>
  </si>
  <si>
    <t>DEN-MDW</t>
  </si>
  <si>
    <t>MCI-DFW</t>
  </si>
  <si>
    <t>DEN-OMA</t>
  </si>
  <si>
    <t>CLT-ALB</t>
  </si>
  <si>
    <t>JFK-MIA</t>
  </si>
  <si>
    <t>MIA-DCA</t>
  </si>
  <si>
    <t>SAV-DAL</t>
  </si>
  <si>
    <t>PBI-EWR</t>
  </si>
  <si>
    <t>MCO-MKE</t>
  </si>
  <si>
    <t>ISP-PBI</t>
  </si>
  <si>
    <t>DEN-MKE</t>
  </si>
  <si>
    <t>CLT-JFK</t>
  </si>
  <si>
    <t>DEN-SAN</t>
  </si>
  <si>
    <t>CLT-LAS</t>
  </si>
  <si>
    <t>PHX-CMH</t>
  </si>
  <si>
    <t>MIA-PHL</t>
  </si>
  <si>
    <t>DEN-SMF</t>
  </si>
  <si>
    <t>LAS-PIT</t>
  </si>
  <si>
    <t>CLT-DAL</t>
  </si>
  <si>
    <t>RDU-DCA</t>
  </si>
  <si>
    <t>DEN-MSY</t>
  </si>
  <si>
    <t>TPA-DFW</t>
  </si>
  <si>
    <t>EWR-LAX</t>
  </si>
  <si>
    <t>SFO-EWR</t>
  </si>
  <si>
    <t>DAL-BUR</t>
  </si>
  <si>
    <t>DEN-IND</t>
  </si>
  <si>
    <t>PHL-FLL</t>
  </si>
  <si>
    <t>PHL-ORF</t>
  </si>
  <si>
    <t>ORD-MSP</t>
  </si>
  <si>
    <t>DAL-DCA</t>
  </si>
  <si>
    <t>ORD-LNK</t>
  </si>
  <si>
    <t>MDW-BDL</t>
  </si>
  <si>
    <t>SLC-LAS</t>
  </si>
  <si>
    <t>LAS-DCA</t>
  </si>
  <si>
    <t>MDW-MIA</t>
  </si>
  <si>
    <t>PDX-BOS</t>
  </si>
  <si>
    <t>CLT-PIT</t>
  </si>
  <si>
    <t>TPA-SAT</t>
  </si>
  <si>
    <t>CMX-ORD</t>
  </si>
  <si>
    <t>DAL-SAN</t>
  </si>
  <si>
    <t>CLT-RDU</t>
  </si>
  <si>
    <t>PHX-TPA</t>
  </si>
  <si>
    <t>ORD-PIA</t>
  </si>
  <si>
    <t>ORD-ABE</t>
  </si>
  <si>
    <t>EWR-BOS</t>
  </si>
  <si>
    <t>LAS-DAL</t>
  </si>
  <si>
    <t>IAH-ABQ</t>
  </si>
  <si>
    <t>PHL-TPA</t>
  </si>
  <si>
    <t>SNA-SFO</t>
  </si>
  <si>
    <t>CLT-LAX</t>
  </si>
  <si>
    <t>PHL-RDU</t>
  </si>
  <si>
    <t>LAS-BOS</t>
  </si>
  <si>
    <t>DAL-MIA</t>
  </si>
  <si>
    <t>FLL-LAX</t>
  </si>
  <si>
    <t>LAS-COS</t>
  </si>
  <si>
    <t>LAS-MSY</t>
  </si>
  <si>
    <t>DAL-MCO</t>
  </si>
  <si>
    <t>MDW-PHL</t>
  </si>
  <si>
    <t>CVG-SFB</t>
  </si>
  <si>
    <t>MCO-SFO</t>
  </si>
  <si>
    <t>SEA-OAK</t>
  </si>
  <si>
    <t>CLE-PHX</t>
  </si>
  <si>
    <t>ACV-SFO</t>
  </si>
  <si>
    <t>DAL-DEN</t>
  </si>
  <si>
    <t>CLT-SGF</t>
  </si>
  <si>
    <t>MSP-SNA</t>
  </si>
  <si>
    <t>CAK-ORD</t>
  </si>
  <si>
    <t>PGD-CVG</t>
  </si>
  <si>
    <t>SAN-AUS</t>
  </si>
  <si>
    <t>SBP-SFO</t>
  </si>
  <si>
    <t>LAS-DSM</t>
  </si>
  <si>
    <t>SEA-CLE</t>
  </si>
  <si>
    <t>LAS-SBA</t>
  </si>
  <si>
    <t>CLT-TUL</t>
  </si>
  <si>
    <t>DAL-ECP</t>
  </si>
  <si>
    <t>CMH-IAH</t>
  </si>
  <si>
    <t>RDU-EWR</t>
  </si>
  <si>
    <t>FLL-STL</t>
  </si>
  <si>
    <t>ATL-IAH</t>
  </si>
  <si>
    <t>LAS-MKE</t>
  </si>
  <si>
    <t>ANC-ORD</t>
  </si>
  <si>
    <t>BWI-RIC</t>
  </si>
  <si>
    <t>MCO-BNA</t>
  </si>
  <si>
    <t>ATL-PBI</t>
  </si>
  <si>
    <t>BWI-PVD</t>
  </si>
  <si>
    <t>ORD-MLI</t>
  </si>
  <si>
    <t>MCO-IND</t>
  </si>
  <si>
    <t>BWI-ALB</t>
  </si>
  <si>
    <t>SJU-DFW</t>
  </si>
  <si>
    <t>CLT-BDL</t>
  </si>
  <si>
    <t>AUS-SAN</t>
  </si>
  <si>
    <t>MDW-PVD</t>
  </si>
  <si>
    <t>AUS-SNA</t>
  </si>
  <si>
    <t>RSW-DCA</t>
  </si>
  <si>
    <t>ORD-JAC</t>
  </si>
  <si>
    <t>MDW-LGA</t>
  </si>
  <si>
    <t>BWI-ORF</t>
  </si>
  <si>
    <t>CLT-LIT</t>
  </si>
  <si>
    <t>FLL-BNA</t>
  </si>
  <si>
    <t>MSY-PHX</t>
  </si>
  <si>
    <t>DEN-LGB</t>
  </si>
  <si>
    <t>DEN-MCO</t>
  </si>
  <si>
    <t>CAE-DFW</t>
  </si>
  <si>
    <t>DEN-OKC</t>
  </si>
  <si>
    <t>SAN-BOS</t>
  </si>
  <si>
    <t>CLT-ROC</t>
  </si>
  <si>
    <t>BWI-PWM</t>
  </si>
  <si>
    <t>CLT-PNS</t>
  </si>
  <si>
    <t>SUX-DEN</t>
  </si>
  <si>
    <t>SBA-DFW</t>
  </si>
  <si>
    <t>MCO-PVD</t>
  </si>
  <si>
    <t>IAH-AUS</t>
  </si>
  <si>
    <t>GRR-SFB</t>
  </si>
  <si>
    <t>ATL-PHL</t>
  </si>
  <si>
    <t>CLT-MLI</t>
  </si>
  <si>
    <t>EYW-CLT</t>
  </si>
  <si>
    <t>HDN-DEN</t>
  </si>
  <si>
    <t>ONT-SFO</t>
  </si>
  <si>
    <t>FLL-PNS</t>
  </si>
  <si>
    <t>CLT-ORF</t>
  </si>
  <si>
    <t>HOU-OAK</t>
  </si>
  <si>
    <t>DEN-SGF</t>
  </si>
  <si>
    <t>ORD-DCA</t>
  </si>
  <si>
    <t>BWI-DFW</t>
  </si>
  <si>
    <t>CLT-PBI</t>
  </si>
  <si>
    <t>TYS-SFB</t>
  </si>
  <si>
    <t>ORD-ANC</t>
  </si>
  <si>
    <t>MCO-RDU</t>
  </si>
  <si>
    <t>CVG-PIE</t>
  </si>
  <si>
    <t>CLT-STL</t>
  </si>
  <si>
    <t>RNO-SFO</t>
  </si>
  <si>
    <t>SJU-FLL</t>
  </si>
  <si>
    <t>LGA-HOU</t>
  </si>
  <si>
    <t>IAH-MIA</t>
  </si>
  <si>
    <t>STL-BOS</t>
  </si>
  <si>
    <t>DCA-GRR</t>
  </si>
  <si>
    <t>DFW-TUL</t>
  </si>
  <si>
    <t>MIA-MSP</t>
  </si>
  <si>
    <t>DFW-BHM</t>
  </si>
  <si>
    <t>PHL-SAN</t>
  </si>
  <si>
    <t>DFW-ATL</t>
  </si>
  <si>
    <t>BWI-BOS</t>
  </si>
  <si>
    <t>DEN-BWI</t>
  </si>
  <si>
    <t>DFW-DCA</t>
  </si>
  <si>
    <t>AGS-CLT</t>
  </si>
  <si>
    <t>CLT-SJU</t>
  </si>
  <si>
    <t>LGA-MIA</t>
  </si>
  <si>
    <t>CLT-CMH</t>
  </si>
  <si>
    <t>AUS-TUL</t>
  </si>
  <si>
    <t>RNO-SAN</t>
  </si>
  <si>
    <t>PHX-MSY</t>
  </si>
  <si>
    <t>ORD-AUS</t>
  </si>
  <si>
    <t>JAC-DEN</t>
  </si>
  <si>
    <t>DAL-CMH</t>
  </si>
  <si>
    <t>CLT-ORD</t>
  </si>
  <si>
    <t>DCA-BGR</t>
  </si>
  <si>
    <t>EWR-MCO</t>
  </si>
  <si>
    <t>IAH-EWR</t>
  </si>
  <si>
    <t>AUS-TPA</t>
  </si>
  <si>
    <t>BWI-IND</t>
  </si>
  <si>
    <t>DCA-CAE</t>
  </si>
  <si>
    <t>DEN-PHX</t>
  </si>
  <si>
    <t>BNA-MIA</t>
  </si>
  <si>
    <t>BWI-BDL</t>
  </si>
  <si>
    <t>HSV-DCA</t>
  </si>
  <si>
    <t>DFW-LGA</t>
  </si>
  <si>
    <t>ORD-OKC</t>
  </si>
  <si>
    <t>MBS-ORD</t>
  </si>
  <si>
    <t>EWR-PBI</t>
  </si>
  <si>
    <t>MIA-ORD</t>
  </si>
  <si>
    <t>FLL-MDW</t>
  </si>
  <si>
    <t>ORD-LGA</t>
  </si>
  <si>
    <t>EWR-ATL</t>
  </si>
  <si>
    <t>TYS-PIE</t>
  </si>
  <si>
    <t>DFW-SDF</t>
  </si>
  <si>
    <t>STL-LGB</t>
  </si>
  <si>
    <t>LAS-DEN</t>
  </si>
  <si>
    <t>KTN-SIT</t>
  </si>
  <si>
    <t>SIT</t>
  </si>
  <si>
    <t>JFK-BUF</t>
  </si>
  <si>
    <t>DAL-LAX</t>
  </si>
  <si>
    <t>FLL-BWI</t>
  </si>
  <si>
    <t>ORD-SAN</t>
  </si>
  <si>
    <t>FSD-DFW</t>
  </si>
  <si>
    <t>BNA-CLT</t>
  </si>
  <si>
    <t>DEN-LIT</t>
  </si>
  <si>
    <t>BQN-FLL</t>
  </si>
  <si>
    <t>DEN-ELP</t>
  </si>
  <si>
    <t>LAS-BOI</t>
  </si>
  <si>
    <t>LAS-HOU</t>
  </si>
  <si>
    <t>LAS-AUS</t>
  </si>
  <si>
    <t>RSW-PHL</t>
  </si>
  <si>
    <t>FLL-ACY</t>
  </si>
  <si>
    <t>ORD-SAT</t>
  </si>
  <si>
    <t>MDW-HOU</t>
  </si>
  <si>
    <t>MIA-CLT</t>
  </si>
  <si>
    <t>EWR-SLC</t>
  </si>
  <si>
    <t>DAL-SAV</t>
  </si>
  <si>
    <t>DAL-BHM</t>
  </si>
  <si>
    <t>ATL-ORD</t>
  </si>
  <si>
    <t>BTV-ORD</t>
  </si>
  <si>
    <t>STS-SAN</t>
  </si>
  <si>
    <t>STL-LAX</t>
  </si>
  <si>
    <t>PSE-MCO</t>
  </si>
  <si>
    <t>DFW-AVL</t>
  </si>
  <si>
    <t>AUS-PHL</t>
  </si>
  <si>
    <t>FLL-TPA</t>
  </si>
  <si>
    <t>DAL-SMF</t>
  </si>
  <si>
    <t>STL-DFW</t>
  </si>
  <si>
    <t>DEN-COS</t>
  </si>
  <si>
    <t>CLT-MCI</t>
  </si>
  <si>
    <t>DEN-CLE</t>
  </si>
  <si>
    <t>MIA-ORF</t>
  </si>
  <si>
    <t>DEN-MAF</t>
  </si>
  <si>
    <t>ORD-MSN</t>
  </si>
  <si>
    <t>BNA-BOS</t>
  </si>
  <si>
    <t>SAV-DFW</t>
  </si>
  <si>
    <t>LAS-GRR</t>
  </si>
  <si>
    <t>DFW-COS</t>
  </si>
  <si>
    <t>ORD-ORF</t>
  </si>
  <si>
    <t>HSV-DFW</t>
  </si>
  <si>
    <t>ATL-SAN</t>
  </si>
  <si>
    <t>PBI-LGA</t>
  </si>
  <si>
    <t>FLL-SDF</t>
  </si>
  <si>
    <t>ORD-MCI</t>
  </si>
  <si>
    <t>BWI-LAS</t>
  </si>
  <si>
    <t>MCO-SAT</t>
  </si>
  <si>
    <t>MQT-ORD</t>
  </si>
  <si>
    <t>LAS-TUS</t>
  </si>
  <si>
    <t>IAH-MCO</t>
  </si>
  <si>
    <t>PDX-AUS</t>
  </si>
  <si>
    <t>MIA-CVG</t>
  </si>
  <si>
    <t>AVL-ORD</t>
  </si>
  <si>
    <t>ORD-CMI</t>
  </si>
  <si>
    <t>CMI</t>
  </si>
  <si>
    <t>JFK-BOS</t>
  </si>
  <si>
    <t>MSP-OKC</t>
  </si>
  <si>
    <t>SRQ-BOS</t>
  </si>
  <si>
    <t>MIA-MDW</t>
  </si>
  <si>
    <t>PDX-SFO</t>
  </si>
  <si>
    <t>MDW-SAN</t>
  </si>
  <si>
    <t>ALB-MCO</t>
  </si>
  <si>
    <t>BOS-PDX</t>
  </si>
  <si>
    <t>SAN-SBP</t>
  </si>
  <si>
    <t>LAS-IND</t>
  </si>
  <si>
    <t>HOU-PNS</t>
  </si>
  <si>
    <t>ATL-SJU</t>
  </si>
  <si>
    <t>STX-MIA</t>
  </si>
  <si>
    <t>STX</t>
  </si>
  <si>
    <t>ISP-MCO</t>
  </si>
  <si>
    <t>MCO-HOU</t>
  </si>
  <si>
    <t>JFK-ATL</t>
  </si>
  <si>
    <t>MCO-SYR</t>
  </si>
  <si>
    <t>DEN-BNA</t>
  </si>
  <si>
    <t>MDW-LAS</t>
  </si>
  <si>
    <t>CLT-DAY</t>
  </si>
  <si>
    <t>LAX-LAS</t>
  </si>
  <si>
    <t>DFW-MSO</t>
  </si>
  <si>
    <t>DEN-AUS</t>
  </si>
  <si>
    <t>HNL-JFK</t>
  </si>
  <si>
    <t>LAS-GEG</t>
  </si>
  <si>
    <t>SEA-DFW</t>
  </si>
  <si>
    <t>IND-MIA</t>
  </si>
  <si>
    <t>CLT-CAK</t>
  </si>
  <si>
    <t>DEN-PDX</t>
  </si>
  <si>
    <t>MIA-STX</t>
  </si>
  <si>
    <t>MDW-MEM</t>
  </si>
  <si>
    <t>MIA-BHM</t>
  </si>
  <si>
    <t>LAS-MAF</t>
  </si>
  <si>
    <t>DEN-CVG</t>
  </si>
  <si>
    <t>CLT-OMA</t>
  </si>
  <si>
    <t>TPA-BOS</t>
  </si>
  <si>
    <t>DEN-DSM</t>
  </si>
  <si>
    <t>PHL-TYS</t>
  </si>
  <si>
    <t>BWI-AUS</t>
  </si>
  <si>
    <t>MYR-DFW</t>
  </si>
  <si>
    <t>MSY-MIA</t>
  </si>
  <si>
    <t>PHL-AUS</t>
  </si>
  <si>
    <t>SEA-JNU</t>
  </si>
  <si>
    <t>SEA-TPA</t>
  </si>
  <si>
    <t>DEN-STL</t>
  </si>
  <si>
    <t>ORD-GRB</t>
  </si>
  <si>
    <t>LIT-IAH</t>
  </si>
  <si>
    <t>ATL-FSD</t>
  </si>
  <si>
    <t>SLC-JFK</t>
  </si>
  <si>
    <t>PHX-ANC</t>
  </si>
  <si>
    <t>DEN-BOI</t>
  </si>
  <si>
    <t>FLL-SFO</t>
  </si>
  <si>
    <t>DEN-RNO</t>
  </si>
  <si>
    <t>DEN-ABQ</t>
  </si>
  <si>
    <t>SAT-DFW</t>
  </si>
  <si>
    <t>FLL-IAH</t>
  </si>
  <si>
    <t>RAP-ORD</t>
  </si>
  <si>
    <t>CLE-MCO</t>
  </si>
  <si>
    <t>OMA-DFW</t>
  </si>
  <si>
    <t>SFO-DFW</t>
  </si>
  <si>
    <t>ORD-MCO</t>
  </si>
  <si>
    <t>ATL-ONT</t>
  </si>
  <si>
    <t>ORD-ATL</t>
  </si>
  <si>
    <t>PIA-ORD</t>
  </si>
  <si>
    <t>RSW-JFK</t>
  </si>
  <si>
    <t>ORD-SMF</t>
  </si>
  <si>
    <t>CLT-RSW</t>
  </si>
  <si>
    <t>DEN-TUS</t>
  </si>
  <si>
    <t>ORD-SGF</t>
  </si>
  <si>
    <t>CLE-PHL</t>
  </si>
  <si>
    <t>MCO-CLE</t>
  </si>
  <si>
    <t>DAL-CHS</t>
  </si>
  <si>
    <t>MIA-CMH</t>
  </si>
  <si>
    <t>ORD-DAY</t>
  </si>
  <si>
    <t>MCO-BWI</t>
  </si>
  <si>
    <t>SJU-TPA</t>
  </si>
  <si>
    <t>MDW-SAV</t>
  </si>
  <si>
    <t>SFO-BNA</t>
  </si>
  <si>
    <t>AUS-MCO</t>
  </si>
  <si>
    <t>MCO-OMA</t>
  </si>
  <si>
    <t>MSY-FLL</t>
  </si>
  <si>
    <t>AUS-RDU</t>
  </si>
  <si>
    <t>DFW-LEX</t>
  </si>
  <si>
    <t>LBB-DEN</t>
  </si>
  <si>
    <t>STL-FLL</t>
  </si>
  <si>
    <t>ALB-FLL</t>
  </si>
  <si>
    <t>IAH-TUS</t>
  </si>
  <si>
    <t>HPN-PBI</t>
  </si>
  <si>
    <t>PIT-PHL</t>
  </si>
  <si>
    <t>SJU-MCO</t>
  </si>
  <si>
    <t>ORD-FLL</t>
  </si>
  <si>
    <t>DAL-MEM</t>
  </si>
  <si>
    <t>CLT-TYS</t>
  </si>
  <si>
    <t>MYR-BOS</t>
  </si>
  <si>
    <t>LAS-BZN</t>
  </si>
  <si>
    <t>BOS-CHS</t>
  </si>
  <si>
    <t>DCA-TYS</t>
  </si>
  <si>
    <t>PHL-RSW</t>
  </si>
  <si>
    <t>DFW-ICT</t>
  </si>
  <si>
    <t>EWR-AUS</t>
  </si>
  <si>
    <t>MCO-FLL</t>
  </si>
  <si>
    <t>LAS-LAX</t>
  </si>
  <si>
    <t>OAK-ABQ</t>
  </si>
  <si>
    <t>EWR-TPA</t>
  </si>
  <si>
    <t>BWI-MDW</t>
  </si>
  <si>
    <t>DCA-ORF</t>
  </si>
  <si>
    <t>ORD-DSM</t>
  </si>
  <si>
    <t>SGF-ORD</t>
  </si>
  <si>
    <t>BWI-SAV</t>
  </si>
  <si>
    <t>BTV-DCA</t>
  </si>
  <si>
    <t>MSY-LAS</t>
  </si>
  <si>
    <t>TPA-PVD</t>
  </si>
  <si>
    <t>TYS-DFW</t>
  </si>
  <si>
    <t>BOS-DFW</t>
  </si>
  <si>
    <t>EWR-LAS</t>
  </si>
  <si>
    <t>DFW-FLG</t>
  </si>
  <si>
    <t>GSP-DFW</t>
  </si>
  <si>
    <t>PHL-CLE</t>
  </si>
  <si>
    <t>TPA-CVG</t>
  </si>
  <si>
    <t>DEN-SAT</t>
  </si>
  <si>
    <t>AUS-DCA</t>
  </si>
  <si>
    <t>ATL-DEN</t>
  </si>
  <si>
    <t>DEN-RDM</t>
  </si>
  <si>
    <t>CLT-SRQ</t>
  </si>
  <si>
    <t>ORF-DCA</t>
  </si>
  <si>
    <t>SAN-GEG</t>
  </si>
  <si>
    <t>IND-SEA</t>
  </si>
  <si>
    <t>ATL-LAX</t>
  </si>
  <si>
    <t>CLT-MSY</t>
  </si>
  <si>
    <t>BWI-CHS</t>
  </si>
  <si>
    <t>SEA-STL</t>
  </si>
  <si>
    <t>BWI-MYR</t>
  </si>
  <si>
    <t>ATL-JAX</t>
  </si>
  <si>
    <t>LAS-ABQ</t>
  </si>
  <si>
    <t>CVG-CLT</t>
  </si>
  <si>
    <t>IAH-ICT</t>
  </si>
  <si>
    <t>ORD-PBI</t>
  </si>
  <si>
    <t>CLT-PVD</t>
  </si>
  <si>
    <t>LGA-DFW</t>
  </si>
  <si>
    <t>DEN-SLC</t>
  </si>
  <si>
    <t>MCO-ISP</t>
  </si>
  <si>
    <t>OGG-PDX</t>
  </si>
  <si>
    <t>STL-SRQ</t>
  </si>
  <si>
    <t>RDU-DAL</t>
  </si>
  <si>
    <t>DFW-ILM</t>
  </si>
  <si>
    <t>JFK-MKE</t>
  </si>
  <si>
    <t>ATL-COS</t>
  </si>
  <si>
    <t>SEA-ANC</t>
  </si>
  <si>
    <t>AUS-DFW</t>
  </si>
  <si>
    <t>BDL-DFW</t>
  </si>
  <si>
    <t>DCA-GSP</t>
  </si>
  <si>
    <t>PHL-MCI</t>
  </si>
  <si>
    <t>ORD-TPA</t>
  </si>
  <si>
    <t>DEN-EUG</t>
  </si>
  <si>
    <t>IAH-FLL</t>
  </si>
  <si>
    <t>MSY-SEA</t>
  </si>
  <si>
    <t>CLT-BTV</t>
  </si>
  <si>
    <t>SFO-DEN</t>
  </si>
  <si>
    <t>ORD-BUF</t>
  </si>
  <si>
    <t>CLT-AVP</t>
  </si>
  <si>
    <t>MDW-GRR</t>
  </si>
  <si>
    <t>MDW-PHX</t>
  </si>
  <si>
    <t>DEN-JFK</t>
  </si>
  <si>
    <t>IAH-RSW</t>
  </si>
  <si>
    <t>PHL-DFW</t>
  </si>
  <si>
    <t>ORD-PVD</t>
  </si>
  <si>
    <t>ROC-MCO</t>
  </si>
  <si>
    <t>RSW-LGA</t>
  </si>
  <si>
    <t>MSY-JFK</t>
  </si>
  <si>
    <t>IAH-LGA</t>
  </si>
  <si>
    <t>MKE-BOS</t>
  </si>
  <si>
    <t>ORD-MEM</t>
  </si>
  <si>
    <t>STL-ORD</t>
  </si>
  <si>
    <t>AUS-LAS</t>
  </si>
  <si>
    <t>EWR-SAN</t>
  </si>
  <si>
    <t>BUF-DFW</t>
  </si>
  <si>
    <t>CLT-BNA</t>
  </si>
  <si>
    <t>MEM-LAX</t>
  </si>
  <si>
    <t>IAH-ATL</t>
  </si>
  <si>
    <t>ATL-BWI</t>
  </si>
  <si>
    <t>MYR-MCO</t>
  </si>
  <si>
    <t>GSO-DFW</t>
  </si>
  <si>
    <t>ORD-BTV</t>
  </si>
  <si>
    <t>SEA-SAT</t>
  </si>
  <si>
    <t>LGA-RSW</t>
  </si>
  <si>
    <t>ORD-CHA</t>
  </si>
  <si>
    <t>CLT-SLC</t>
  </si>
  <si>
    <t>BOS-BNA</t>
  </si>
  <si>
    <t>SAN-DAL</t>
  </si>
  <si>
    <t>CLT-SHV</t>
  </si>
  <si>
    <t>PHL-SFO</t>
  </si>
  <si>
    <t>MCO-DEN</t>
  </si>
  <si>
    <t>BWI-SRQ</t>
  </si>
  <si>
    <t>KOA-PDX</t>
  </si>
  <si>
    <t>JFK-RSW</t>
  </si>
  <si>
    <t>SAN-FAT</t>
  </si>
  <si>
    <t>PHX-RDU</t>
  </si>
  <si>
    <t>DEN-SJC</t>
  </si>
  <si>
    <t>SEA-FAI</t>
  </si>
  <si>
    <t>CRW-CLT</t>
  </si>
  <si>
    <t>SDF-DFW</t>
  </si>
  <si>
    <t>MDW-SAT</t>
  </si>
  <si>
    <t>MIA-GSO</t>
  </si>
  <si>
    <t>MCO-STT</t>
  </si>
  <si>
    <t>ATL-DCA</t>
  </si>
  <si>
    <t>MDW-FLL</t>
  </si>
  <si>
    <t>PHL-MIA</t>
  </si>
  <si>
    <t>JFK-SRQ</t>
  </si>
  <si>
    <t>ORD-FCA</t>
  </si>
  <si>
    <t>CWA-ORD</t>
  </si>
  <si>
    <t>CWA</t>
  </si>
  <si>
    <t>FLL-HOU</t>
  </si>
  <si>
    <t>LGA-TUL</t>
  </si>
  <si>
    <t>ORD-LAS</t>
  </si>
  <si>
    <t>SAN-MCI</t>
  </si>
  <si>
    <t>SBN-ORD</t>
  </si>
  <si>
    <t>JFK-PDX</t>
  </si>
  <si>
    <t>BNA-FLL</t>
  </si>
  <si>
    <t>DEN-MCI</t>
  </si>
  <si>
    <t>SBN-DFW</t>
  </si>
  <si>
    <t>SEA-BNA</t>
  </si>
  <si>
    <t>BNA-SAN</t>
  </si>
  <si>
    <t>MIA-BWI</t>
  </si>
  <si>
    <t>EWR-DEN</t>
  </si>
  <si>
    <t>JAX-DCA</t>
  </si>
  <si>
    <t>ORD-BOI</t>
  </si>
  <si>
    <t>MCO-CLT</t>
  </si>
  <si>
    <t>MDW-TPA</t>
  </si>
  <si>
    <t>BNA-RSW</t>
  </si>
  <si>
    <t>ORD-TUL</t>
  </si>
  <si>
    <t>MSY-SFO</t>
  </si>
  <si>
    <t>JFK-DFW</t>
  </si>
  <si>
    <t>DTW-DFW</t>
  </si>
  <si>
    <t>CHS-DEN</t>
  </si>
  <si>
    <t>BWI-LAX</t>
  </si>
  <si>
    <t>MSO-DEN</t>
  </si>
  <si>
    <t>EWR-MEM</t>
  </si>
  <si>
    <t>JFK-JAX</t>
  </si>
  <si>
    <t>GNV-DFW</t>
  </si>
  <si>
    <t>IAD-JFK</t>
  </si>
  <si>
    <t>CLT-LEX</t>
  </si>
  <si>
    <t>AUS-MIA</t>
  </si>
  <si>
    <t>MSY-DCA</t>
  </si>
  <si>
    <t>ORD-EYW</t>
  </si>
  <si>
    <t>FAR-DEN</t>
  </si>
  <si>
    <t>DEN-TYS</t>
  </si>
  <si>
    <t>DFW-DTW</t>
  </si>
  <si>
    <t>CHA-ORD</t>
  </si>
  <si>
    <t>BOS-JAX</t>
  </si>
  <si>
    <t>BQN-EWR</t>
  </si>
  <si>
    <t>BDL-TPA</t>
  </si>
  <si>
    <t>ORD-SEA</t>
  </si>
  <si>
    <t>BOS-SAN</t>
  </si>
  <si>
    <t>SEA-AUS</t>
  </si>
  <si>
    <t>PHL-JAX</t>
  </si>
  <si>
    <t>IAH-SFO</t>
  </si>
  <si>
    <t>EWR-BNA</t>
  </si>
  <si>
    <t>IAH-SEA</t>
  </si>
  <si>
    <t>MIA-SJU</t>
  </si>
  <si>
    <t>IND-FLL</t>
  </si>
  <si>
    <t>ORD-LEX</t>
  </si>
  <si>
    <t>VPS-DCA</t>
  </si>
  <si>
    <t>DFW-IAD</t>
  </si>
  <si>
    <t>DFW-ASE</t>
  </si>
  <si>
    <t>LAS-ONT</t>
  </si>
  <si>
    <t>DVL-DEN</t>
  </si>
  <si>
    <t>DVL</t>
  </si>
  <si>
    <t>ORD-GRR</t>
  </si>
  <si>
    <t>JAX-DFW</t>
  </si>
  <si>
    <t>PHL-MDW</t>
  </si>
  <si>
    <t>ORD-CLE</t>
  </si>
  <si>
    <t>COS-DFW</t>
  </si>
  <si>
    <t>ORD-SLC</t>
  </si>
  <si>
    <t>HOU-FLL</t>
  </si>
  <si>
    <t>CLT-CHA</t>
  </si>
  <si>
    <t>LAS-ELP</t>
  </si>
  <si>
    <t>MSP-SJC</t>
  </si>
  <si>
    <t>SLC-DEN</t>
  </si>
  <si>
    <t>EWR-IAH</t>
  </si>
  <si>
    <t>BWI-CLT</t>
  </si>
  <si>
    <t>BWI-RDU</t>
  </si>
  <si>
    <t>BWI-DEN</t>
  </si>
  <si>
    <t>DAL-LIT</t>
  </si>
  <si>
    <t>CVG-DFW</t>
  </si>
  <si>
    <t>RDM-SFO</t>
  </si>
  <si>
    <t>DFW-OGG</t>
  </si>
  <si>
    <t>ORD-BZN</t>
  </si>
  <si>
    <t>BWI-TPA</t>
  </si>
  <si>
    <t>BUF-TPA</t>
  </si>
  <si>
    <t>SAN-DFW</t>
  </si>
  <si>
    <t>PHL-BGR</t>
  </si>
  <si>
    <t>SEA-RNO</t>
  </si>
  <si>
    <t>FLL-CLT</t>
  </si>
  <si>
    <t>PIE-AVL</t>
  </si>
  <si>
    <t>MCO-GRR</t>
  </si>
  <si>
    <t>LGA-OKC</t>
  </si>
  <si>
    <t>DEN-MSN</t>
  </si>
  <si>
    <t>BHM-DFW</t>
  </si>
  <si>
    <t>CLT-MDW</t>
  </si>
  <si>
    <t>BWI-CVG</t>
  </si>
  <si>
    <t>PIT-FLL</t>
  </si>
  <si>
    <t>PBI-ISP</t>
  </si>
  <si>
    <t>SEA-LAS</t>
  </si>
  <si>
    <t>TPA-MCI</t>
  </si>
  <si>
    <t>DTW-MIA</t>
  </si>
  <si>
    <t>CLT-SAV</t>
  </si>
  <si>
    <t>MDW-MCO</t>
  </si>
  <si>
    <t>XNA-DFW</t>
  </si>
  <si>
    <t>DEN-BIL</t>
  </si>
  <si>
    <t>SAN-BNA</t>
  </si>
  <si>
    <t>LAS-MDW</t>
  </si>
  <si>
    <t>BOS-MEM</t>
  </si>
  <si>
    <t>SEA-CMH</t>
  </si>
  <si>
    <t>LAS-TUL</t>
  </si>
  <si>
    <t>ATL-SNA</t>
  </si>
  <si>
    <t>PHX-EWR</t>
  </si>
  <si>
    <t>SAN-HOU</t>
  </si>
  <si>
    <t>MDW-RSW</t>
  </si>
  <si>
    <t>EYW-EWR</t>
  </si>
  <si>
    <t>IAH-OKC</t>
  </si>
  <si>
    <t>TPA-MKE</t>
  </si>
  <si>
    <t>ORD-BNA</t>
  </si>
  <si>
    <t>HOU-MEM</t>
  </si>
  <si>
    <t>ATL-PHX</t>
  </si>
  <si>
    <t>ORD-CMH</t>
  </si>
  <si>
    <t>SHV-IAH</t>
  </si>
  <si>
    <t>EWR-PDX</t>
  </si>
  <si>
    <t>TPA-PHL</t>
  </si>
  <si>
    <t>CLE-DFW</t>
  </si>
  <si>
    <t>AVL-CLT</t>
  </si>
  <si>
    <t>IAH-TUL</t>
  </si>
  <si>
    <t>DCA-PBI</t>
  </si>
  <si>
    <t>PVD-MCO</t>
  </si>
  <si>
    <t>PVD-TPA</t>
  </si>
  <si>
    <t>CLT-PHX</t>
  </si>
  <si>
    <t>MSP-EWR</t>
  </si>
  <si>
    <t>DTW-BHM</t>
  </si>
  <si>
    <t>MCO-ALB</t>
  </si>
  <si>
    <t>BOS-SFO</t>
  </si>
  <si>
    <t>ORD-MDT</t>
  </si>
  <si>
    <t>JFK-DTW</t>
  </si>
  <si>
    <t>DEN-MSP</t>
  </si>
  <si>
    <t>DFW-MSP</t>
  </si>
  <si>
    <t>BNA-EWR</t>
  </si>
  <si>
    <t>ORD-SCE</t>
  </si>
  <si>
    <t>SCE</t>
  </si>
  <si>
    <t>MDW-SLC</t>
  </si>
  <si>
    <t>TYS-ORD</t>
  </si>
  <si>
    <t>LEX-ORD</t>
  </si>
  <si>
    <t>DCA-ALB</t>
  </si>
  <si>
    <t>RDU-LGA</t>
  </si>
  <si>
    <t>BHM-MCO</t>
  </si>
  <si>
    <t>PHX-MCO</t>
  </si>
  <si>
    <t>MCO-IAH</t>
  </si>
  <si>
    <t>CMH-LAS</t>
  </si>
  <si>
    <t>PBI-HPN</t>
  </si>
  <si>
    <t>BUF-CLT</t>
  </si>
  <si>
    <t>AGS-DFW</t>
  </si>
  <si>
    <t>MSP-ORD</t>
  </si>
  <si>
    <t>DCA-GSO</t>
  </si>
  <si>
    <t>CVG-VPS</t>
  </si>
  <si>
    <t>BOS-LAS</t>
  </si>
  <si>
    <t>BOS-MDW</t>
  </si>
  <si>
    <t>RNO-SEA</t>
  </si>
  <si>
    <t>PHX-LAS</t>
  </si>
  <si>
    <t>EWR-BUF</t>
  </si>
  <si>
    <t>MDW-BHM</t>
  </si>
  <si>
    <t>SUX-ORD</t>
  </si>
  <si>
    <t>DTW-AUS</t>
  </si>
  <si>
    <t>TPA-BHM</t>
  </si>
  <si>
    <t>SDF-CLT</t>
  </si>
  <si>
    <t>DAL-RDU</t>
  </si>
  <si>
    <t>MDW-RDU</t>
  </si>
  <si>
    <t>CLT-CHS</t>
  </si>
  <si>
    <t>DCA-PWM</t>
  </si>
  <si>
    <t>BDL-ORD</t>
  </si>
  <si>
    <t>ATL-AUS</t>
  </si>
  <si>
    <t>DEN-BZN</t>
  </si>
  <si>
    <t>DAL-SLC</t>
  </si>
  <si>
    <t>ATL-HNL</t>
  </si>
  <si>
    <t>RSW-MKE</t>
  </si>
  <si>
    <t>BZN-DEN</t>
  </si>
  <si>
    <t>IAH-IAD</t>
  </si>
  <si>
    <t>CMH-FLL</t>
  </si>
  <si>
    <t>MCI-SAN</t>
  </si>
  <si>
    <t>DCA-DAY</t>
  </si>
  <si>
    <t>SEA-BUR</t>
  </si>
  <si>
    <t>MSP-BOS</t>
  </si>
  <si>
    <t>ORD-LSE</t>
  </si>
  <si>
    <t>LSE</t>
  </si>
  <si>
    <t>BDL-PBI</t>
  </si>
  <si>
    <t>PHL-GSP</t>
  </si>
  <si>
    <t>TPA-SJU</t>
  </si>
  <si>
    <t>IAH-DCA</t>
  </si>
  <si>
    <t>EWR-RSW</t>
  </si>
  <si>
    <t>DAL-SNA</t>
  </si>
  <si>
    <t>CLT-CRW</t>
  </si>
  <si>
    <t>TPA-EWR</t>
  </si>
  <si>
    <t>ORD-IAD</t>
  </si>
  <si>
    <t>TPA-BNA</t>
  </si>
  <si>
    <t>RDU-DFW</t>
  </si>
  <si>
    <t>SAN-ABQ</t>
  </si>
  <si>
    <t>ORD-DEN</t>
  </si>
  <si>
    <t>EWR-DFW</t>
  </si>
  <si>
    <t>DCA-BUF</t>
  </si>
  <si>
    <t>ORD-MIA</t>
  </si>
  <si>
    <t>MDW-CVG</t>
  </si>
  <si>
    <t>ORD-LAX</t>
  </si>
  <si>
    <t>SYR-CLT</t>
  </si>
  <si>
    <t>COU-ORD</t>
  </si>
  <si>
    <t>AGS-DCA</t>
  </si>
  <si>
    <t>MHT-MCO</t>
  </si>
  <si>
    <t>SAN-OAK</t>
  </si>
  <si>
    <t>PHX-SAN</t>
  </si>
  <si>
    <t>ORD-CWA</t>
  </si>
  <si>
    <t>ORD-AVL</t>
  </si>
  <si>
    <t>IAH-DEN</t>
  </si>
  <si>
    <t>RIC-BWI</t>
  </si>
  <si>
    <t>JAX-JFK</t>
  </si>
  <si>
    <t>MDW-DCA</t>
  </si>
  <si>
    <t>CLT-GSP</t>
  </si>
  <si>
    <t>DEN-FAT</t>
  </si>
  <si>
    <t>CVG-ORD</t>
  </si>
  <si>
    <t>ORD-DAL</t>
  </si>
  <si>
    <t>STL-OMA</t>
  </si>
  <si>
    <t>BWI-MHT</t>
  </si>
  <si>
    <t>DAL-LAS</t>
  </si>
  <si>
    <t>EWR-RDU</t>
  </si>
  <si>
    <t>MSN-ORD</t>
  </si>
  <si>
    <t>SLC-DFW</t>
  </si>
  <si>
    <t>LAS-FAT</t>
  </si>
  <si>
    <t>ORD-TUS</t>
  </si>
  <si>
    <t>TPA-DCA</t>
  </si>
  <si>
    <t>BNA-CLE</t>
  </si>
  <si>
    <t>BDL-DCA</t>
  </si>
  <si>
    <t>ATL-PVD</t>
  </si>
  <si>
    <t>LAS-SAT</t>
  </si>
  <si>
    <t>DEN-SAV</t>
  </si>
  <si>
    <t>BOS-BUF</t>
  </si>
  <si>
    <t>ORD-BWI</t>
  </si>
  <si>
    <t>RSW-CMH</t>
  </si>
  <si>
    <t>DCA-LGA</t>
  </si>
  <si>
    <t>DEN-SBA</t>
  </si>
  <si>
    <t>DCA-BHM</t>
  </si>
  <si>
    <t>TPA-LGA</t>
  </si>
  <si>
    <t>DEN-HSV</t>
  </si>
  <si>
    <t>ORD-ALB</t>
  </si>
  <si>
    <t>FAR-ORD</t>
  </si>
  <si>
    <t>SDF-BOS</t>
  </si>
  <si>
    <t>PHL-PIT</t>
  </si>
  <si>
    <t>DAL-IND</t>
  </si>
  <si>
    <t>DEN-CPR</t>
  </si>
  <si>
    <t>MSY-SAT</t>
  </si>
  <si>
    <t>IAD-MCO</t>
  </si>
  <si>
    <t>SHV-DFW</t>
  </si>
  <si>
    <t>ICT-DFW</t>
  </si>
  <si>
    <t>DAL-COS</t>
  </si>
  <si>
    <t>STL-RSW</t>
  </si>
  <si>
    <t>ABE-ORD</t>
  </si>
  <si>
    <t>LGA-LIT</t>
  </si>
  <si>
    <t>TPA-DAL</t>
  </si>
  <si>
    <t>ORD-CVG</t>
  </si>
  <si>
    <t>SEA-MCI</t>
  </si>
  <si>
    <t>SAN-RNO</t>
  </si>
  <si>
    <t>EWR-CLT</t>
  </si>
  <si>
    <t>ABQ-BUR</t>
  </si>
  <si>
    <t>BNA-PHL</t>
  </si>
  <si>
    <t>LAS-KOA</t>
  </si>
  <si>
    <t>LGA-ORD</t>
  </si>
  <si>
    <t>PHL-BOS</t>
  </si>
  <si>
    <t>SJU-MIA</t>
  </si>
  <si>
    <t>DFW-IDA</t>
  </si>
  <si>
    <t>HLN-DEN</t>
  </si>
  <si>
    <t>HLN</t>
  </si>
  <si>
    <t>BOS-RDU</t>
  </si>
  <si>
    <t>CAE-DCA</t>
  </si>
  <si>
    <t>LAS-CMH</t>
  </si>
  <si>
    <t>DAL-BWI</t>
  </si>
  <si>
    <t>ORD-GSP</t>
  </si>
  <si>
    <t>LAS-STL</t>
  </si>
  <si>
    <t>ATL-ORF</t>
  </si>
  <si>
    <t>ORD-CLT</t>
  </si>
  <si>
    <t>IND-CLT</t>
  </si>
  <si>
    <t>CLT-BTR</t>
  </si>
  <si>
    <t>STL-MCI</t>
  </si>
  <si>
    <t>ACY-FLL</t>
  </si>
  <si>
    <t>OAK-SAN</t>
  </si>
  <si>
    <t>DCA-TPA</t>
  </si>
  <si>
    <t>ATL-ALB</t>
  </si>
  <si>
    <t>MSP-FWA</t>
  </si>
  <si>
    <t>DAL-MDW</t>
  </si>
  <si>
    <t>SFO-PHX</t>
  </si>
  <si>
    <t>CVG-LAS</t>
  </si>
  <si>
    <t>XWA-DEN</t>
  </si>
  <si>
    <t>DCA-MHT</t>
  </si>
  <si>
    <t>ATL-MSY</t>
  </si>
  <si>
    <t>PIA-DFW</t>
  </si>
  <si>
    <t>RDU-MCO</t>
  </si>
  <si>
    <t>CID-ORD</t>
  </si>
  <si>
    <t>DEN-RAP</t>
  </si>
  <si>
    <t>AUS-SJC</t>
  </si>
  <si>
    <t>OMA-DAL</t>
  </si>
  <si>
    <t>SAN-STS</t>
  </si>
  <si>
    <t>ORD-ABQ</t>
  </si>
  <si>
    <t>DCA-PDX</t>
  </si>
  <si>
    <t>LGA-DAL</t>
  </si>
  <si>
    <t>ORD-HPN</t>
  </si>
  <si>
    <t>FSD-ORD</t>
  </si>
  <si>
    <t>LAS-LIH</t>
  </si>
  <si>
    <t>BWI-GSP</t>
  </si>
  <si>
    <t>DAL-MKE</t>
  </si>
  <si>
    <t>DEN-HDN</t>
  </si>
  <si>
    <t>DAL-ELP</t>
  </si>
  <si>
    <t>PSP-LAS</t>
  </si>
  <si>
    <t>CMH-ORD</t>
  </si>
  <si>
    <t>PHL-CLT</t>
  </si>
  <si>
    <t>SMF-HNL</t>
  </si>
  <si>
    <t>CVG-TPA</t>
  </si>
  <si>
    <t>GRR-ORD</t>
  </si>
  <si>
    <t>DCA-MIA</t>
  </si>
  <si>
    <t>AUS-EWR</t>
  </si>
  <si>
    <t>LAS-MCI</t>
  </si>
  <si>
    <t>BNA-MCO</t>
  </si>
  <si>
    <t>CVG-MIA</t>
  </si>
  <si>
    <t>AUS-IND</t>
  </si>
  <si>
    <t>MKE-CLT</t>
  </si>
  <si>
    <t>DCA-SRQ</t>
  </si>
  <si>
    <t>ORD-SRQ</t>
  </si>
  <si>
    <t>ATL-ROC</t>
  </si>
  <si>
    <t>IAH-CLT</t>
  </si>
  <si>
    <t>STT-JFK</t>
  </si>
  <si>
    <t>ATL-BOS</t>
  </si>
  <si>
    <t>OMA-DEN</t>
  </si>
  <si>
    <t>JFK-SYR</t>
  </si>
  <si>
    <t>IAD-JAX</t>
  </si>
  <si>
    <t>STL-LAS</t>
  </si>
  <si>
    <t>EWR-MSP</t>
  </si>
  <si>
    <t>IAH-IND</t>
  </si>
  <si>
    <t>LAS-DFW</t>
  </si>
  <si>
    <t>MGM-DFW</t>
  </si>
  <si>
    <t>GEG-DFW</t>
  </si>
  <si>
    <t>MDW-LGB</t>
  </si>
  <si>
    <t>ORD-STL</t>
  </si>
  <si>
    <t>MDW-DEN</t>
  </si>
  <si>
    <t>BWI-SDF</t>
  </si>
  <si>
    <t>MEM-LAS</t>
  </si>
  <si>
    <t>AUS-ELP</t>
  </si>
  <si>
    <t>DEN-DTW</t>
  </si>
  <si>
    <t>STS-SNA</t>
  </si>
  <si>
    <t>DCA-DAL</t>
  </si>
  <si>
    <t>BUF-DCA</t>
  </si>
  <si>
    <t>MDW-MSY</t>
  </si>
  <si>
    <t>PHL-STL</t>
  </si>
  <si>
    <t>SEA-DEN</t>
  </si>
  <si>
    <t>HNL-SMF</t>
  </si>
  <si>
    <t>SGF-DEN</t>
  </si>
  <si>
    <t>SEA-PIT</t>
  </si>
  <si>
    <t>STL-OKC</t>
  </si>
  <si>
    <t>TPA-JFK</t>
  </si>
  <si>
    <t>MDW-CHS</t>
  </si>
  <si>
    <t>JFK-ORD</t>
  </si>
  <si>
    <t>IAH-ORD</t>
  </si>
  <si>
    <t>DCA-SJU</t>
  </si>
  <si>
    <t>MSY-LGA</t>
  </si>
  <si>
    <t>ORD-IAH</t>
  </si>
  <si>
    <t>OKC-DFW</t>
  </si>
  <si>
    <t>SEA-MIA</t>
  </si>
  <si>
    <t>MEM-IAH</t>
  </si>
  <si>
    <t>ORD-ROC</t>
  </si>
  <si>
    <t>LAS-JFK</t>
  </si>
  <si>
    <t>MSP-SAT</t>
  </si>
  <si>
    <t>MCW-ORD</t>
  </si>
  <si>
    <t>MCW</t>
  </si>
  <si>
    <t>PHL-SAV</t>
  </si>
  <si>
    <t>DTW-BOS</t>
  </si>
  <si>
    <t>SAN-TUS</t>
  </si>
  <si>
    <t>BOS-EWR</t>
  </si>
  <si>
    <t>CHS-DFW</t>
  </si>
  <si>
    <t>DEN-CLT</t>
  </si>
  <si>
    <t>DEN-SLN</t>
  </si>
  <si>
    <t>SLN</t>
  </si>
  <si>
    <t>DAL-MSY</t>
  </si>
  <si>
    <t>BUF-ORD</t>
  </si>
  <si>
    <t>CLT-ILM</t>
  </si>
  <si>
    <t>CID-DFW</t>
  </si>
  <si>
    <t>SFO-SEA</t>
  </si>
  <si>
    <t>DEC-ORD</t>
  </si>
  <si>
    <t>DEC</t>
  </si>
  <si>
    <t>STL-DEN</t>
  </si>
  <si>
    <t>OKC-DEN</t>
  </si>
  <si>
    <t>DEN-ANC</t>
  </si>
  <si>
    <t>LAS-MIA</t>
  </si>
  <si>
    <t>MCI-PHL</t>
  </si>
  <si>
    <t>DFW-LIT</t>
  </si>
  <si>
    <t>EWR-SRQ</t>
  </si>
  <si>
    <t>ONT-LAS</t>
  </si>
  <si>
    <t>SEA-BZN</t>
  </si>
  <si>
    <t>DEN-IAD</t>
  </si>
  <si>
    <t>PIT-MCO</t>
  </si>
  <si>
    <t>DEN-PRC</t>
  </si>
  <si>
    <t>PHX-OAK</t>
  </si>
  <si>
    <t>MCI-TPA</t>
  </si>
  <si>
    <t>GRR-LAS</t>
  </si>
  <si>
    <t>LAS-EWR</t>
  </si>
  <si>
    <t>DSM-CLT</t>
  </si>
  <si>
    <t>MSP-BIL</t>
  </si>
  <si>
    <t>GRB-ORD</t>
  </si>
  <si>
    <t>CLT-PIA</t>
  </si>
  <si>
    <t>DFW-TLH</t>
  </si>
  <si>
    <t>DCA-VPS</t>
  </si>
  <si>
    <t>HOU-LGA</t>
  </si>
  <si>
    <t>IAH-BWI</t>
  </si>
  <si>
    <t>PHL-BDL</t>
  </si>
  <si>
    <t>PHL-PWM</t>
  </si>
  <si>
    <t>IAD-LGA</t>
  </si>
  <si>
    <t>OAK-LAS</t>
  </si>
  <si>
    <t>BOS-SAT</t>
  </si>
  <si>
    <t>LAS-RNO</t>
  </si>
  <si>
    <t>DCA-MCO</t>
  </si>
  <si>
    <t>PHL-SLC</t>
  </si>
  <si>
    <t>ABQ-DFW</t>
  </si>
  <si>
    <t>PIE-GRR</t>
  </si>
  <si>
    <t>ATL-LGA</t>
  </si>
  <si>
    <t>AUS-MSY</t>
  </si>
  <si>
    <t>DEN-BFL</t>
  </si>
  <si>
    <t>DFW-LBB</t>
  </si>
  <si>
    <t>LAS-OGG</t>
  </si>
  <si>
    <t>JFK-MCI</t>
  </si>
  <si>
    <t>BNA-ORD</t>
  </si>
  <si>
    <t>MHT-DCA</t>
  </si>
  <si>
    <t>LAS-BWI</t>
  </si>
  <si>
    <t>ACT-DFW</t>
  </si>
  <si>
    <t>ACT</t>
  </si>
  <si>
    <t>PHL-DEN</t>
  </si>
  <si>
    <t>SEA-ORD</t>
  </si>
  <si>
    <t>AUS-CMH</t>
  </si>
  <si>
    <t>HPN-FLL</t>
  </si>
  <si>
    <t>ORD-MSY</t>
  </si>
  <si>
    <t>TUS-SFO</t>
  </si>
  <si>
    <t>PHX-PIT</t>
  </si>
  <si>
    <t>AUS-JFK</t>
  </si>
  <si>
    <t>DTW-SFO</t>
  </si>
  <si>
    <t>BOS-ORD</t>
  </si>
  <si>
    <t>MLI-ORD</t>
  </si>
  <si>
    <t>SEA-KTN</t>
  </si>
  <si>
    <t>TPA-AUS</t>
  </si>
  <si>
    <t>CVG-MCO</t>
  </si>
  <si>
    <t>LNK-DEN</t>
  </si>
  <si>
    <t>DEN-ATL</t>
  </si>
  <si>
    <t>CLT-HPN</t>
  </si>
  <si>
    <t>COU-DFW</t>
  </si>
  <si>
    <t>OMA-MCO</t>
  </si>
  <si>
    <t>HPN-ORD</t>
  </si>
  <si>
    <t>JAX-EWR</t>
  </si>
  <si>
    <t>LAS-BNA</t>
  </si>
  <si>
    <t>STL-AUS</t>
  </si>
  <si>
    <t>SEA-BWI</t>
  </si>
  <si>
    <t>IND-DFW</t>
  </si>
  <si>
    <t>BOS-LAX</t>
  </si>
  <si>
    <t>LIT-DEN</t>
  </si>
  <si>
    <t>CLT-MYR</t>
  </si>
  <si>
    <t>BOS-SEA</t>
  </si>
  <si>
    <t>MCI-DEN</t>
  </si>
  <si>
    <t>OGG-SAN</t>
  </si>
  <si>
    <t>CLT-MDT</t>
  </si>
  <si>
    <t>MDW-OMA</t>
  </si>
  <si>
    <t>PHL-MSY</t>
  </si>
  <si>
    <t>PHL-CHS</t>
  </si>
  <si>
    <t>DAL-SJC</t>
  </si>
  <si>
    <t>IAH-SAT</t>
  </si>
  <si>
    <t>ORD-JAX</t>
  </si>
  <si>
    <t>LAS-SMF</t>
  </si>
  <si>
    <t>ORD-CAE</t>
  </si>
  <si>
    <t>AUS-IAH</t>
  </si>
  <si>
    <t>BOS-MIA</t>
  </si>
  <si>
    <t>LAS-PHX</t>
  </si>
  <si>
    <t>IAH-RDU</t>
  </si>
  <si>
    <t>BNA-LAS</t>
  </si>
  <si>
    <t>SEA-MSY</t>
  </si>
  <si>
    <t>SEA-STS</t>
  </si>
  <si>
    <t>ORD-DEC</t>
  </si>
  <si>
    <t>IAH-LAS</t>
  </si>
  <si>
    <t>IAD-BOS</t>
  </si>
  <si>
    <t>ORD-ROA</t>
  </si>
  <si>
    <t>CLT-AVL</t>
  </si>
  <si>
    <t>DTW-PBI</t>
  </si>
  <si>
    <t>LAX-DFW</t>
  </si>
  <si>
    <t>PNS-DCA</t>
  </si>
  <si>
    <t>MSY-MCO</t>
  </si>
  <si>
    <t>PDX-DFW</t>
  </si>
  <si>
    <t>CLE-SEA</t>
  </si>
  <si>
    <t>STL-LIT</t>
  </si>
  <si>
    <t>MCO-SEA</t>
  </si>
  <si>
    <t>HOU-TUS</t>
  </si>
  <si>
    <t>DEN-RSW</t>
  </si>
  <si>
    <t>DEN-GJT</t>
  </si>
  <si>
    <t>TTN-TPA</t>
  </si>
  <si>
    <t>SRQ-LGA</t>
  </si>
  <si>
    <t>DEN-CID</t>
  </si>
  <si>
    <t>SDF-MCO</t>
  </si>
  <si>
    <t>MCO-SLC</t>
  </si>
  <si>
    <t>STT-FLL</t>
  </si>
  <si>
    <t>SEA-DAL</t>
  </si>
  <si>
    <t>DTW-MCO</t>
  </si>
  <si>
    <t>MCI-CLT</t>
  </si>
  <si>
    <t>MSY-PHL</t>
  </si>
  <si>
    <t>ILM-DCA</t>
  </si>
  <si>
    <t>PHX-COS</t>
  </si>
  <si>
    <t>ELP-DFW</t>
  </si>
  <si>
    <t>BOS-PHX</t>
  </si>
  <si>
    <t>EWR-ROC</t>
  </si>
  <si>
    <t>CLT-AGS</t>
  </si>
  <si>
    <t>DTW-FLL</t>
  </si>
  <si>
    <t>SEA-DCA</t>
  </si>
  <si>
    <t>SEA-EWR</t>
  </si>
  <si>
    <t>DEN-PSP</t>
  </si>
  <si>
    <t>STL-DCA</t>
  </si>
  <si>
    <t>TPA-MDW</t>
  </si>
  <si>
    <t>MSY-AUS</t>
  </si>
  <si>
    <t>STL-MCO</t>
  </si>
  <si>
    <t>BTV-PHL</t>
  </si>
  <si>
    <t>ORD-PDX</t>
  </si>
  <si>
    <t>LGA-MDW</t>
  </si>
  <si>
    <t>BOS-SRQ</t>
  </si>
  <si>
    <t>SGF-DFW</t>
  </si>
  <si>
    <t>ORD-SYR</t>
  </si>
  <si>
    <t>DAY-ORD</t>
  </si>
  <si>
    <t>SAN-SMF</t>
  </si>
  <si>
    <t>IAH-PIT</t>
  </si>
  <si>
    <t>OAK-EUG</t>
  </si>
  <si>
    <t>TLH-DFW</t>
  </si>
  <si>
    <t>IND-RSW</t>
  </si>
  <si>
    <t>SJU-ORD</t>
  </si>
  <si>
    <t>ROA-ORD</t>
  </si>
  <si>
    <t>IAH-PDX</t>
  </si>
  <si>
    <t>MSN-PHX</t>
  </si>
  <si>
    <t>STL-IAH</t>
  </si>
  <si>
    <t>IAH-TPA</t>
  </si>
  <si>
    <t>SFO-BZN</t>
  </si>
  <si>
    <t>CLT-DAB</t>
  </si>
  <si>
    <t>CLE-MIA</t>
  </si>
  <si>
    <t>MCO-MIA</t>
  </si>
  <si>
    <t>BWI-STL</t>
  </si>
  <si>
    <t>SFO-HNL</t>
  </si>
  <si>
    <t>CLT-OAJ</t>
  </si>
  <si>
    <t>OAJ</t>
  </si>
  <si>
    <t>SLC-BOS</t>
  </si>
  <si>
    <t>BOS-IAH</t>
  </si>
  <si>
    <t>LAS-BUR</t>
  </si>
  <si>
    <t>OGG-SEA</t>
  </si>
  <si>
    <t>SEA-IAH</t>
  </si>
  <si>
    <t>ABQ-SEA</t>
  </si>
  <si>
    <t>CVG-DCA</t>
  </si>
  <si>
    <t>CHS-SEA</t>
  </si>
  <si>
    <t>DEN-MTJ</t>
  </si>
  <si>
    <t>SFO-BOS</t>
  </si>
  <si>
    <t>DCA-TUL</t>
  </si>
  <si>
    <t>ORD-RDU</t>
  </si>
  <si>
    <t>TTN-MCO</t>
  </si>
  <si>
    <t>HOU-DCA</t>
  </si>
  <si>
    <t>CHS-FLL</t>
  </si>
  <si>
    <t>LAS-ICT</t>
  </si>
  <si>
    <t>IAD-DFW</t>
  </si>
  <si>
    <t>DAL-ABQ</t>
  </si>
  <si>
    <t>SJU-CLT</t>
  </si>
  <si>
    <t>TPA-CLE</t>
  </si>
  <si>
    <t>PHX-IND</t>
  </si>
  <si>
    <t>DDC-DEN</t>
  </si>
  <si>
    <t>DDC</t>
  </si>
  <si>
    <t>PHX-JFK</t>
  </si>
  <si>
    <t>MSY-DAL</t>
  </si>
  <si>
    <t>DFW-MGM</t>
  </si>
  <si>
    <t>MTJ-DFW</t>
  </si>
  <si>
    <t>LAX-STL</t>
  </si>
  <si>
    <t>MCO-LAX</t>
  </si>
  <si>
    <t>MDW-AUS</t>
  </si>
  <si>
    <t>MDW-DAL</t>
  </si>
  <si>
    <t>ATL-SBN</t>
  </si>
  <si>
    <t>DTW-DCA</t>
  </si>
  <si>
    <t>DCA-RSW</t>
  </si>
  <si>
    <t>DEN-FAR</t>
  </si>
  <si>
    <t>LFT-DFW</t>
  </si>
  <si>
    <t>TYS-CLT</t>
  </si>
  <si>
    <t>LGA-DEN</t>
  </si>
  <si>
    <t>AUS-LGB</t>
  </si>
  <si>
    <t>CPR-DEN</t>
  </si>
  <si>
    <t>LAX-FLL</t>
  </si>
  <si>
    <t>GJT-DEN</t>
  </si>
  <si>
    <t>PVU-DFW</t>
  </si>
  <si>
    <t>PHX-CVG</t>
  </si>
  <si>
    <t>JAC-LAX</t>
  </si>
  <si>
    <t>LAS-PDX</t>
  </si>
  <si>
    <t>DFW-YUM</t>
  </si>
  <si>
    <t>SEA-MDW</t>
  </si>
  <si>
    <t>BOS-JFK</t>
  </si>
  <si>
    <t>DFW-DAY</t>
  </si>
  <si>
    <t>PHX-MKE</t>
  </si>
  <si>
    <t>FLL-DEN</t>
  </si>
  <si>
    <t>GRR-DCA</t>
  </si>
  <si>
    <t>LAX-DAL</t>
  </si>
  <si>
    <t>SLC-DAL</t>
  </si>
  <si>
    <t>MCI-JFK</t>
  </si>
  <si>
    <t>DEN-LAX</t>
  </si>
  <si>
    <t>MSO-DFW</t>
  </si>
  <si>
    <t>JFK-BNA</t>
  </si>
  <si>
    <t>DCA-MSY</t>
  </si>
  <si>
    <t>SNA-STS</t>
  </si>
  <si>
    <t>SEA-KOA</t>
  </si>
  <si>
    <t>DCA-CLE</t>
  </si>
  <si>
    <t>XNA-DEN</t>
  </si>
  <si>
    <t>HNL-SEA</t>
  </si>
  <si>
    <t>SGF-CLT</t>
  </si>
  <si>
    <t>MTJ-DEN</t>
  </si>
  <si>
    <t>IAH-MSP</t>
  </si>
  <si>
    <t>PHX-CLE</t>
  </si>
  <si>
    <t>DEN-BIS</t>
  </si>
  <si>
    <t>PHL-LAX</t>
  </si>
  <si>
    <t>SMF-SFO</t>
  </si>
  <si>
    <t>SAN-PHX</t>
  </si>
  <si>
    <t>BNA-TPA</t>
  </si>
  <si>
    <t>TYR-DFW</t>
  </si>
  <si>
    <t>TYR</t>
  </si>
  <si>
    <t>EWR-MSY</t>
  </si>
  <si>
    <t>DCA-BOS</t>
  </si>
  <si>
    <t>HOU-LAX</t>
  </si>
  <si>
    <t>SAF-DFW</t>
  </si>
  <si>
    <t>PHL-MYR</t>
  </si>
  <si>
    <t>LAX-ATL</t>
  </si>
  <si>
    <t>IAH-SJU</t>
  </si>
  <si>
    <t>IAH-LIT</t>
  </si>
  <si>
    <t>DFW-SNA</t>
  </si>
  <si>
    <t>RAP-DEN</t>
  </si>
  <si>
    <t>DEN-COD</t>
  </si>
  <si>
    <t>CHA-DFW</t>
  </si>
  <si>
    <t>EGE-DEN</t>
  </si>
  <si>
    <t>MKE-RSW</t>
  </si>
  <si>
    <t>CLT-EYW</t>
  </si>
  <si>
    <t>ATW-DEN</t>
  </si>
  <si>
    <t>JAN-DFW</t>
  </si>
  <si>
    <t>LAS-CLE</t>
  </si>
  <si>
    <t>DCA-BDL</t>
  </si>
  <si>
    <t>LAS-LGB</t>
  </si>
  <si>
    <t>PIT-SEA</t>
  </si>
  <si>
    <t>CLT-MHT</t>
  </si>
  <si>
    <t>STL-PHX</t>
  </si>
  <si>
    <t>TPA-SFO</t>
  </si>
  <si>
    <t>PIT-DFW</t>
  </si>
  <si>
    <t>PHL-BNA</t>
  </si>
  <si>
    <t>RSW-STL</t>
  </si>
  <si>
    <t>BIS-DEN</t>
  </si>
  <si>
    <t>MFE-DFW</t>
  </si>
  <si>
    <t>AUS-HOU</t>
  </si>
  <si>
    <t>SAN-MDW</t>
  </si>
  <si>
    <t>DFW-SBN</t>
  </si>
  <si>
    <t>MAF-DEN</t>
  </si>
  <si>
    <t>JFK-AUS</t>
  </si>
  <si>
    <t>DCA-LAX</t>
  </si>
  <si>
    <t>PWM-DCA</t>
  </si>
  <si>
    <t>CMH-DAL</t>
  </si>
  <si>
    <t>AUS-OKC</t>
  </si>
  <si>
    <t>IAD-SFO</t>
  </si>
  <si>
    <t>SDF-MIA</t>
  </si>
  <si>
    <t>ATL-SYR</t>
  </si>
  <si>
    <t>FAT-LAS</t>
  </si>
  <si>
    <t>TUL-DFW</t>
  </si>
  <si>
    <t>SMF-SAN</t>
  </si>
  <si>
    <t>RDU-FLL</t>
  </si>
  <si>
    <t>PVD-ORD</t>
  </si>
  <si>
    <t>DCA-HSV</t>
  </si>
  <si>
    <t>CHA-CLT</t>
  </si>
  <si>
    <t>BNA-JFK</t>
  </si>
  <si>
    <t>DTW-SAN</t>
  </si>
  <si>
    <t>HOU-JAN</t>
  </si>
  <si>
    <t>DEN-DCA</t>
  </si>
  <si>
    <t>DEN-DRO</t>
  </si>
  <si>
    <t>DCA-MCI</t>
  </si>
  <si>
    <t>BOI-SFO</t>
  </si>
  <si>
    <t>SJU-JFK</t>
  </si>
  <si>
    <t>CVG-FLL</t>
  </si>
  <si>
    <t>DCA-CLT</t>
  </si>
  <si>
    <t>DCA-DSM</t>
  </si>
  <si>
    <t>ROC-ORD</t>
  </si>
  <si>
    <t>JAX-MIA</t>
  </si>
  <si>
    <t>FAT-SAN</t>
  </si>
  <si>
    <t>ORD-BDL</t>
  </si>
  <si>
    <t>HOU-AUS</t>
  </si>
  <si>
    <t>AEX-DFW</t>
  </si>
  <si>
    <t>AEX</t>
  </si>
  <si>
    <t>MDW-BWI</t>
  </si>
  <si>
    <t>DFW-AGS</t>
  </si>
  <si>
    <t>DCA-CHS</t>
  </si>
  <si>
    <t>PHX-GEG</t>
  </si>
  <si>
    <t>SFB-ABE</t>
  </si>
  <si>
    <t>STL-DSM</t>
  </si>
  <si>
    <t>DRO-DFW</t>
  </si>
  <si>
    <t>PIA-CLT</t>
  </si>
  <si>
    <t>SEA-LIH</t>
  </si>
  <si>
    <t>BZN-ORD</t>
  </si>
  <si>
    <t>CLT-ABE</t>
  </si>
  <si>
    <t>LGA-SAV</t>
  </si>
  <si>
    <t>ORD-PHX</t>
  </si>
  <si>
    <t>TPA-DEN</t>
  </si>
  <si>
    <t>FLL-DTW</t>
  </si>
  <si>
    <t>BQN-JFK</t>
  </si>
  <si>
    <t>DEN-MOT</t>
  </si>
  <si>
    <t>BLV-VPS</t>
  </si>
  <si>
    <t>BLV</t>
  </si>
  <si>
    <t>SJC-SAN</t>
  </si>
  <si>
    <t>ATL-STT</t>
  </si>
  <si>
    <t>CVG-RDU</t>
  </si>
  <si>
    <t>RDU-CLT</t>
  </si>
  <si>
    <t>PHX-BOS</t>
  </si>
  <si>
    <t>ORD-FOD</t>
  </si>
  <si>
    <t>FOD</t>
  </si>
  <si>
    <t>DCA-CVG</t>
  </si>
  <si>
    <t>JFK-SFO</t>
  </si>
  <si>
    <t>MSN-CLT</t>
  </si>
  <si>
    <t>SFO-LAX</t>
  </si>
  <si>
    <t>CHS-DAL</t>
  </si>
  <si>
    <t>DCA-AVL</t>
  </si>
  <si>
    <t>PHL-BTV</t>
  </si>
  <si>
    <t>AUS-MAF</t>
  </si>
  <si>
    <t>SLC-BWI</t>
  </si>
  <si>
    <t>PHL-IAH</t>
  </si>
  <si>
    <t>STL-TPA</t>
  </si>
  <si>
    <t>ALB-CLT</t>
  </si>
  <si>
    <t>JFK-SAV</t>
  </si>
  <si>
    <t>IAH-PHX</t>
  </si>
  <si>
    <t>ORD-DTW</t>
  </si>
  <si>
    <t>MDW-ONT</t>
  </si>
  <si>
    <t>RDU-JFK</t>
  </si>
  <si>
    <t>GRR-PIE</t>
  </si>
  <si>
    <t>JST-ORD</t>
  </si>
  <si>
    <t>ATL-CLE</t>
  </si>
  <si>
    <t>BGR-DCA</t>
  </si>
  <si>
    <t>DAL-PHX</t>
  </si>
  <si>
    <t>GSO-ORD</t>
  </si>
  <si>
    <t>HPN-MCO</t>
  </si>
  <si>
    <t>VPS-CLT</t>
  </si>
  <si>
    <t>DCA-HOU</t>
  </si>
  <si>
    <t>AMA-LAS</t>
  </si>
  <si>
    <t>ACK-LGA</t>
  </si>
  <si>
    <t>DAL-PIT</t>
  </si>
  <si>
    <t>RDU-MIA</t>
  </si>
  <si>
    <t>DAL-MCI</t>
  </si>
  <si>
    <t>ATL-GRB</t>
  </si>
  <si>
    <t>FSD-DEN</t>
  </si>
  <si>
    <t>SNA-LAS</t>
  </si>
  <si>
    <t>MDW-RIC</t>
  </si>
  <si>
    <t>DFW-BTR</t>
  </si>
  <si>
    <t>SRQ-MDW</t>
  </si>
  <si>
    <t>ATL-RSW</t>
  </si>
  <si>
    <t>HOU-BHM</t>
  </si>
  <si>
    <t>GSP-CLT</t>
  </si>
  <si>
    <t>CMH-CLT</t>
  </si>
  <si>
    <t>PIT-RSW</t>
  </si>
  <si>
    <t>ORF-BNA</t>
  </si>
  <si>
    <t>IAH-BNA</t>
  </si>
  <si>
    <t>BOS-DEN</t>
  </si>
  <si>
    <t>DTW-JFK</t>
  </si>
  <si>
    <t>IAH-MFE</t>
  </si>
  <si>
    <t>PSC-SFO</t>
  </si>
  <si>
    <t>SAF-PHX</t>
  </si>
  <si>
    <t>DFW-JFK</t>
  </si>
  <si>
    <t>AUS-MCI</t>
  </si>
  <si>
    <t>BOS-ATL</t>
  </si>
  <si>
    <t>HNL-ATL</t>
  </si>
  <si>
    <t>BOS-MSY</t>
  </si>
  <si>
    <t>CLE-DCA</t>
  </si>
  <si>
    <t>DRO-DEN</t>
  </si>
  <si>
    <t>SAN-DEN</t>
  </si>
  <si>
    <t>LAS-RDU</t>
  </si>
  <si>
    <t>ABQ-SAN</t>
  </si>
  <si>
    <t>BUR-LAS</t>
  </si>
  <si>
    <t>TPA-TTN</t>
  </si>
  <si>
    <t>DAL-BNA</t>
  </si>
  <si>
    <t>SLN-ORD</t>
  </si>
  <si>
    <t>HOU-IND</t>
  </si>
  <si>
    <t>LAX-HOU</t>
  </si>
  <si>
    <t>ATL-MDW</t>
  </si>
  <si>
    <t>HOU-DFW</t>
  </si>
  <si>
    <t>SAN-SJC</t>
  </si>
  <si>
    <t>STL-DAL</t>
  </si>
  <si>
    <t>LAS-CVG</t>
  </si>
  <si>
    <t>PHL-IND</t>
  </si>
  <si>
    <t>AUS-PDX</t>
  </si>
  <si>
    <t>PWM-ORD</t>
  </si>
  <si>
    <t>MVY-LGA</t>
  </si>
  <si>
    <t>MVY</t>
  </si>
  <si>
    <t>ORD-ELP</t>
  </si>
  <si>
    <t>ALB-ORD</t>
  </si>
  <si>
    <t>DAL-HOU</t>
  </si>
  <si>
    <t>MSP-SFO</t>
  </si>
  <si>
    <t>MIA-SAV</t>
  </si>
  <si>
    <t>SAN-BOI</t>
  </si>
  <si>
    <t>DFW-SAF</t>
  </si>
  <si>
    <t>DEN-HLN</t>
  </si>
  <si>
    <t>SAN-STL</t>
  </si>
  <si>
    <t>DEN-SGU</t>
  </si>
  <si>
    <t>LAS-SEA</t>
  </si>
  <si>
    <t>PHL-ORD</t>
  </si>
  <si>
    <t>JAX-CLT</t>
  </si>
  <si>
    <t>CLT-JAN</t>
  </si>
  <si>
    <t>BWI-ATL</t>
  </si>
  <si>
    <t>DEN-SAF</t>
  </si>
  <si>
    <t>LAX-MIA</t>
  </si>
  <si>
    <t>FAT-SFO</t>
  </si>
  <si>
    <t>EWR-SAV</t>
  </si>
  <si>
    <t>DCA-SFO</t>
  </si>
  <si>
    <t>BTR-DFW</t>
  </si>
  <si>
    <t>SEA-OMA</t>
  </si>
  <si>
    <t>ORD-PWM</t>
  </si>
  <si>
    <t>RDU-IAH</t>
  </si>
  <si>
    <t>PHX-HOU</t>
  </si>
  <si>
    <t>COS-LAS</t>
  </si>
  <si>
    <t>BOS-DTW</t>
  </si>
  <si>
    <t>ECP-CLT</t>
  </si>
  <si>
    <t>LAS-SNA</t>
  </si>
  <si>
    <t>DFW-BIL</t>
  </si>
  <si>
    <t>MIA-GSP</t>
  </si>
  <si>
    <t>ATL-RIC</t>
  </si>
  <si>
    <t>SFO-PSP</t>
  </si>
  <si>
    <t>BZN-SFO</t>
  </si>
  <si>
    <t>XNA-LAX</t>
  </si>
  <si>
    <t>LAS-SCK</t>
  </si>
  <si>
    <t>MSP-DFW</t>
  </si>
  <si>
    <t>BWI-BHM</t>
  </si>
  <si>
    <t>ORD-PIT</t>
  </si>
  <si>
    <t>RDU-AUS</t>
  </si>
  <si>
    <t>CHS-PHL</t>
  </si>
  <si>
    <t>RSW-MDW</t>
  </si>
  <si>
    <t>EWR-PHX</t>
  </si>
  <si>
    <t>DEN-SNA</t>
  </si>
  <si>
    <t>ATL-SAT</t>
  </si>
  <si>
    <t>PHL-SRQ</t>
  </si>
  <si>
    <t>DFW-XNA</t>
  </si>
  <si>
    <t>TPA-LAS</t>
  </si>
  <si>
    <t>PIT-TPA</t>
  </si>
  <si>
    <t>MYR-EWR</t>
  </si>
  <si>
    <t>BIS-DFW</t>
  </si>
  <si>
    <t>BGR-EWR</t>
  </si>
  <si>
    <t>DSM-LAS</t>
  </si>
  <si>
    <t>CVG-PHL</t>
  </si>
  <si>
    <t>STL-CLE</t>
  </si>
  <si>
    <t>SAT-MCO</t>
  </si>
  <si>
    <t>DCA-STL</t>
  </si>
  <si>
    <t>AUS-CLT</t>
  </si>
  <si>
    <t>SFO-ACV</t>
  </si>
  <si>
    <t>SYR-ORD</t>
  </si>
  <si>
    <t>IAH-MEI</t>
  </si>
  <si>
    <t>MEI</t>
  </si>
  <si>
    <t>TPA-ATL</t>
  </si>
  <si>
    <t>SAV-JFK</t>
  </si>
  <si>
    <t>RDU-BOS</t>
  </si>
  <si>
    <t>LIT-CLT</t>
  </si>
  <si>
    <t>DEN-GTF</t>
  </si>
  <si>
    <t>DTW-GRR</t>
  </si>
  <si>
    <t>PHX-DEN</t>
  </si>
  <si>
    <t>PIT-MIA</t>
  </si>
  <si>
    <t>PHX-EUG</t>
  </si>
  <si>
    <t>MSP-MCO</t>
  </si>
  <si>
    <t>SJU-BWI</t>
  </si>
  <si>
    <t>MCI-LAX</t>
  </si>
  <si>
    <t>SNA-AUS</t>
  </si>
  <si>
    <t>PHX-SAT</t>
  </si>
  <si>
    <t>HOU-SAN</t>
  </si>
  <si>
    <t>IAD-ORD</t>
  </si>
  <si>
    <t>IAH-MDW</t>
  </si>
  <si>
    <t>DCA-DEN</t>
  </si>
  <si>
    <t>SLC-MIA</t>
  </si>
  <si>
    <t>OAK-DAL</t>
  </si>
  <si>
    <t>JAX-PHL</t>
  </si>
  <si>
    <t>LGA-SRQ</t>
  </si>
  <si>
    <t>MDW-CLE</t>
  </si>
  <si>
    <t>LEX-DFW</t>
  </si>
  <si>
    <t>BOS-SAV</t>
  </si>
  <si>
    <t>PHL-ATL</t>
  </si>
  <si>
    <t>DCA-ILM</t>
  </si>
  <si>
    <t>PWM-PHL</t>
  </si>
  <si>
    <t>ATL-DTW</t>
  </si>
  <si>
    <t>MCI-DCA</t>
  </si>
  <si>
    <t>CHO-LGA</t>
  </si>
  <si>
    <t>BWI-BNA</t>
  </si>
  <si>
    <t>TPA-CLT</t>
  </si>
  <si>
    <t>PDX-MCO</t>
  </si>
  <si>
    <t>COS-DEN</t>
  </si>
  <si>
    <t>BDL-FLL</t>
  </si>
  <si>
    <t>DEN-LIH</t>
  </si>
  <si>
    <t>TPA-ORD</t>
  </si>
  <si>
    <t>ATL-ELP</t>
  </si>
  <si>
    <t>DCA-LAS</t>
  </si>
  <si>
    <t>PDX-ANC</t>
  </si>
  <si>
    <t>DEN-JAC</t>
  </si>
  <si>
    <t>SAV-BNA</t>
  </si>
  <si>
    <t>SFO-BUR</t>
  </si>
  <si>
    <t>DFW-ABI</t>
  </si>
  <si>
    <t>ABI</t>
  </si>
  <si>
    <t>JFK-PWM</t>
  </si>
  <si>
    <t>MCO-MSP</t>
  </si>
  <si>
    <t>BUF-DEN</t>
  </si>
  <si>
    <t>MSP-PSC</t>
  </si>
  <si>
    <t>LBB-LAS</t>
  </si>
  <si>
    <t>LGA-ATL</t>
  </si>
  <si>
    <t>DFW-HSV</t>
  </si>
  <si>
    <t>BHM-ORD</t>
  </si>
  <si>
    <t>CLT-HSV</t>
  </si>
  <si>
    <t>DCA-MYR</t>
  </si>
  <si>
    <t>DTW-PHX</t>
  </si>
  <si>
    <t>DCA-DFW</t>
  </si>
  <si>
    <t>LAX-HNL</t>
  </si>
  <si>
    <t>SLC-AUS</t>
  </si>
  <si>
    <t>DAL-TUL</t>
  </si>
  <si>
    <t>SEA-MCO</t>
  </si>
  <si>
    <t>PHX-BWI</t>
  </si>
  <si>
    <t>BOS-RIC</t>
  </si>
  <si>
    <t>DTW-OMA</t>
  </si>
  <si>
    <t>BFL-SFO</t>
  </si>
  <si>
    <t>DFW-GCK</t>
  </si>
  <si>
    <t>GCK</t>
  </si>
  <si>
    <t>SEA-PHX</t>
  </si>
  <si>
    <t>DFW-SHV</t>
  </si>
  <si>
    <t>DFW-PIA</t>
  </si>
  <si>
    <t>JFK-SEA</t>
  </si>
  <si>
    <t>SLC-MCO</t>
  </si>
  <si>
    <t>RIC-DEN</t>
  </si>
  <si>
    <t>MCO-IAD</t>
  </si>
  <si>
    <t>SLC-FLL</t>
  </si>
  <si>
    <t>SEA-SAN</t>
  </si>
  <si>
    <t>DAL-PNS</t>
  </si>
  <si>
    <t>RSW-IND</t>
  </si>
  <si>
    <t>DCA-MKE</t>
  </si>
  <si>
    <t>BGR-PHL</t>
  </si>
  <si>
    <t>OAK-DEN</t>
  </si>
  <si>
    <t>PWM-CLT</t>
  </si>
  <si>
    <t>DCA-JAX</t>
  </si>
  <si>
    <t>MSP-AUS</t>
  </si>
  <si>
    <t>EWR-CLE</t>
  </si>
  <si>
    <t>GSO-CLT</t>
  </si>
  <si>
    <t>CMH-DEN</t>
  </si>
  <si>
    <t>JFK-IAD</t>
  </si>
  <si>
    <t>DSM-ORD</t>
  </si>
  <si>
    <t>BOS-SLC</t>
  </si>
  <si>
    <t>OAK-BOI</t>
  </si>
  <si>
    <t>ONT-HNL</t>
  </si>
  <si>
    <t>OAK-HNL</t>
  </si>
  <si>
    <t>DTW-GRB</t>
  </si>
  <si>
    <t>PNS-CLT</t>
  </si>
  <si>
    <t>ORD-XNA</t>
  </si>
  <si>
    <t>DTW-HPN</t>
  </si>
  <si>
    <t>SAV-BWI</t>
  </si>
  <si>
    <t>MSP-DCA</t>
  </si>
  <si>
    <t>DFW-LFT</t>
  </si>
  <si>
    <t>IAH-MAF</t>
  </si>
  <si>
    <t>ORD-SJU</t>
  </si>
  <si>
    <t>CVG-PGD</t>
  </si>
  <si>
    <t>DEN-FSD</t>
  </si>
  <si>
    <t>GRI-DFW</t>
  </si>
  <si>
    <t>GRI</t>
  </si>
  <si>
    <t>LGB-LAS</t>
  </si>
  <si>
    <t>OKC-SEA</t>
  </si>
  <si>
    <t>DAL-ATL</t>
  </si>
  <si>
    <t>SAN-JFK</t>
  </si>
  <si>
    <t>MCI-BOS</t>
  </si>
  <si>
    <t>STL-SAT</t>
  </si>
  <si>
    <t>PHX-MSN</t>
  </si>
  <si>
    <t>BHM-MIA</t>
  </si>
  <si>
    <t>EYW-DCA</t>
  </si>
  <si>
    <t>DFW-HOU</t>
  </si>
  <si>
    <t>DCA-MSN</t>
  </si>
  <si>
    <t>DEN-PSC</t>
  </si>
  <si>
    <t>DFW-JAN</t>
  </si>
  <si>
    <t>HOU-LAS</t>
  </si>
  <si>
    <t>OKC-LAS</t>
  </si>
  <si>
    <t>LAR-DEN</t>
  </si>
  <si>
    <t>LAR</t>
  </si>
  <si>
    <t>DTW-EWR</t>
  </si>
  <si>
    <t>DEN-FCA</t>
  </si>
  <si>
    <t>AUS-MFE</t>
  </si>
  <si>
    <t>GSP-DCA</t>
  </si>
  <si>
    <t>RSW-CVG</t>
  </si>
  <si>
    <t>MDW-PIT</t>
  </si>
  <si>
    <t>HSV-CLT</t>
  </si>
  <si>
    <t>BUF-MCO</t>
  </si>
  <si>
    <t>MEM-DAL</t>
  </si>
  <si>
    <t>PIT-PHX</t>
  </si>
  <si>
    <t>LAS-ORD</t>
  </si>
  <si>
    <t>SMF-DFW</t>
  </si>
  <si>
    <t>JFK-ACK</t>
  </si>
  <si>
    <t>MEM-ORD</t>
  </si>
  <si>
    <t>CMH-SEA</t>
  </si>
  <si>
    <t>ANC-CDV</t>
  </si>
  <si>
    <t>CDV</t>
  </si>
  <si>
    <t>LGA-CHS</t>
  </si>
  <si>
    <t>DTW-LAS</t>
  </si>
  <si>
    <t>JFK-LAS</t>
  </si>
  <si>
    <t>OAK-SEA</t>
  </si>
  <si>
    <t>DCA-ROC</t>
  </si>
  <si>
    <t>CHS-JFK</t>
  </si>
  <si>
    <t>ATL-BUF</t>
  </si>
  <si>
    <t>MDW-MCI</t>
  </si>
  <si>
    <t>IDA-DEN</t>
  </si>
  <si>
    <t>BOS-PHL</t>
  </si>
  <si>
    <t>LAS-SJC</t>
  </si>
  <si>
    <t>DTW-IAH</t>
  </si>
  <si>
    <t>SAN-BWI</t>
  </si>
  <si>
    <t>TPA-PHX</t>
  </si>
  <si>
    <t>DCA-BTV</t>
  </si>
  <si>
    <t>FLL-STT</t>
  </si>
  <si>
    <t>MDW-DTW</t>
  </si>
  <si>
    <t>EWR-JAX</t>
  </si>
  <si>
    <t>LGA-MCI</t>
  </si>
  <si>
    <t>CVG-PHX</t>
  </si>
  <si>
    <t>PHX-ICT</t>
  </si>
  <si>
    <t>BNA-JAX</t>
  </si>
  <si>
    <t>IAH-SAN</t>
  </si>
  <si>
    <t>DEN-MSO</t>
  </si>
  <si>
    <t>PHL-MEM</t>
  </si>
  <si>
    <t>ORD-SDF</t>
  </si>
  <si>
    <t>STL-HOU</t>
  </si>
  <si>
    <t>SCE-ORD</t>
  </si>
  <si>
    <t>BNA-DEN</t>
  </si>
  <si>
    <t>DAL-SEA</t>
  </si>
  <si>
    <t>BUF-ATL</t>
  </si>
  <si>
    <t>MDW-ABQ</t>
  </si>
  <si>
    <t>PDX-DCA</t>
  </si>
  <si>
    <t>RIC-LGA</t>
  </si>
  <si>
    <t>CID-DEN</t>
  </si>
  <si>
    <t>MSP-SBN</t>
  </si>
  <si>
    <t>ATL-IAD</t>
  </si>
  <si>
    <t>DFW-GRK</t>
  </si>
  <si>
    <t>OKC-DCA</t>
  </si>
  <si>
    <t>BOS-DCA</t>
  </si>
  <si>
    <t>HPN-DTW</t>
  </si>
  <si>
    <t>MFE-AUS</t>
  </si>
  <si>
    <t>BUF-BOS</t>
  </si>
  <si>
    <t>PHX-AUS</t>
  </si>
  <si>
    <t>MDW-CMH</t>
  </si>
  <si>
    <t>AUS-SFO</t>
  </si>
  <si>
    <t>DAL-ORD</t>
  </si>
  <si>
    <t>HHH-CLT</t>
  </si>
  <si>
    <t>AUS-BNA</t>
  </si>
  <si>
    <t>DAL-LGB</t>
  </si>
  <si>
    <t>RIC-FLL</t>
  </si>
  <si>
    <t>MSY-DEN</t>
  </si>
  <si>
    <t>DFW-ACT</t>
  </si>
  <si>
    <t>LAX-EWR</t>
  </si>
  <si>
    <t>BIL-DEN</t>
  </si>
  <si>
    <t>DEN-MRY</t>
  </si>
  <si>
    <t>BOI-LAS</t>
  </si>
  <si>
    <t>PRC-DEN</t>
  </si>
  <si>
    <t>XWA-MSP</t>
  </si>
  <si>
    <t>MSP-DEN</t>
  </si>
  <si>
    <t>DTW-IAD</t>
  </si>
  <si>
    <t>SAF-DEN</t>
  </si>
  <si>
    <t>AUS-CVG</t>
  </si>
  <si>
    <t>CLT-GPT</t>
  </si>
  <si>
    <t>BOS-CVG</t>
  </si>
  <si>
    <t>IAH-MSY</t>
  </si>
  <si>
    <t>EYW-MIA</t>
  </si>
  <si>
    <t>ATL-DAL</t>
  </si>
  <si>
    <t>CLT-SBN</t>
  </si>
  <si>
    <t>PHX-MDW</t>
  </si>
  <si>
    <t>RDU-TPA</t>
  </si>
  <si>
    <t>CLT-GSO</t>
  </si>
  <si>
    <t>MFR-SFO</t>
  </si>
  <si>
    <t>DTW-ORD</t>
  </si>
  <si>
    <t>ILM-DFW</t>
  </si>
  <si>
    <t>MYR-PHL</t>
  </si>
  <si>
    <t>MCI-IND</t>
  </si>
  <si>
    <t>BQK-ATL</t>
  </si>
  <si>
    <t>BQK</t>
  </si>
  <si>
    <t>AUS-LAX</t>
  </si>
  <si>
    <t>RSW-EWR</t>
  </si>
  <si>
    <t>JFK-PHX</t>
  </si>
  <si>
    <t>JFK-BTV</t>
  </si>
  <si>
    <t>JFK-MSY</t>
  </si>
  <si>
    <t>PIT-LAS</t>
  </si>
  <si>
    <t>HOU-MCO</t>
  </si>
  <si>
    <t>DTW-TPA</t>
  </si>
  <si>
    <t>ABQ-LAS</t>
  </si>
  <si>
    <t>IND-PHX</t>
  </si>
  <si>
    <t>SEA-SMF</t>
  </si>
  <si>
    <t>CHS-MIA</t>
  </si>
  <si>
    <t>DAL-LBB</t>
  </si>
  <si>
    <t>JFK-RDU</t>
  </si>
  <si>
    <t>FAT-DFW</t>
  </si>
  <si>
    <t>DEN-OGG</t>
  </si>
  <si>
    <t>BNA-LGB</t>
  </si>
  <si>
    <t>TYS-DCA</t>
  </si>
  <si>
    <t>PHX-KOA</t>
  </si>
  <si>
    <t>LEX-CLT</t>
  </si>
  <si>
    <t>DEN-HYS</t>
  </si>
  <si>
    <t>HYS</t>
  </si>
  <si>
    <t>SMF-PSP</t>
  </si>
  <si>
    <t>DFW-MOB</t>
  </si>
  <si>
    <t>HOU-PHX</t>
  </si>
  <si>
    <t>ONT-DFW</t>
  </si>
  <si>
    <t>BDL-CLT</t>
  </si>
  <si>
    <t>ROC-CLT</t>
  </si>
  <si>
    <t>MCI-LAS</t>
  </si>
  <si>
    <t>LGA-CAE</t>
  </si>
  <si>
    <t>LAS-PHL</t>
  </si>
  <si>
    <t>SMF-LAS</t>
  </si>
  <si>
    <t>EWR-ORF</t>
  </si>
  <si>
    <t>ROC-DCA</t>
  </si>
  <si>
    <t>SEA-TUS</t>
  </si>
  <si>
    <t>DTW-ELM</t>
  </si>
  <si>
    <t>ELM</t>
  </si>
  <si>
    <t>TPA-CMH</t>
  </si>
  <si>
    <t>DLH-ORD</t>
  </si>
  <si>
    <t>PDX-JFK</t>
  </si>
  <si>
    <t>DEN-XWA</t>
  </si>
  <si>
    <t>RSW-ORD</t>
  </si>
  <si>
    <t>RNO-LAS</t>
  </si>
  <si>
    <t>DCA-SYR</t>
  </si>
  <si>
    <t>PHX-CID</t>
  </si>
  <si>
    <t>MOT-DEN</t>
  </si>
  <si>
    <t>RIC-CLT</t>
  </si>
  <si>
    <t>MEM-DEN</t>
  </si>
  <si>
    <t>PWM-ATL</t>
  </si>
  <si>
    <t>SFO-ORD</t>
  </si>
  <si>
    <t>MCI-AUS</t>
  </si>
  <si>
    <t>CHS-DCA</t>
  </si>
  <si>
    <t>DCA-OMA</t>
  </si>
  <si>
    <t>DEN-XNA</t>
  </si>
  <si>
    <t>RSW-DEN</t>
  </si>
  <si>
    <t>SBP-SEA</t>
  </si>
  <si>
    <t>TPA-IND</t>
  </si>
  <si>
    <t>LNK-ORD</t>
  </si>
  <si>
    <t>MDW-COS</t>
  </si>
  <si>
    <t>ORD-RSW</t>
  </si>
  <si>
    <t>PHX-DFW</t>
  </si>
  <si>
    <t>AUS-DEN</t>
  </si>
  <si>
    <t>FWA-DFW</t>
  </si>
  <si>
    <t>STT-ATL</t>
  </si>
  <si>
    <t>SAT-TPA</t>
  </si>
  <si>
    <t>LAS-SLC</t>
  </si>
  <si>
    <t>BNA-LGA</t>
  </si>
  <si>
    <t>MDW-SDF</t>
  </si>
  <si>
    <t>HOU-HRL</t>
  </si>
  <si>
    <t>RDM-DEN</t>
  </si>
  <si>
    <t>ATL-FWA</t>
  </si>
  <si>
    <t>STL-CLT</t>
  </si>
  <si>
    <t>ATL-CID</t>
  </si>
  <si>
    <t>HOU-MCI</t>
  </si>
  <si>
    <t>EUG-SFO</t>
  </si>
  <si>
    <t>HOU-ABQ</t>
  </si>
  <si>
    <t>MSP-JFK</t>
  </si>
  <si>
    <t>LGA-IAH</t>
  </si>
  <si>
    <t>JFK-SLC</t>
  </si>
  <si>
    <t>DCA-PVD</t>
  </si>
  <si>
    <t>IAD-IAH</t>
  </si>
  <si>
    <t>TPA-BDL</t>
  </si>
  <si>
    <t>TPA-MIA</t>
  </si>
  <si>
    <t>BWI-DTW</t>
  </si>
  <si>
    <t>BOS-STL</t>
  </si>
  <si>
    <t>DFW-BIS</t>
  </si>
  <si>
    <t>HOU-DEN</t>
  </si>
  <si>
    <t>MCI-MSY</t>
  </si>
  <si>
    <t>SBA-SEA</t>
  </si>
  <si>
    <t>MSN-DCA</t>
  </si>
  <si>
    <t>JFK-LAX</t>
  </si>
  <si>
    <t>GRR-CLT</t>
  </si>
  <si>
    <t>SFO-SBP</t>
  </si>
  <si>
    <t>IAD-TPA</t>
  </si>
  <si>
    <t>TPA-ISP</t>
  </si>
  <si>
    <t>BNA-DCA</t>
  </si>
  <si>
    <t>SEA-RDU</t>
  </si>
  <si>
    <t>BUF-JFK</t>
  </si>
  <si>
    <t>SAT-SAN</t>
  </si>
  <si>
    <t>PBI-BDL</t>
  </si>
  <si>
    <t>MLI-CLT</t>
  </si>
  <si>
    <t>SAN-OGG</t>
  </si>
  <si>
    <t>JFK-DCA</t>
  </si>
  <si>
    <t>AUS-ORD</t>
  </si>
  <si>
    <t>FLL-SLC</t>
  </si>
  <si>
    <t>BNA-PHX</t>
  </si>
  <si>
    <t>PHX-DSM</t>
  </si>
  <si>
    <t>ATW-MSP</t>
  </si>
  <si>
    <t>EWR-DTW</t>
  </si>
  <si>
    <t>ROW-DFW</t>
  </si>
  <si>
    <t>ROW</t>
  </si>
  <si>
    <t>RDU-DEN</t>
  </si>
  <si>
    <t>LGA-BNA</t>
  </si>
  <si>
    <t>ANC-OME</t>
  </si>
  <si>
    <t>OME</t>
  </si>
  <si>
    <t>PHL-MKE</t>
  </si>
  <si>
    <t>LAS-EUG</t>
  </si>
  <si>
    <t>ORF-DEN</t>
  </si>
  <si>
    <t>IAH-PIB</t>
  </si>
  <si>
    <t>PIB</t>
  </si>
  <si>
    <t>MFE-LAS</t>
  </si>
  <si>
    <t>SDF-LAS</t>
  </si>
  <si>
    <t>ATL-PWM</t>
  </si>
  <si>
    <t>PDX-EWR</t>
  </si>
  <si>
    <t>CLT-BHM</t>
  </si>
  <si>
    <t>ATL-CRW</t>
  </si>
  <si>
    <t>BNA-CHS</t>
  </si>
  <si>
    <t>CLT-ECP</t>
  </si>
  <si>
    <t>STL-EWR</t>
  </si>
  <si>
    <t>SFO-SLC</t>
  </si>
  <si>
    <t>MKE-DCA</t>
  </si>
  <si>
    <t>DEN-DIK</t>
  </si>
  <si>
    <t>DIK</t>
  </si>
  <si>
    <t>BOS-PIT</t>
  </si>
  <si>
    <t>DCA-JFK</t>
  </si>
  <si>
    <t>SJC-DFW</t>
  </si>
  <si>
    <t>BNA-RDU</t>
  </si>
  <si>
    <t>DEN-LBF</t>
  </si>
  <si>
    <t>LBF</t>
  </si>
  <si>
    <t>DTW-SJU</t>
  </si>
  <si>
    <t>DFW-AMA</t>
  </si>
  <si>
    <t>BNA-SAV</t>
  </si>
  <si>
    <t>LAX-PRC</t>
  </si>
  <si>
    <t>GRR-BWI</t>
  </si>
  <si>
    <t>OMA-ORD</t>
  </si>
  <si>
    <t>SAV-DCA</t>
  </si>
  <si>
    <t>DCA-RDU</t>
  </si>
  <si>
    <t>DAY-DCA</t>
  </si>
  <si>
    <t>MSY-HOU</t>
  </si>
  <si>
    <t>LGA-RDU</t>
  </si>
  <si>
    <t>DEN-SUX</t>
  </si>
  <si>
    <t>PHX-TUL</t>
  </si>
  <si>
    <t>LCH-DFW</t>
  </si>
  <si>
    <t>LCH</t>
  </si>
  <si>
    <t>MSP-IAH</t>
  </si>
  <si>
    <t>SLC-ORD</t>
  </si>
  <si>
    <t>PHX-BNA</t>
  </si>
  <si>
    <t>JFK-MSP</t>
  </si>
  <si>
    <t>SFO-IAD</t>
  </si>
  <si>
    <t>MEM-CLT</t>
  </si>
  <si>
    <t>SEA-GEG</t>
  </si>
  <si>
    <t>EWR-EYW</t>
  </si>
  <si>
    <t>DTW-DEN</t>
  </si>
  <si>
    <t>CMH-AUS</t>
  </si>
  <si>
    <t>EWR-CHS</t>
  </si>
  <si>
    <t>SFO-ONT</t>
  </si>
  <si>
    <t>OAK-GEG</t>
  </si>
  <si>
    <t>LAX-MCO</t>
  </si>
  <si>
    <t>BNA-ECP</t>
  </si>
  <si>
    <t>SMF-DAL</t>
  </si>
  <si>
    <t>ATL-MCI</t>
  </si>
  <si>
    <t>BWI-ORD</t>
  </si>
  <si>
    <t>BNA-SEA</t>
  </si>
  <si>
    <t>ATL-RDU</t>
  </si>
  <si>
    <t>IAH-PHL</t>
  </si>
  <si>
    <t>DFW-COU</t>
  </si>
  <si>
    <t>TPA-PIT</t>
  </si>
  <si>
    <t>ORD-PSP</t>
  </si>
  <si>
    <t>IND-DAL</t>
  </si>
  <si>
    <t>LAW-DFW</t>
  </si>
  <si>
    <t>LAW</t>
  </si>
  <si>
    <t>JFK-SAN</t>
  </si>
  <si>
    <t>BNA-LAX</t>
  </si>
  <si>
    <t>MOB-DFW</t>
  </si>
  <si>
    <t>BOS-MYR</t>
  </si>
  <si>
    <t>MRY-SAN</t>
  </si>
  <si>
    <t>MSY-BWI</t>
  </si>
  <si>
    <t>RIC-ORD</t>
  </si>
  <si>
    <t>CLT-ATL</t>
  </si>
  <si>
    <t>SGU-DEN</t>
  </si>
  <si>
    <t>MSN-DEN</t>
  </si>
  <si>
    <t>RNO-DFW</t>
  </si>
  <si>
    <t>SFO-PDX</t>
  </si>
  <si>
    <t>DAY-DFW</t>
  </si>
  <si>
    <t>ROA-LGA</t>
  </si>
  <si>
    <t>BOS-BWI</t>
  </si>
  <si>
    <t>ORF-MDW</t>
  </si>
  <si>
    <t>GRK-DFW</t>
  </si>
  <si>
    <t>LIH-KOA</t>
  </si>
  <si>
    <t>BLI-SEA</t>
  </si>
  <si>
    <t>BHM-TPA</t>
  </si>
  <si>
    <t>DFW-SGF</t>
  </si>
  <si>
    <t>SEA-SBP</t>
  </si>
  <si>
    <t>BNA-MYR</t>
  </si>
  <si>
    <t>SLC-HNL</t>
  </si>
  <si>
    <t>CMH-DFW</t>
  </si>
  <si>
    <t>MDW-MSP</t>
  </si>
  <si>
    <t>SJC-AUS</t>
  </si>
  <si>
    <t>DTW-BUF</t>
  </si>
  <si>
    <t>CID-CLT</t>
  </si>
  <si>
    <t>LGA-BOS</t>
  </si>
  <si>
    <t>HOU-SAT</t>
  </si>
  <si>
    <t>DFW-DRO</t>
  </si>
  <si>
    <t>PHX-OMA</t>
  </si>
  <si>
    <t>PBI-CLT</t>
  </si>
  <si>
    <t>OKC-IAH</t>
  </si>
  <si>
    <t>ELP-LAS</t>
  </si>
  <si>
    <t>CLE-CLT</t>
  </si>
  <si>
    <t>RDU-ORD</t>
  </si>
  <si>
    <t>AUS-ABQ</t>
  </si>
  <si>
    <t>LAX-JFK</t>
  </si>
  <si>
    <t>DFW-FWA</t>
  </si>
  <si>
    <t>CLT-HHH</t>
  </si>
  <si>
    <t>TPA-STL</t>
  </si>
  <si>
    <t>CMH-MCO</t>
  </si>
  <si>
    <t>HOU-TUL</t>
  </si>
  <si>
    <t>LBB-DFW</t>
  </si>
  <si>
    <t>BOI-DFW</t>
  </si>
  <si>
    <t>BOS-MCI</t>
  </si>
  <si>
    <t>DTW-TVC</t>
  </si>
  <si>
    <t>SBN-CLT</t>
  </si>
  <si>
    <t>PHX-STL</t>
  </si>
  <si>
    <t>HOU-OKC</t>
  </si>
  <si>
    <t>SLC-HOU</t>
  </si>
  <si>
    <t>RIC-MDW</t>
  </si>
  <si>
    <t>HOU-ELP</t>
  </si>
  <si>
    <t>GCK-DFW</t>
  </si>
  <si>
    <t>SFO-JFK</t>
  </si>
  <si>
    <t>DEN-IDA</t>
  </si>
  <si>
    <t>MEM-EWR</t>
  </si>
  <si>
    <t>MKE-MCO</t>
  </si>
  <si>
    <t>DFW-CHA</t>
  </si>
  <si>
    <t>TPA-ACY</t>
  </si>
  <si>
    <t>HOU-MDW</t>
  </si>
  <si>
    <t>ATL-HOU</t>
  </si>
  <si>
    <t>CLT-CAE</t>
  </si>
  <si>
    <t>JFK-CHS</t>
  </si>
  <si>
    <t>IND-DEN</t>
  </si>
  <si>
    <t>LAX-MEM</t>
  </si>
  <si>
    <t>PVU-AZA</t>
  </si>
  <si>
    <t>DSM-DEN</t>
  </si>
  <si>
    <t>STL-ICT</t>
  </si>
  <si>
    <t>IAD-SEA</t>
  </si>
  <si>
    <t>CLE-EWR</t>
  </si>
  <si>
    <t>STL-MIA</t>
  </si>
  <si>
    <t>TPA-FLL</t>
  </si>
  <si>
    <t>BWI-SLC</t>
  </si>
  <si>
    <t>LAX-AUS</t>
  </si>
  <si>
    <t>MSY-TPA</t>
  </si>
  <si>
    <t>LAS-IAH</t>
  </si>
  <si>
    <t>PHX-FAT</t>
  </si>
  <si>
    <t>BFL-DFW</t>
  </si>
  <si>
    <t>IND-IAH</t>
  </si>
  <si>
    <t>PVD-DCA</t>
  </si>
  <si>
    <t>SAN-ELP</t>
  </si>
  <si>
    <t>AUS-MSP</t>
  </si>
  <si>
    <t>BNA-AUS</t>
  </si>
  <si>
    <t>MGM-ATL</t>
  </si>
  <si>
    <t>MDT-ORD</t>
  </si>
  <si>
    <t>ORF-ORD</t>
  </si>
  <si>
    <t>XNA-ORD</t>
  </si>
  <si>
    <t>LGA-MSN</t>
  </si>
  <si>
    <t>DAL-IAH</t>
  </si>
  <si>
    <t>PHX-MCI</t>
  </si>
  <si>
    <t>BTV-CLT</t>
  </si>
  <si>
    <t>DEN-LAR</t>
  </si>
  <si>
    <t>MDW-TUL</t>
  </si>
  <si>
    <t>PDX-LAS</t>
  </si>
  <si>
    <t>DCA-BNA</t>
  </si>
  <si>
    <t>SJC-LAS</t>
  </si>
  <si>
    <t>CVG-AUS</t>
  </si>
  <si>
    <t>MCI-ORD</t>
  </si>
  <si>
    <t>RSW-HPN</t>
  </si>
  <si>
    <t>STL-SEA</t>
  </si>
  <si>
    <t>BNA-PIT</t>
  </si>
  <si>
    <t>OAJ-CLT</t>
  </si>
  <si>
    <t>BNA-MKE</t>
  </si>
  <si>
    <t>TLH-MIA</t>
  </si>
  <si>
    <t>SFO-JAC</t>
  </si>
  <si>
    <t>DCA-ORD</t>
  </si>
  <si>
    <t>MSP-SAN</t>
  </si>
  <si>
    <t>DEN-CYS</t>
  </si>
  <si>
    <t>CYS</t>
  </si>
  <si>
    <t>IND-MCO</t>
  </si>
  <si>
    <t>STS-LAX</t>
  </si>
  <si>
    <t>CMH-PHL</t>
  </si>
  <si>
    <t>BNA-DAL</t>
  </si>
  <si>
    <t>MDW-JAX</t>
  </si>
  <si>
    <t>ORF-CLT</t>
  </si>
  <si>
    <t>OKC-CLT</t>
  </si>
  <si>
    <t>SFO-FLL</t>
  </si>
  <si>
    <t>HOU-ECP</t>
  </si>
  <si>
    <t>LAX-PHL</t>
  </si>
  <si>
    <t>SEA-FLL</t>
  </si>
  <si>
    <t>BOI-ATL</t>
  </si>
  <si>
    <t>KTN-WRG</t>
  </si>
  <si>
    <t>WRG</t>
  </si>
  <si>
    <t>PHX-OKC</t>
  </si>
  <si>
    <t>IAH-DTW</t>
  </si>
  <si>
    <t>OAK-PHX</t>
  </si>
  <si>
    <t>BHM-BWI</t>
  </si>
  <si>
    <t>DFW-TYR</t>
  </si>
  <si>
    <t>ORF-PHL</t>
  </si>
  <si>
    <t>ORF-EWR</t>
  </si>
  <si>
    <t>IDA-DFW</t>
  </si>
  <si>
    <t>ATL-SRQ</t>
  </si>
  <si>
    <t>GEG-SFO</t>
  </si>
  <si>
    <t>SAT-LAS</t>
  </si>
  <si>
    <t>OGG-LIH</t>
  </si>
  <si>
    <t>BOS-CLE</t>
  </si>
  <si>
    <t>PHX-SBA</t>
  </si>
  <si>
    <t>MYR-FLL</t>
  </si>
  <si>
    <t>GSP-ORD</t>
  </si>
  <si>
    <t>DTW-LAN</t>
  </si>
  <si>
    <t>LAN</t>
  </si>
  <si>
    <t>AUS-PHX</t>
  </si>
  <si>
    <t>ICT-DEN</t>
  </si>
  <si>
    <t>HPN-CLT</t>
  </si>
  <si>
    <t>CRW-ATL</t>
  </si>
  <si>
    <t>DFW-MAF</t>
  </si>
  <si>
    <t>LAS-CLT</t>
  </si>
  <si>
    <t>DEN-RKS</t>
  </si>
  <si>
    <t>RKS</t>
  </si>
  <si>
    <t>PVD-CLT</t>
  </si>
  <si>
    <t>ORF-LGA</t>
  </si>
  <si>
    <t>SMF-GEG</t>
  </si>
  <si>
    <t>HNL-SAN</t>
  </si>
  <si>
    <t>DFW-GRI</t>
  </si>
  <si>
    <t>DAL-STL</t>
  </si>
  <si>
    <t>AUS-BWI</t>
  </si>
  <si>
    <t>DAL-AMA</t>
  </si>
  <si>
    <t>JFK-SAT</t>
  </si>
  <si>
    <t>MKE-PHL</t>
  </si>
  <si>
    <t>DCA-PHL</t>
  </si>
  <si>
    <t>PHL-PHX</t>
  </si>
  <si>
    <t>MCI-MCO</t>
  </si>
  <si>
    <t>PHL-CMH</t>
  </si>
  <si>
    <t>MSP-ANC</t>
  </si>
  <si>
    <t>IAD-DEN</t>
  </si>
  <si>
    <t>BHM-DAL</t>
  </si>
  <si>
    <t>CLE-BOS</t>
  </si>
  <si>
    <t>PHX-MAF</t>
  </si>
  <si>
    <t>DTW-CIU</t>
  </si>
  <si>
    <t>CIU</t>
  </si>
  <si>
    <t>SEA-ATL</t>
  </si>
  <si>
    <t>BWI-IAH</t>
  </si>
  <si>
    <t>STL-MKE</t>
  </si>
  <si>
    <t>BTR-CLT</t>
  </si>
  <si>
    <t>EWR-BTV</t>
  </si>
  <si>
    <t>MIA-TLH</t>
  </si>
  <si>
    <t>HOU-BWI</t>
  </si>
  <si>
    <t>ELP-SAN</t>
  </si>
  <si>
    <t>IND-TPA</t>
  </si>
  <si>
    <t>CLT-MLB</t>
  </si>
  <si>
    <t>DFW-MTJ</t>
  </si>
  <si>
    <t>LAX-BOS</t>
  </si>
  <si>
    <t>SEA-OGG</t>
  </si>
  <si>
    <t>SBN-DTW</t>
  </si>
  <si>
    <t>DAL-AUS</t>
  </si>
  <si>
    <t>DSM-DCA</t>
  </si>
  <si>
    <t>ORD-GSO</t>
  </si>
  <si>
    <t>DTW-ORF</t>
  </si>
  <si>
    <t>DFW-GPT</t>
  </si>
  <si>
    <t>BIL-DFW</t>
  </si>
  <si>
    <t>MCI-HOU</t>
  </si>
  <si>
    <t>SHV-CLT</t>
  </si>
  <si>
    <t>TPA-BWI</t>
  </si>
  <si>
    <t>CLT-MSP</t>
  </si>
  <si>
    <t>MCO-ORF</t>
  </si>
  <si>
    <t>RDU-MDW</t>
  </si>
  <si>
    <t>MSP-CLT</t>
  </si>
  <si>
    <t>SLC-PHL</t>
  </si>
  <si>
    <t>LGA-ROA</t>
  </si>
  <si>
    <t>TUS-SAN</t>
  </si>
  <si>
    <t>FSM-DFW</t>
  </si>
  <si>
    <t>FSM</t>
  </si>
  <si>
    <t>CLT-DTW</t>
  </si>
  <si>
    <t>SAV-MDW</t>
  </si>
  <si>
    <t>EWR-SYR</t>
  </si>
  <si>
    <t>DTW-RSW</t>
  </si>
  <si>
    <t>MSY-CLT</t>
  </si>
  <si>
    <t>IAD-BNA</t>
  </si>
  <si>
    <t>MCO-MHT</t>
  </si>
  <si>
    <t>MSP-PHL</t>
  </si>
  <si>
    <t>IAD-ATL</t>
  </si>
  <si>
    <t>DFW-LAW</t>
  </si>
  <si>
    <t>TPA-BUF</t>
  </si>
  <si>
    <t>DEN-KOA</t>
  </si>
  <si>
    <t>HSV-DEN</t>
  </si>
  <si>
    <t>ICT-ORD</t>
  </si>
  <si>
    <t>RSW-IAH</t>
  </si>
  <si>
    <t>IAH-SLC</t>
  </si>
  <si>
    <t>DTW-MKE</t>
  </si>
  <si>
    <t>MDW-ATL</t>
  </si>
  <si>
    <t>RIC-BOS</t>
  </si>
  <si>
    <t>DTW-ALB</t>
  </si>
  <si>
    <t>PHL-MSP</t>
  </si>
  <si>
    <t>FLG-DFW</t>
  </si>
  <si>
    <t>OKC-ORD</t>
  </si>
  <si>
    <t>STT-CLT</t>
  </si>
  <si>
    <t>FCA-DEN</t>
  </si>
  <si>
    <t>GRR-DEN</t>
  </si>
  <si>
    <t>SEA-IAD</t>
  </si>
  <si>
    <t>STL-TUL</t>
  </si>
  <si>
    <t>CVG-DEN</t>
  </si>
  <si>
    <t>DEN-LBL</t>
  </si>
  <si>
    <t>LBL</t>
  </si>
  <si>
    <t>SLC-SEA</t>
  </si>
  <si>
    <t>SFO-RDD</t>
  </si>
  <si>
    <t>RDD</t>
  </si>
  <si>
    <t>FAT-PHX</t>
  </si>
  <si>
    <t>ORD-MCW</t>
  </si>
  <si>
    <t>HNL-SFO</t>
  </si>
  <si>
    <t>BZN-SEA</t>
  </si>
  <si>
    <t>MKE-DAL</t>
  </si>
  <si>
    <t>STT-MIA</t>
  </si>
  <si>
    <t>MCI-BWI</t>
  </si>
  <si>
    <t>ELP-DEN</t>
  </si>
  <si>
    <t>ATL-BDL</t>
  </si>
  <si>
    <t>SYR-DCA</t>
  </si>
  <si>
    <t>ROC-JFK</t>
  </si>
  <si>
    <t>BNA-MSY</t>
  </si>
  <si>
    <t>RDU-LAS</t>
  </si>
  <si>
    <t>PHX-SMF</t>
  </si>
  <si>
    <t>ATL-SEA</t>
  </si>
  <si>
    <t>ATL-CLT</t>
  </si>
  <si>
    <t>SFO-MSY</t>
  </si>
  <si>
    <t>ORD-IND</t>
  </si>
  <si>
    <t>SFO-IND</t>
  </si>
  <si>
    <t>PHL-EYW</t>
  </si>
  <si>
    <t>EWR-MYR</t>
  </si>
  <si>
    <t>XNA-CLT</t>
  </si>
  <si>
    <t>ORD-BHM</t>
  </si>
  <si>
    <t>CMH-DCA</t>
  </si>
  <si>
    <t>PHX-ONT</t>
  </si>
  <si>
    <t>IAD-FLL</t>
  </si>
  <si>
    <t>SDF-ORD</t>
  </si>
  <si>
    <t>OMA-CLT</t>
  </si>
  <si>
    <t>ORD-RAP</t>
  </si>
  <si>
    <t>LGA-JAX</t>
  </si>
  <si>
    <t>DCA-SDF</t>
  </si>
  <si>
    <t>DEN-BFF</t>
  </si>
  <si>
    <t>BFF</t>
  </si>
  <si>
    <t>PHX-DAL</t>
  </si>
  <si>
    <t>FWA-ATL</t>
  </si>
  <si>
    <t>DTW-GSP</t>
  </si>
  <si>
    <t>SFO-FAT</t>
  </si>
  <si>
    <t>DTW-PVD</t>
  </si>
  <si>
    <t>LGA-DSM</t>
  </si>
  <si>
    <t>SEA-PDX</t>
  </si>
  <si>
    <t>DFW-GGG</t>
  </si>
  <si>
    <t>GGG</t>
  </si>
  <si>
    <t>HOU-SJC</t>
  </si>
  <si>
    <t>MSP-CVG</t>
  </si>
  <si>
    <t>TUS-DFW</t>
  </si>
  <si>
    <t>MSP-MIA</t>
  </si>
  <si>
    <t>DFW-GNV</t>
  </si>
  <si>
    <t>SLC-SAN</t>
  </si>
  <si>
    <t>STL-PHL</t>
  </si>
  <si>
    <t>PHL-BHM</t>
  </si>
  <si>
    <t>LGB-RNO</t>
  </si>
  <si>
    <t>HOU-CRP</t>
  </si>
  <si>
    <t>GGG-DFW</t>
  </si>
  <si>
    <t>RDU-SFO</t>
  </si>
  <si>
    <t>LAS-ATL</t>
  </si>
  <si>
    <t>DTW-ATW</t>
  </si>
  <si>
    <t>BNA-MCI</t>
  </si>
  <si>
    <t>BNA-IAD</t>
  </si>
  <si>
    <t>MIA-STT</t>
  </si>
  <si>
    <t>RSW-BNA</t>
  </si>
  <si>
    <t>LGA-XNA</t>
  </si>
  <si>
    <t>BUR-BOI</t>
  </si>
  <si>
    <t>TPA-HOU</t>
  </si>
  <si>
    <t>ICT-IAH</t>
  </si>
  <si>
    <t>PHX-BUR</t>
  </si>
  <si>
    <t>TXK-DFW</t>
  </si>
  <si>
    <t>TXK</t>
  </si>
  <si>
    <t>EWR-BGR</t>
  </si>
  <si>
    <t>SFO-BOI</t>
  </si>
  <si>
    <t>SFO-SNA</t>
  </si>
  <si>
    <t>DAL-OMA</t>
  </si>
  <si>
    <t>SBP-SAN</t>
  </si>
  <si>
    <t>CLT-IAD</t>
  </si>
  <si>
    <t>LAX-DCA</t>
  </si>
  <si>
    <t>DTW-LGA</t>
  </si>
  <si>
    <t>LGA-DCA</t>
  </si>
  <si>
    <t>EWR-STL</t>
  </si>
  <si>
    <t>DIK-DEN</t>
  </si>
  <si>
    <t>AMA-DFW</t>
  </si>
  <si>
    <t>CVG-RSW</t>
  </si>
  <si>
    <t>DTW-PWM</t>
  </si>
  <si>
    <t>MLI-DEN</t>
  </si>
  <si>
    <t>LAX-MDW</t>
  </si>
  <si>
    <t>SEA-ONT</t>
  </si>
  <si>
    <t>MCI-PHX</t>
  </si>
  <si>
    <t>IAD-PHX</t>
  </si>
  <si>
    <t>OKC-AUS</t>
  </si>
  <si>
    <t>DCA-DTW</t>
  </si>
  <si>
    <t>CMH-TPA</t>
  </si>
  <si>
    <t>PIT-BOS</t>
  </si>
  <si>
    <t>SFO-MIA</t>
  </si>
  <si>
    <t>CID-DCA</t>
  </si>
  <si>
    <t>RDU-SEA</t>
  </si>
  <si>
    <t>DCA-CMH</t>
  </si>
  <si>
    <t>LBL-DEN</t>
  </si>
  <si>
    <t>COS-MDW</t>
  </si>
  <si>
    <t>DCA-SEA</t>
  </si>
  <si>
    <t>GUC-DEN</t>
  </si>
  <si>
    <t>GUC</t>
  </si>
  <si>
    <t>DFW-ROW</t>
  </si>
  <si>
    <t>FSD-PHX</t>
  </si>
  <si>
    <t>SFO-MCO</t>
  </si>
  <si>
    <t>CVG-BOS</t>
  </si>
  <si>
    <t>ABQ-AUS</t>
  </si>
  <si>
    <t>SFO-CLT</t>
  </si>
  <si>
    <t>DTW-CLE</t>
  </si>
  <si>
    <t>ORD-SNA</t>
  </si>
  <si>
    <t>MSP-BOI</t>
  </si>
  <si>
    <t>STL-JAX</t>
  </si>
  <si>
    <t>SAN-CLT</t>
  </si>
  <si>
    <t>CMH-MIA</t>
  </si>
  <si>
    <t>TUL-DEN</t>
  </si>
  <si>
    <t>PHX-PDX</t>
  </si>
  <si>
    <t>CLT-GNV</t>
  </si>
  <si>
    <t>ACY-MCO</t>
  </si>
  <si>
    <t>BHM-DTW</t>
  </si>
  <si>
    <t>MKE-TPA</t>
  </si>
  <si>
    <t>CHS-CLT</t>
  </si>
  <si>
    <t>DFW-TXK</t>
  </si>
  <si>
    <t>EUG-DEN</t>
  </si>
  <si>
    <t>IAD-SJU</t>
  </si>
  <si>
    <t>PBI-PVD</t>
  </si>
  <si>
    <t>ABQ-ORD</t>
  </si>
  <si>
    <t>MIA-GNV</t>
  </si>
  <si>
    <t>SFO-ATL</t>
  </si>
  <si>
    <t>EWR-CVG</t>
  </si>
  <si>
    <t>MKE-JFK</t>
  </si>
  <si>
    <t>TUL-DCA</t>
  </si>
  <si>
    <t>PWM-JFK</t>
  </si>
  <si>
    <t>JAN-CLT</t>
  </si>
  <si>
    <t>CAE-ORD</t>
  </si>
  <si>
    <t>DTW-ATL</t>
  </si>
  <si>
    <t>MIA-IAD</t>
  </si>
  <si>
    <t>SAV-EWR</t>
  </si>
  <si>
    <t>PHL-SDF</t>
  </si>
  <si>
    <t>DFW-EVV</t>
  </si>
  <si>
    <t>DEN-DDC</t>
  </si>
  <si>
    <t>PHX-SJC</t>
  </si>
  <si>
    <t>SAV-PHL</t>
  </si>
  <si>
    <t>OGG-SMF</t>
  </si>
  <si>
    <t>ATL-EYW</t>
  </si>
  <si>
    <t>LAS-LBB</t>
  </si>
  <si>
    <t>BNA-CMH</t>
  </si>
  <si>
    <t>DEN-EGE</t>
  </si>
  <si>
    <t>FSD-ATL</t>
  </si>
  <si>
    <t>CHS-LGA</t>
  </si>
  <si>
    <t>MSP-XWA</t>
  </si>
  <si>
    <t>IAH-LAX</t>
  </si>
  <si>
    <t>LAX-SAT</t>
  </si>
  <si>
    <t>DFW-SJT</t>
  </si>
  <si>
    <t>SJT</t>
  </si>
  <si>
    <t>ATL-PDX</t>
  </si>
  <si>
    <t>MSP-MSN</t>
  </si>
  <si>
    <t>IAH-CLE</t>
  </si>
  <si>
    <t>MSY-BNA</t>
  </si>
  <si>
    <t>CVG-LAX</t>
  </si>
  <si>
    <t>DTW-SAT</t>
  </si>
  <si>
    <t>DTW-LAX</t>
  </si>
  <si>
    <t>TVC-DTW</t>
  </si>
  <si>
    <t>TPA-MSY</t>
  </si>
  <si>
    <t>SBN-ATL</t>
  </si>
  <si>
    <t>GSO-DCA</t>
  </si>
  <si>
    <t>IND-LAX</t>
  </si>
  <si>
    <t>DFW-LRD</t>
  </si>
  <si>
    <t>LRD</t>
  </si>
  <si>
    <t>BNA-SAT</t>
  </si>
  <si>
    <t>DCA-SLC</t>
  </si>
  <si>
    <t>OAK-RNO</t>
  </si>
  <si>
    <t>ATL-ATW</t>
  </si>
  <si>
    <t>SJU-ATL</t>
  </si>
  <si>
    <t>BOS-CLT</t>
  </si>
  <si>
    <t>CIU-DTW</t>
  </si>
  <si>
    <t>CAK-CLT</t>
  </si>
  <si>
    <t>DCA-ATL</t>
  </si>
  <si>
    <t>SAN-EWR</t>
  </si>
  <si>
    <t>LGA-IAD</t>
  </si>
  <si>
    <t>SYR-DFW</t>
  </si>
  <si>
    <t>SFO-MRY</t>
  </si>
  <si>
    <t>GSP-DEN</t>
  </si>
  <si>
    <t>BHM-DCA</t>
  </si>
  <si>
    <t>PIT-DEN</t>
  </si>
  <si>
    <t>PHX-ORD</t>
  </si>
  <si>
    <t>PWM-BWI</t>
  </si>
  <si>
    <t>IAD-CLT</t>
  </si>
  <si>
    <t>DAL-SAT</t>
  </si>
  <si>
    <t>IND-SFO</t>
  </si>
  <si>
    <t>SEA-OKC</t>
  </si>
  <si>
    <t>ORD-BGR</t>
  </si>
  <si>
    <t>GJT-DFW</t>
  </si>
  <si>
    <t>BUR-SEA</t>
  </si>
  <si>
    <t>SJU-IAH</t>
  </si>
  <si>
    <t>SLC-IAH</t>
  </si>
  <si>
    <t>SAV-ORD</t>
  </si>
  <si>
    <t>CLL-DFW</t>
  </si>
  <si>
    <t>CLL</t>
  </si>
  <si>
    <t>STL-PIT</t>
  </si>
  <si>
    <t>LGA-CLT</t>
  </si>
  <si>
    <t>ICT-LAS</t>
  </si>
  <si>
    <t>DTW-PLN</t>
  </si>
  <si>
    <t>PLN</t>
  </si>
  <si>
    <t>ATL-SHV</t>
  </si>
  <si>
    <t>DCA-MEM</t>
  </si>
  <si>
    <t>LAX-PHX</t>
  </si>
  <si>
    <t>DTW-JAX</t>
  </si>
  <si>
    <t>MSP-IND</t>
  </si>
  <si>
    <t>PNS-MIA</t>
  </si>
  <si>
    <t>MAF-DFW</t>
  </si>
  <si>
    <t>PBI-BWI</t>
  </si>
  <si>
    <t>PDX-SAN</t>
  </si>
  <si>
    <t>SFO-GEG</t>
  </si>
  <si>
    <t>CIU-MSP</t>
  </si>
  <si>
    <t>MSP-CIU</t>
  </si>
  <si>
    <t>PHX-HNL</t>
  </si>
  <si>
    <t>IAD-LAX</t>
  </si>
  <si>
    <t>ATL-ABY</t>
  </si>
  <si>
    <t>ABY</t>
  </si>
  <si>
    <t>STL-BWI</t>
  </si>
  <si>
    <t>CMI-ORD</t>
  </si>
  <si>
    <t>BHM-CLT</t>
  </si>
  <si>
    <t>IND-LAS</t>
  </si>
  <si>
    <t>STS-PHX</t>
  </si>
  <si>
    <t>SEA-CHS</t>
  </si>
  <si>
    <t>ANC-BET</t>
  </si>
  <si>
    <t>TPA-IAH</t>
  </si>
  <si>
    <t>JFK-IND</t>
  </si>
  <si>
    <t>PHX-ABQ</t>
  </si>
  <si>
    <t>SRQ-CLT</t>
  </si>
  <si>
    <t>MSY-LAX</t>
  </si>
  <si>
    <t>BNA-PNS</t>
  </si>
  <si>
    <t>IAD-MIA</t>
  </si>
  <si>
    <t>AUS-MDW</t>
  </si>
  <si>
    <t>DFW-BRO</t>
  </si>
  <si>
    <t>BRO</t>
  </si>
  <si>
    <t>HOU-TPA</t>
  </si>
  <si>
    <t>MSP-CLE</t>
  </si>
  <si>
    <t>JAX-MDW</t>
  </si>
  <si>
    <t>MKE-EWR</t>
  </si>
  <si>
    <t>BOS-MKE</t>
  </si>
  <si>
    <t>IAD-AUS</t>
  </si>
  <si>
    <t>MSP-FCA</t>
  </si>
  <si>
    <t>MSP-PHX</t>
  </si>
  <si>
    <t>MLB-CLT</t>
  </si>
  <si>
    <t>PHX-RNO</t>
  </si>
  <si>
    <t>ATL-BTV</t>
  </si>
  <si>
    <t>LAS-BLI</t>
  </si>
  <si>
    <t>PDX-PHX</t>
  </si>
  <si>
    <t>RSW-PIT</t>
  </si>
  <si>
    <t>LAX-IND</t>
  </si>
  <si>
    <t>OMA-LAS</t>
  </si>
  <si>
    <t>ATL-STL</t>
  </si>
  <si>
    <t>LSE-ORD</t>
  </si>
  <si>
    <t>PHX-BOI</t>
  </si>
  <si>
    <t>SFO-PSC</t>
  </si>
  <si>
    <t>FOD-ORD</t>
  </si>
  <si>
    <t>BUR-RNO</t>
  </si>
  <si>
    <t>EWR-PWM</t>
  </si>
  <si>
    <t>MEM-HOU</t>
  </si>
  <si>
    <t>SFO-ABQ</t>
  </si>
  <si>
    <t>DTW-MBS</t>
  </si>
  <si>
    <t>EUG-LAX</t>
  </si>
  <si>
    <t>DFW-RAP</t>
  </si>
  <si>
    <t>ORD-SAV</t>
  </si>
  <si>
    <t>MKE-LAS</t>
  </si>
  <si>
    <t>BWI-GRR</t>
  </si>
  <si>
    <t>DCA-MDW</t>
  </si>
  <si>
    <t>PHL-PVD</t>
  </si>
  <si>
    <t>DTW-MDT</t>
  </si>
  <si>
    <t>MRY-SFO</t>
  </si>
  <si>
    <t>CLE-FLL</t>
  </si>
  <si>
    <t>EVV-DFW</t>
  </si>
  <si>
    <t>IAD-BDL</t>
  </si>
  <si>
    <t>STL-MSY</t>
  </si>
  <si>
    <t>RSW-BWI</t>
  </si>
  <si>
    <t>MLU-DFW</t>
  </si>
  <si>
    <t>MLU</t>
  </si>
  <si>
    <t>SAN-SEA</t>
  </si>
  <si>
    <t>PWM-DTW</t>
  </si>
  <si>
    <t>SAT-IAH</t>
  </si>
  <si>
    <t>LAX-CVG</t>
  </si>
  <si>
    <t>PHX-LGB</t>
  </si>
  <si>
    <t>OGG-ITO</t>
  </si>
  <si>
    <t>ATL-HPN</t>
  </si>
  <si>
    <t>BOS-ORF</t>
  </si>
  <si>
    <t>DAL-MAF</t>
  </si>
  <si>
    <t>PVU-SNA</t>
  </si>
  <si>
    <t>MSP-LGA</t>
  </si>
  <si>
    <t>BZN-ATL</t>
  </si>
  <si>
    <t>MEM-PHX</t>
  </si>
  <si>
    <t>DAL-VPS</t>
  </si>
  <si>
    <t>MKE-DEN</t>
  </si>
  <si>
    <t>TUS-LAS</t>
  </si>
  <si>
    <t>DTW-MSN</t>
  </si>
  <si>
    <t>ATL-SGF</t>
  </si>
  <si>
    <t>DFW-MLI</t>
  </si>
  <si>
    <t>CID-PHX</t>
  </si>
  <si>
    <t>TPA-DTW</t>
  </si>
  <si>
    <t>LAX-RDU</t>
  </si>
  <si>
    <t>STL-CMH</t>
  </si>
  <si>
    <t>MSP-BWI</t>
  </si>
  <si>
    <t>ABQ-DEN</t>
  </si>
  <si>
    <t>ATL-SAV</t>
  </si>
  <si>
    <t>SAT-HOU</t>
  </si>
  <si>
    <t>BNA-SRQ</t>
  </si>
  <si>
    <t>BHM-HOU</t>
  </si>
  <si>
    <t>IMT-MSP</t>
  </si>
  <si>
    <t>IMT</t>
  </si>
  <si>
    <t>COS-PHX</t>
  </si>
  <si>
    <t>PDX-ORD</t>
  </si>
  <si>
    <t>MSP-FSD</t>
  </si>
  <si>
    <t>BNA-HOU</t>
  </si>
  <si>
    <t>MSP-CMH</t>
  </si>
  <si>
    <t>IND-AUS</t>
  </si>
  <si>
    <t>ATL-IND</t>
  </si>
  <si>
    <t>LBF-DEN</t>
  </si>
  <si>
    <t>ATL-MSP</t>
  </si>
  <si>
    <t>MHT-CLT</t>
  </si>
  <si>
    <t>OAK-BLI</t>
  </si>
  <si>
    <t>LAX-TUS</t>
  </si>
  <si>
    <t>BTV-EWR</t>
  </si>
  <si>
    <t>GEG-LAS</t>
  </si>
  <si>
    <t>MSY-ATL</t>
  </si>
  <si>
    <t>CMH-RSW</t>
  </si>
  <si>
    <t>TLH-CLT</t>
  </si>
  <si>
    <t>STL-LGA</t>
  </si>
  <si>
    <t>BDL-BNA</t>
  </si>
  <si>
    <t>RSW-CLE</t>
  </si>
  <si>
    <t>MCI-DAL</t>
  </si>
  <si>
    <t>SEA-LAX</t>
  </si>
  <si>
    <t>TUL-ORD</t>
  </si>
  <si>
    <t>IAD-DTW</t>
  </si>
  <si>
    <t>LGA-DTW</t>
  </si>
  <si>
    <t>BNA-BWI</t>
  </si>
  <si>
    <t>SJT-DFW</t>
  </si>
  <si>
    <t>SNA-DFW</t>
  </si>
  <si>
    <t>ATL-CMH</t>
  </si>
  <si>
    <t>DTW-CHS</t>
  </si>
  <si>
    <t>MSP-GEG</t>
  </si>
  <si>
    <t>SEA-SJC</t>
  </si>
  <si>
    <t>MSP-GRR</t>
  </si>
  <si>
    <t>BHM-DEN</t>
  </si>
  <si>
    <t>MEM-MCO</t>
  </si>
  <si>
    <t>MSP-RST</t>
  </si>
  <si>
    <t>LAS-DTW</t>
  </si>
  <si>
    <t>MOT-MSP</t>
  </si>
  <si>
    <t>MSP-OMA</t>
  </si>
  <si>
    <t>PNS-ORD</t>
  </si>
  <si>
    <t>PDX-DEN</t>
  </si>
  <si>
    <t>ALB-ATL</t>
  </si>
  <si>
    <t>BHM-PHL</t>
  </si>
  <si>
    <t>MSP-BDL</t>
  </si>
  <si>
    <t>SEA-MKE</t>
  </si>
  <si>
    <t>BDL-DEN</t>
  </si>
  <si>
    <t>DTW-BWI</t>
  </si>
  <si>
    <t>MCI-EWR</t>
  </si>
  <si>
    <t>PHX-LIH</t>
  </si>
  <si>
    <t>BNA-IAH</t>
  </si>
  <si>
    <t>MAF-LAS</t>
  </si>
  <si>
    <t>SNA-EWR</t>
  </si>
  <si>
    <t>AUS-DAL</t>
  </si>
  <si>
    <t>MSY-MDW</t>
  </si>
  <si>
    <t>IAD-JST</t>
  </si>
  <si>
    <t>SAT-DEN</t>
  </si>
  <si>
    <t>FAI-SEA</t>
  </si>
  <si>
    <t>BWI-SFO</t>
  </si>
  <si>
    <t>CVG-SEA</t>
  </si>
  <si>
    <t>BOI-DEN</t>
  </si>
  <si>
    <t>IAD-MSY</t>
  </si>
  <si>
    <t>DEN-GSP</t>
  </si>
  <si>
    <t>SFO-RNO</t>
  </si>
  <si>
    <t>SJC-GEG</t>
  </si>
  <si>
    <t>CHS-EWR</t>
  </si>
  <si>
    <t>OAK-MDW</t>
  </si>
  <si>
    <t>DTW-MDW</t>
  </si>
  <si>
    <t>DFW-GJT</t>
  </si>
  <si>
    <t>MSP-RSW</t>
  </si>
  <si>
    <t>CLE-DEN</t>
  </si>
  <si>
    <t>ATL-BQK</t>
  </si>
  <si>
    <t>DFW-MHK</t>
  </si>
  <si>
    <t>MHK</t>
  </si>
  <si>
    <t>DTW-PHL</t>
  </si>
  <si>
    <t>MSP-BZN</t>
  </si>
  <si>
    <t>BOS-LGA</t>
  </si>
  <si>
    <t>ATL-MKE</t>
  </si>
  <si>
    <t>ACY-TPA</t>
  </si>
  <si>
    <t>MSY-STL</t>
  </si>
  <si>
    <t>PHL-DTW</t>
  </si>
  <si>
    <t>IAD-LAS</t>
  </si>
  <si>
    <t>MDW-BNA</t>
  </si>
  <si>
    <t>ROC-ATL</t>
  </si>
  <si>
    <t>MDW-STL</t>
  </si>
  <si>
    <t>SMF-BOI</t>
  </si>
  <si>
    <t>LGA-OMA</t>
  </si>
  <si>
    <t>MSY-EWR</t>
  </si>
  <si>
    <t>JAX-STL</t>
  </si>
  <si>
    <t>TUL-LAX</t>
  </si>
  <si>
    <t>LAX-ORD</t>
  </si>
  <si>
    <t>SFO-RDM</t>
  </si>
  <si>
    <t>PIT-CLT</t>
  </si>
  <si>
    <t>BUR-DEN</t>
  </si>
  <si>
    <t>SLC-SAT</t>
  </si>
  <si>
    <t>SBP-PHX</t>
  </si>
  <si>
    <t>SPS-DFW</t>
  </si>
  <si>
    <t>SPS</t>
  </si>
  <si>
    <t>AUS-HRL</t>
  </si>
  <si>
    <t>AVL-LGA</t>
  </si>
  <si>
    <t>HOU-DAL</t>
  </si>
  <si>
    <t>OAK-PDX</t>
  </si>
  <si>
    <t>MIA-PNS</t>
  </si>
  <si>
    <t>LAX-JAC</t>
  </si>
  <si>
    <t>LAX-STS</t>
  </si>
  <si>
    <t>ORD-CHS</t>
  </si>
  <si>
    <t>MEI-IAH</t>
  </si>
  <si>
    <t>PIT-IAH</t>
  </si>
  <si>
    <t>CLE-RSW</t>
  </si>
  <si>
    <t>FAT-SEA</t>
  </si>
  <si>
    <t>IND-PHL</t>
  </si>
  <si>
    <t>KOA-SJC</t>
  </si>
  <si>
    <t>HPN-RSW</t>
  </si>
  <si>
    <t>DTW-RIC</t>
  </si>
  <si>
    <t>CLE-ORD</t>
  </si>
  <si>
    <t>SMF-AUS</t>
  </si>
  <si>
    <t>ATL-BNA</t>
  </si>
  <si>
    <t>SLC-PHX</t>
  </si>
  <si>
    <t>HOU-BNA</t>
  </si>
  <si>
    <t>PHX-SNA</t>
  </si>
  <si>
    <t>SEA-SBA</t>
  </si>
  <si>
    <t>SFO-KOA</t>
  </si>
  <si>
    <t>DAY-CLT</t>
  </si>
  <si>
    <t>LAN-DTW</t>
  </si>
  <si>
    <t>LGA-CLE</t>
  </si>
  <si>
    <t>PDX-BUR</t>
  </si>
  <si>
    <t>PHX-PSP</t>
  </si>
  <si>
    <t>DTW-MSY</t>
  </si>
  <si>
    <t>DTW-MSP</t>
  </si>
  <si>
    <t>ATL-PNS</t>
  </si>
  <si>
    <t>RDU-PHX</t>
  </si>
  <si>
    <t>VPS-BLV</t>
  </si>
  <si>
    <t>LAX-DEN</t>
  </si>
  <si>
    <t>DSM-PHX</t>
  </si>
  <si>
    <t>LGA-GSP</t>
  </si>
  <si>
    <t>SFO-EUG</t>
  </si>
  <si>
    <t>PIT-DAL</t>
  </si>
  <si>
    <t>GTF-DEN</t>
  </si>
  <si>
    <t>TPA-IAD</t>
  </si>
  <si>
    <t>IAH-SNA</t>
  </si>
  <si>
    <t>HOU-MAF</t>
  </si>
  <si>
    <t>LAX-ANC</t>
  </si>
  <si>
    <t>BOI-ORD</t>
  </si>
  <si>
    <t>ONT-DEN</t>
  </si>
  <si>
    <t>CLT-TLH</t>
  </si>
  <si>
    <t>FLL-MSP</t>
  </si>
  <si>
    <t>SFO-AUS</t>
  </si>
  <si>
    <t>MSP-STL</t>
  </si>
  <si>
    <t>MSP-MCI</t>
  </si>
  <si>
    <t>ATL-CHS</t>
  </si>
  <si>
    <t>ATL-MEM</t>
  </si>
  <si>
    <t>MSP-MEM</t>
  </si>
  <si>
    <t>LGA-IND</t>
  </si>
  <si>
    <t>LGA-ILM</t>
  </si>
  <si>
    <t>COS-DAL</t>
  </si>
  <si>
    <t>BWI-MSP</t>
  </si>
  <si>
    <t>LGB-HNL</t>
  </si>
  <si>
    <t>SDF-DEN</t>
  </si>
  <si>
    <t>BOS-MSP</t>
  </si>
  <si>
    <t>LAX-BWI</t>
  </si>
  <si>
    <t>PHL-DCA</t>
  </si>
  <si>
    <t>JAX-ORD</t>
  </si>
  <si>
    <t>GRR-MDW</t>
  </si>
  <si>
    <t>DFW-FAR</t>
  </si>
  <si>
    <t>DTW-AZO</t>
  </si>
  <si>
    <t>AZO</t>
  </si>
  <si>
    <t>AUS-STL</t>
  </si>
  <si>
    <t>DCA-PIT</t>
  </si>
  <si>
    <t>ATW-DTW</t>
  </si>
  <si>
    <t>SJU-DTW</t>
  </si>
  <si>
    <t>MSP-BNA</t>
  </si>
  <si>
    <t>SDF-DCA</t>
  </si>
  <si>
    <t>DFW-CRP</t>
  </si>
  <si>
    <t>ABQ-SFO</t>
  </si>
  <si>
    <t>PBI-ATL</t>
  </si>
  <si>
    <t>DFW-CMI</t>
  </si>
  <si>
    <t>DEN-SHR</t>
  </si>
  <si>
    <t>SHR</t>
  </si>
  <si>
    <t>SYR-DEN</t>
  </si>
  <si>
    <t>MSY-IAH</t>
  </si>
  <si>
    <t>SNA-PHX</t>
  </si>
  <si>
    <t>EWR-IND</t>
  </si>
  <si>
    <t>DTW-SYR</t>
  </si>
  <si>
    <t>ROC-MDW</t>
  </si>
  <si>
    <t>HPN-ATL</t>
  </si>
  <si>
    <t>JST-IAD</t>
  </si>
  <si>
    <t>PIT-DCA</t>
  </si>
  <si>
    <t>JAX-IAD</t>
  </si>
  <si>
    <t>TPA-LAX</t>
  </si>
  <si>
    <t>IND-BOS</t>
  </si>
  <si>
    <t>JFK-PIT</t>
  </si>
  <si>
    <t>RSW-CLT</t>
  </si>
  <si>
    <t>LGA-STL</t>
  </si>
  <si>
    <t>CAE-CLT</t>
  </si>
  <si>
    <t>SNA-DEN</t>
  </si>
  <si>
    <t>DFW-CLL</t>
  </si>
  <si>
    <t>SLC-CLT</t>
  </si>
  <si>
    <t>SYR-EWR</t>
  </si>
  <si>
    <t>ATL-TUS</t>
  </si>
  <si>
    <t>CLT-STT</t>
  </si>
  <si>
    <t>BFF-DEN</t>
  </si>
  <si>
    <t>OKC-PHX</t>
  </si>
  <si>
    <t>DEN-SUN</t>
  </si>
  <si>
    <t>DTW-MEM</t>
  </si>
  <si>
    <t>IAD-ORF</t>
  </si>
  <si>
    <t>MEM-MIA</t>
  </si>
  <si>
    <t>DEN-GUC</t>
  </si>
  <si>
    <t>IAD-SAT</t>
  </si>
  <si>
    <t>ABE-SFB</t>
  </si>
  <si>
    <t>TUS-DEN</t>
  </si>
  <si>
    <t>MYR-BNA</t>
  </si>
  <si>
    <t>ABQ-PHX</t>
  </si>
  <si>
    <t>ANC-LAX</t>
  </si>
  <si>
    <t>MDT-CLT</t>
  </si>
  <si>
    <t>MYR-CLT</t>
  </si>
  <si>
    <t>ATL-MYR</t>
  </si>
  <si>
    <t>JAX-BWI</t>
  </si>
  <si>
    <t>SFO-PHL</t>
  </si>
  <si>
    <t>CLT-FAY</t>
  </si>
  <si>
    <t>FAY</t>
  </si>
  <si>
    <t>ATL-PIT</t>
  </si>
  <si>
    <t>DEN-RIW</t>
  </si>
  <si>
    <t>RIW</t>
  </si>
  <si>
    <t>JFK-CLT</t>
  </si>
  <si>
    <t>OAK-PSP</t>
  </si>
  <si>
    <t>BHM-MDW</t>
  </si>
  <si>
    <t>MKE-PHX</t>
  </si>
  <si>
    <t>MEM-MDW</t>
  </si>
  <si>
    <t>VPS-DAL</t>
  </si>
  <si>
    <t>SEA-FAT</t>
  </si>
  <si>
    <t>DCA-IAH</t>
  </si>
  <si>
    <t>FWA-MSP</t>
  </si>
  <si>
    <t>LGB-DEN</t>
  </si>
  <si>
    <t>DFW-SPS</t>
  </si>
  <si>
    <t>OKC-HOU</t>
  </si>
  <si>
    <t>GEG-DEN</t>
  </si>
  <si>
    <t>TYS-DEN</t>
  </si>
  <si>
    <t>SNA-DAL</t>
  </si>
  <si>
    <t>SLC-LAX</t>
  </si>
  <si>
    <t>MCI-LGA</t>
  </si>
  <si>
    <t>ATL-LFT</t>
  </si>
  <si>
    <t>DFW-AEX</t>
  </si>
  <si>
    <t>PHX-LBB</t>
  </si>
  <si>
    <t>ATL-GRR</t>
  </si>
  <si>
    <t>MSY-MCI</t>
  </si>
  <si>
    <t>RNO-DEN</t>
  </si>
  <si>
    <t>JFK-STT</t>
  </si>
  <si>
    <t>SMF-SEA</t>
  </si>
  <si>
    <t>JNU-PSG</t>
  </si>
  <si>
    <t>PSG</t>
  </si>
  <si>
    <t>LGA-MEM</t>
  </si>
  <si>
    <t>PIT-SFO</t>
  </si>
  <si>
    <t>PVD-ATL</t>
  </si>
  <si>
    <t>SUN-DEN</t>
  </si>
  <si>
    <t>RSW-ACY</t>
  </si>
  <si>
    <t>SAN-PDX</t>
  </si>
  <si>
    <t>DFW-LCH</t>
  </si>
  <si>
    <t>ATL-MGM</t>
  </si>
  <si>
    <t>RDU-LAX</t>
  </si>
  <si>
    <t>COS-IAH</t>
  </si>
  <si>
    <t>SFO-IAH</t>
  </si>
  <si>
    <t>MSP-ATW</t>
  </si>
  <si>
    <t>LAS-AMA</t>
  </si>
  <si>
    <t>JAX-DTW</t>
  </si>
  <si>
    <t>HOU-ATL</t>
  </si>
  <si>
    <t>SFO-MCI</t>
  </si>
  <si>
    <t>PHX-ELP</t>
  </si>
  <si>
    <t>MDT-DFW</t>
  </si>
  <si>
    <t>BUF-MDW</t>
  </si>
  <si>
    <t>FSD-MSP</t>
  </si>
  <si>
    <t>HNL-SJC</t>
  </si>
  <si>
    <t>DFW-FSM</t>
  </si>
  <si>
    <t>EYW-ATL</t>
  </si>
  <si>
    <t>ATL-CVG</t>
  </si>
  <si>
    <t>LAX-BNA</t>
  </si>
  <si>
    <t>SFO-TUS</t>
  </si>
  <si>
    <t>TLH-DCA</t>
  </si>
  <si>
    <t>ORH-JFK</t>
  </si>
  <si>
    <t>ORH</t>
  </si>
  <si>
    <t>PHX-SEA</t>
  </si>
  <si>
    <t>LGB-AUS</t>
  </si>
  <si>
    <t>LGA-RIC</t>
  </si>
  <si>
    <t>PIT-MDW</t>
  </si>
  <si>
    <t>MSP-MDW</t>
  </si>
  <si>
    <t>BUR-DFW</t>
  </si>
  <si>
    <t>MSP-FLL</t>
  </si>
  <si>
    <t>MSP-LAS</t>
  </si>
  <si>
    <t>RSW-DTW</t>
  </si>
  <si>
    <t>MSP-SMF</t>
  </si>
  <si>
    <t>SMF-DEN</t>
  </si>
  <si>
    <t>MSP-RDU</t>
  </si>
  <si>
    <t>RAP-DFW</t>
  </si>
  <si>
    <t>ATL-OMA</t>
  </si>
  <si>
    <t>PSP-ORD</t>
  </si>
  <si>
    <t>HNL-LGB</t>
  </si>
  <si>
    <t>OGG-KOA</t>
  </si>
  <si>
    <t>SEA-BLI</t>
  </si>
  <si>
    <t>CLE-LGA</t>
  </si>
  <si>
    <t>ALB-MDW</t>
  </si>
  <si>
    <t>DFW-MLU</t>
  </si>
  <si>
    <t>BOI-SAN</t>
  </si>
  <si>
    <t>SFO-SMF</t>
  </si>
  <si>
    <t>PHX-LAX</t>
  </si>
  <si>
    <t>AUS-SEA</t>
  </si>
  <si>
    <t>STL-MSP</t>
  </si>
  <si>
    <t>MSY-ORD</t>
  </si>
  <si>
    <t>TUS-SEA</t>
  </si>
  <si>
    <t>MCI-MIA</t>
  </si>
  <si>
    <t>MCO-ROC</t>
  </si>
  <si>
    <t>DTW-PIT</t>
  </si>
  <si>
    <t>SNA-SMF</t>
  </si>
  <si>
    <t>LAX-MCI</t>
  </si>
  <si>
    <t>SEA-PSC</t>
  </si>
  <si>
    <t>SLC-MCI</t>
  </si>
  <si>
    <t>PHX-FSD</t>
  </si>
  <si>
    <t>ELP-SAT</t>
  </si>
  <si>
    <t>ORD-PNS</t>
  </si>
  <si>
    <t>SLC-STL</t>
  </si>
  <si>
    <t>TUL-LAS</t>
  </si>
  <si>
    <t>ATL-OKC</t>
  </si>
  <si>
    <t>ATL-BZN</t>
  </si>
  <si>
    <t>DTW-APN</t>
  </si>
  <si>
    <t>APN</t>
  </si>
  <si>
    <t>ATL-SLC</t>
  </si>
  <si>
    <t>SFO-BFL</t>
  </si>
  <si>
    <t>SRQ-EWR</t>
  </si>
  <si>
    <t>ECP-DAL</t>
  </si>
  <si>
    <t>DEN-GCC</t>
  </si>
  <si>
    <t>GCC</t>
  </si>
  <si>
    <t>RNO-LGB</t>
  </si>
  <si>
    <t>ELP-ORD</t>
  </si>
  <si>
    <t>MSP-FAR</t>
  </si>
  <si>
    <t>ELM-DTW</t>
  </si>
  <si>
    <t>ATL-MLB</t>
  </si>
  <si>
    <t>ORF-ATL</t>
  </si>
  <si>
    <t>JAX-DEN</t>
  </si>
  <si>
    <t>LAX-EUG</t>
  </si>
  <si>
    <t>HRL-AUS</t>
  </si>
  <si>
    <t>JFK-ITH</t>
  </si>
  <si>
    <t>ITH</t>
  </si>
  <si>
    <t>PHX-MRY</t>
  </si>
  <si>
    <t>SMF-ORD</t>
  </si>
  <si>
    <t>PVD-MDW</t>
  </si>
  <si>
    <t>CHS-BWI</t>
  </si>
  <si>
    <t>ATL-GEG</t>
  </si>
  <si>
    <t>HNL-GUM</t>
  </si>
  <si>
    <t>GUM</t>
  </si>
  <si>
    <t>SEA-CVG</t>
  </si>
  <si>
    <t>ANC-HNL</t>
  </si>
  <si>
    <t>TUL-CLT</t>
  </si>
  <si>
    <t>PHX-MIA</t>
  </si>
  <si>
    <t>LGA-ACK</t>
  </si>
  <si>
    <t>DAB-CLT</t>
  </si>
  <si>
    <t>PSP-DEN</t>
  </si>
  <si>
    <t>SAT-ELP</t>
  </si>
  <si>
    <t>AGS-ATL</t>
  </si>
  <si>
    <t>ATL-AGS</t>
  </si>
  <si>
    <t>IND-ORD</t>
  </si>
  <si>
    <t>CVG-IAH</t>
  </si>
  <si>
    <t>SNA-ORD</t>
  </si>
  <si>
    <t>BRO-DFW</t>
  </si>
  <si>
    <t>MSP-IMT</t>
  </si>
  <si>
    <t>FCA-MSP</t>
  </si>
  <si>
    <t>BPT-DFW</t>
  </si>
  <si>
    <t>BPT</t>
  </si>
  <si>
    <t>SJC-DAL</t>
  </si>
  <si>
    <t>CHS-DTW</t>
  </si>
  <si>
    <t>DTW-SEA</t>
  </si>
  <si>
    <t>DTW-BNA</t>
  </si>
  <si>
    <t>SAT-EWR</t>
  </si>
  <si>
    <t>SFO-TPA</t>
  </si>
  <si>
    <t>LRD-DFW</t>
  </si>
  <si>
    <t>PHX-ATL</t>
  </si>
  <si>
    <t>CMI-DFW</t>
  </si>
  <si>
    <t>MEM-DCA</t>
  </si>
  <si>
    <t>COS-ORD</t>
  </si>
  <si>
    <t>LAX-CLT</t>
  </si>
  <si>
    <t>LAX-KOA</t>
  </si>
  <si>
    <t>LGA-GSO</t>
  </si>
  <si>
    <t>SEA-SLC</t>
  </si>
  <si>
    <t>MLI-DFW</t>
  </si>
  <si>
    <t>SBA-OAK</t>
  </si>
  <si>
    <t>ATL-BOI</t>
  </si>
  <si>
    <t>AVP-CLT</t>
  </si>
  <si>
    <t>TPA-RDU</t>
  </si>
  <si>
    <t>STL-MDW</t>
  </si>
  <si>
    <t>BOI-BUR</t>
  </si>
  <si>
    <t>LGA-ORF</t>
  </si>
  <si>
    <t>PHX-SBP</t>
  </si>
  <si>
    <t>CHS-ORD</t>
  </si>
  <si>
    <t>JNU-SEA</t>
  </si>
  <si>
    <t>ATL-SMF</t>
  </si>
  <si>
    <t>CMH-STL</t>
  </si>
  <si>
    <t>SFO-BWI</t>
  </si>
  <si>
    <t>SNA-ATL</t>
  </si>
  <si>
    <t>HNL-LAX</t>
  </si>
  <si>
    <t>IAD-SAN</t>
  </si>
  <si>
    <t>ATL-TYS</t>
  </si>
  <si>
    <t>DTW-MQT</t>
  </si>
  <si>
    <t>LFT-ATL</t>
  </si>
  <si>
    <t>ECP-HOU</t>
  </si>
  <si>
    <t>AUS-ATL</t>
  </si>
  <si>
    <t>ORF-DTW</t>
  </si>
  <si>
    <t>AUS-SLC</t>
  </si>
  <si>
    <t>SBA-DEN</t>
  </si>
  <si>
    <t>IAH-VCT</t>
  </si>
  <si>
    <t>VCT</t>
  </si>
  <si>
    <t>BOS-IAD</t>
  </si>
  <si>
    <t>DCA-IND</t>
  </si>
  <si>
    <t>SAN-ATL</t>
  </si>
  <si>
    <t>JAX-MSP</t>
  </si>
  <si>
    <t>SFO-DTW</t>
  </si>
  <si>
    <t>EUG-PHX</t>
  </si>
  <si>
    <t>ILM-CLT</t>
  </si>
  <si>
    <t>ORF-BWI</t>
  </si>
  <si>
    <t>LGA-PWM</t>
  </si>
  <si>
    <t>ATL-ABQ</t>
  </si>
  <si>
    <t>MAF-AUS</t>
  </si>
  <si>
    <t>MSP-ATL</t>
  </si>
  <si>
    <t>SEA-CLT</t>
  </si>
  <si>
    <t>SJC-DEN</t>
  </si>
  <si>
    <t>SYR-ATL</t>
  </si>
  <si>
    <t>ATL-BHM</t>
  </si>
  <si>
    <t>IND-BWI</t>
  </si>
  <si>
    <t>XNA-LGA</t>
  </si>
  <si>
    <t>GPT-CLT</t>
  </si>
  <si>
    <t>OAK-MCI</t>
  </si>
  <si>
    <t>SBP-DEN</t>
  </si>
  <si>
    <t>DTW-IND</t>
  </si>
  <si>
    <t>BOI-SMF</t>
  </si>
  <si>
    <t>CLE-ATL</t>
  </si>
  <si>
    <t>HNL-LAS</t>
  </si>
  <si>
    <t>DCA-MSP</t>
  </si>
  <si>
    <t>DCA-EYW</t>
  </si>
  <si>
    <t>MBS-DTW</t>
  </si>
  <si>
    <t>SFO-DCA</t>
  </si>
  <si>
    <t>GPT-DFW</t>
  </si>
  <si>
    <t>BNA-STL</t>
  </si>
  <si>
    <t>JFK-CMH</t>
  </si>
  <si>
    <t>BUR-DAL</t>
  </si>
  <si>
    <t>ORF-MIA</t>
  </si>
  <si>
    <t>GCC-DEN</t>
  </si>
  <si>
    <t>HOU-LGB</t>
  </si>
  <si>
    <t>ATL-VPS</t>
  </si>
  <si>
    <t>HOU-MSY</t>
  </si>
  <si>
    <t>ANC-PHX</t>
  </si>
  <si>
    <t>SHR-DEN</t>
  </si>
  <si>
    <t>MSP-MSO</t>
  </si>
  <si>
    <t>SAN-SLC</t>
  </si>
  <si>
    <t>DFW-HRL</t>
  </si>
  <si>
    <t>LGA-CVG</t>
  </si>
  <si>
    <t>ABQ-DAL</t>
  </si>
  <si>
    <t>MSP-IAD</t>
  </si>
  <si>
    <t>DFW-TRI</t>
  </si>
  <si>
    <t>PSP-DFW</t>
  </si>
  <si>
    <t>SAT-BWI</t>
  </si>
  <si>
    <t>LGA-BUF</t>
  </si>
  <si>
    <t>SYR-JFK</t>
  </si>
  <si>
    <t>HNL-OAK</t>
  </si>
  <si>
    <t>SMF-PDX</t>
  </si>
  <si>
    <t>CDV-ANC</t>
  </si>
  <si>
    <t>ABI-DFW</t>
  </si>
  <si>
    <t>EWR-PIT</t>
  </si>
  <si>
    <t>ATL-ECP</t>
  </si>
  <si>
    <t>SEA-RDM</t>
  </si>
  <si>
    <t>MEM-PHL</t>
  </si>
  <si>
    <t>SAV-LGA</t>
  </si>
  <si>
    <t>OMA-DTW</t>
  </si>
  <si>
    <t>LAX-MSY</t>
  </si>
  <si>
    <t>ATL-FAY</t>
  </si>
  <si>
    <t>MSP-PIT</t>
  </si>
  <si>
    <t>PHX-SAF</t>
  </si>
  <si>
    <t>ANC-MSP</t>
  </si>
  <si>
    <t>SAV-CLT</t>
  </si>
  <si>
    <t>BWI-JFK</t>
  </si>
  <si>
    <t>HOU-SLC</t>
  </si>
  <si>
    <t>LGA-BHM</t>
  </si>
  <si>
    <t>PIT-ORD</t>
  </si>
  <si>
    <t>OMA-MSP</t>
  </si>
  <si>
    <t>MSP-BIS</t>
  </si>
  <si>
    <t>LGA-TYS</t>
  </si>
  <si>
    <t>SDF-TPA</t>
  </si>
  <si>
    <t>OMA-MDW</t>
  </si>
  <si>
    <t>SAT-PHX</t>
  </si>
  <si>
    <t>DFW-SWO</t>
  </si>
  <si>
    <t>SWO</t>
  </si>
  <si>
    <t>PWM-LGA</t>
  </si>
  <si>
    <t>SEA-PSP</t>
  </si>
  <si>
    <t>SAN-ORD</t>
  </si>
  <si>
    <t>JNU-YAK</t>
  </si>
  <si>
    <t>YAK</t>
  </si>
  <si>
    <t>DTW-STL</t>
  </si>
  <si>
    <t>PHX-DTW</t>
  </si>
  <si>
    <t>LAS-IAD</t>
  </si>
  <si>
    <t>BDL-ATL</t>
  </si>
  <si>
    <t>ATL-AVL</t>
  </si>
  <si>
    <t>ROC-BWI</t>
  </si>
  <si>
    <t>ATL-GSP</t>
  </si>
  <si>
    <t>IND-MCI</t>
  </si>
  <si>
    <t>DFW-BPT</t>
  </si>
  <si>
    <t>ATL-CHA</t>
  </si>
  <si>
    <t>TUL-HOU</t>
  </si>
  <si>
    <t>EWR-MKE</t>
  </si>
  <si>
    <t>LAX-OAK</t>
  </si>
  <si>
    <t>LGA-GRR</t>
  </si>
  <si>
    <t>SRQ-BNA</t>
  </si>
  <si>
    <t>RDD-SFO</t>
  </si>
  <si>
    <t>STL-RDU</t>
  </si>
  <si>
    <t>PHX-IAH</t>
  </si>
  <si>
    <t>BNA-MDW</t>
  </si>
  <si>
    <t>CYS-DEN</t>
  </si>
  <si>
    <t>OMA-LAX</t>
  </si>
  <si>
    <t>SYR-LGA</t>
  </si>
  <si>
    <t>MSP-DSM</t>
  </si>
  <si>
    <t>LGA-BTV</t>
  </si>
  <si>
    <t>MSP-GRB</t>
  </si>
  <si>
    <t>LIH-SEA</t>
  </si>
  <si>
    <t>DFW-BMI</t>
  </si>
  <si>
    <t>SGU-PHX</t>
  </si>
  <si>
    <t>JMS-DEN</t>
  </si>
  <si>
    <t>JMS</t>
  </si>
  <si>
    <t>CHS-BNA</t>
  </si>
  <si>
    <t>IAD-RDU</t>
  </si>
  <si>
    <t>SAT-CLT</t>
  </si>
  <si>
    <t>LAS-MSP</t>
  </si>
  <si>
    <t>EWR-SNA</t>
  </si>
  <si>
    <t>BNA-DTW</t>
  </si>
  <si>
    <t>TUL-PHX</t>
  </si>
  <si>
    <t>ABY-ATL</t>
  </si>
  <si>
    <t>OAK-OGG</t>
  </si>
  <si>
    <t>CRP-DFW</t>
  </si>
  <si>
    <t>ATL-SDF</t>
  </si>
  <si>
    <t>EVV-ATL</t>
  </si>
  <si>
    <t>LGB-DAL</t>
  </si>
  <si>
    <t>STL-BNA</t>
  </si>
  <si>
    <t>MSP-SDF</t>
  </si>
  <si>
    <t>PHX-OGG</t>
  </si>
  <si>
    <t>CAE-LGA</t>
  </si>
  <si>
    <t>IND-DCA</t>
  </si>
  <si>
    <t>DTW-BDL</t>
  </si>
  <si>
    <t>EWR-GSP</t>
  </si>
  <si>
    <t>SLC-SNA</t>
  </si>
  <si>
    <t>MSP-LAX</t>
  </si>
  <si>
    <t>RDU-STL</t>
  </si>
  <si>
    <t>ATL-MOB</t>
  </si>
  <si>
    <t>OAK-LAX</t>
  </si>
  <si>
    <t>SAN-IAH</t>
  </si>
  <si>
    <t>SBA-LAS</t>
  </si>
  <si>
    <t>LGA-ALB</t>
  </si>
  <si>
    <t>TUS-ORD</t>
  </si>
  <si>
    <t>EWR-CMH</t>
  </si>
  <si>
    <t>EWR-GRR</t>
  </si>
  <si>
    <t>HOU-STL</t>
  </si>
  <si>
    <t>SNA-MSP</t>
  </si>
  <si>
    <t>LAX-DTW</t>
  </si>
  <si>
    <t>CAK-DCA</t>
  </si>
  <si>
    <t>LGA-MYR</t>
  </si>
  <si>
    <t>BNA-ORF</t>
  </si>
  <si>
    <t>JFK-RIC</t>
  </si>
  <si>
    <t>SRQ-BWI</t>
  </si>
  <si>
    <t>SBA-PHX</t>
  </si>
  <si>
    <t>MCI-MDW</t>
  </si>
  <si>
    <t>PDX-GEG</t>
  </si>
  <si>
    <t>PDX-SMF</t>
  </si>
  <si>
    <t>MKE-BNA</t>
  </si>
  <si>
    <t>FAY-CLT</t>
  </si>
  <si>
    <t>TPA-SDF</t>
  </si>
  <si>
    <t>BTV-JFK</t>
  </si>
  <si>
    <t>OMA-PHX</t>
  </si>
  <si>
    <t>SAT-DAL</t>
  </si>
  <si>
    <t>JAN-HOU</t>
  </si>
  <si>
    <t>PHX-MSP</t>
  </si>
  <si>
    <t>AZO-DTW</t>
  </si>
  <si>
    <t>PDX-OAK</t>
  </si>
  <si>
    <t>JFK-BWI</t>
  </si>
  <si>
    <t>RDU-BWI</t>
  </si>
  <si>
    <t>SEA-BOI</t>
  </si>
  <si>
    <t>PHX-PHL</t>
  </si>
  <si>
    <t>LIT-LGA</t>
  </si>
  <si>
    <t>LAS-MEM</t>
  </si>
  <si>
    <t>SGF-ATL</t>
  </si>
  <si>
    <t>LGA-PIT</t>
  </si>
  <si>
    <t>MSP-MKE</t>
  </si>
  <si>
    <t>MSP-HNL</t>
  </si>
  <si>
    <t>SRQ-STL</t>
  </si>
  <si>
    <t>SYR-BWI</t>
  </si>
  <si>
    <t>OMA-SEA</t>
  </si>
  <si>
    <t>PSP-OAK</t>
  </si>
  <si>
    <t>MCI-BNA</t>
  </si>
  <si>
    <t>SFO-SAT</t>
  </si>
  <si>
    <t>HYS-DEN</t>
  </si>
  <si>
    <t>MKE-LGA</t>
  </si>
  <si>
    <t>ATL-TLH</t>
  </si>
  <si>
    <t>EWR-SAT</t>
  </si>
  <si>
    <t>SLC-MEM</t>
  </si>
  <si>
    <t>APN-DTW</t>
  </si>
  <si>
    <t>TYS-MIA</t>
  </si>
  <si>
    <t>DTW-SDF</t>
  </si>
  <si>
    <t>ATL-CSG</t>
  </si>
  <si>
    <t>CSG</t>
  </si>
  <si>
    <t>GSP-BWI</t>
  </si>
  <si>
    <t>BMI-DFW</t>
  </si>
  <si>
    <t>GRR-DTW</t>
  </si>
  <si>
    <t>PIT-BNA</t>
  </si>
  <si>
    <t>CMH-MDW</t>
  </si>
  <si>
    <t>RDM-SEA</t>
  </si>
  <si>
    <t>LGB-PHX</t>
  </si>
  <si>
    <t>RDU-SLC</t>
  </si>
  <si>
    <t>DCA-CID</t>
  </si>
  <si>
    <t>BDL-BWI</t>
  </si>
  <si>
    <t>PLN-DTW</t>
  </si>
  <si>
    <t>MSP-DTW</t>
  </si>
  <si>
    <t>ATL-GSO</t>
  </si>
  <si>
    <t>MSY-DTW</t>
  </si>
  <si>
    <t>PSP-PHX</t>
  </si>
  <si>
    <t>ATL-LIT</t>
  </si>
  <si>
    <t>MIA-EYW</t>
  </si>
  <si>
    <t>GSO-LGA</t>
  </si>
  <si>
    <t>EWR-SDF</t>
  </si>
  <si>
    <t>SWO-DFW</t>
  </si>
  <si>
    <t>ATL-CAE</t>
  </si>
  <si>
    <t>JAC-SLC</t>
  </si>
  <si>
    <t>BOI-PHX</t>
  </si>
  <si>
    <t>ILM-LGA</t>
  </si>
  <si>
    <t>SLC-IAD</t>
  </si>
  <si>
    <t>SAN-MIA</t>
  </si>
  <si>
    <t>BIS-MSP</t>
  </si>
  <si>
    <t>ATL-BMI</t>
  </si>
  <si>
    <t>PWM-EWR</t>
  </si>
  <si>
    <t>MKE-DTW</t>
  </si>
  <si>
    <t>CID-MSP</t>
  </si>
  <si>
    <t>AUS-DTW</t>
  </si>
  <si>
    <t>PBI-ACY</t>
  </si>
  <si>
    <t>MCI-IAH</t>
  </si>
  <si>
    <t>TUS-HOU</t>
  </si>
  <si>
    <t>IAD-CLE</t>
  </si>
  <si>
    <t>OMA-HOU</t>
  </si>
  <si>
    <t>TPA-MSP</t>
  </si>
  <si>
    <t>PDX-CLT</t>
  </si>
  <si>
    <t>ATL-JAN</t>
  </si>
  <si>
    <t>SEA-EUG</t>
  </si>
  <si>
    <t>CMH-HOU</t>
  </si>
  <si>
    <t>SAT-ORD</t>
  </si>
  <si>
    <t>LAX-TPA</t>
  </si>
  <si>
    <t>MSP-TPA</t>
  </si>
  <si>
    <t>AVL-ATL</t>
  </si>
  <si>
    <t>DTW-CLT</t>
  </si>
  <si>
    <t>SHV-ATL</t>
  </si>
  <si>
    <t>SMF-PHX</t>
  </si>
  <si>
    <t>DRO-PHX</t>
  </si>
  <si>
    <t>SLC-ATL</t>
  </si>
  <si>
    <t>SLC-CVG</t>
  </si>
  <si>
    <t>ATL-MLI</t>
  </si>
  <si>
    <t>HOU-OMA</t>
  </si>
  <si>
    <t>ANC-SEA</t>
  </si>
  <si>
    <t>SJC-SEA</t>
  </si>
  <si>
    <t>SJC-HNL</t>
  </si>
  <si>
    <t>SEA-DTW</t>
  </si>
  <si>
    <t>PHX-BFL</t>
  </si>
  <si>
    <t>CVG-LGA</t>
  </si>
  <si>
    <t>PHX-STS</t>
  </si>
  <si>
    <t>RIC-DTW</t>
  </si>
  <si>
    <t>MCI-SEA</t>
  </si>
  <si>
    <t>DTW-RDU</t>
  </si>
  <si>
    <t>BOS-CMH</t>
  </si>
  <si>
    <t>ELP-PHX</t>
  </si>
  <si>
    <t>PVD-DTW</t>
  </si>
  <si>
    <t>BDL-MDW</t>
  </si>
  <si>
    <t>ONT-PHX</t>
  </si>
  <si>
    <t>LGA-CHO</t>
  </si>
  <si>
    <t>LGA-MKE</t>
  </si>
  <si>
    <t>SFO-MFR</t>
  </si>
  <si>
    <t>SAV-MIA</t>
  </si>
  <si>
    <t>RDU-BNA</t>
  </si>
  <si>
    <t>TRI-DFW</t>
  </si>
  <si>
    <t>HRL-HOU</t>
  </si>
  <si>
    <t>LAX-SBA</t>
  </si>
  <si>
    <t>MDT-DTW</t>
  </si>
  <si>
    <t>HRL-DFW</t>
  </si>
  <si>
    <t>EWR-DCA</t>
  </si>
  <si>
    <t>IAH-DAL</t>
  </si>
  <si>
    <t>PHX-SLC</t>
  </si>
  <si>
    <t>LGA-CMH</t>
  </si>
  <si>
    <t>BMI-ATL</t>
  </si>
  <si>
    <t>CMH-LGA</t>
  </si>
  <si>
    <t>BDL-PHL</t>
  </si>
  <si>
    <t>SFO-SBA</t>
  </si>
  <si>
    <t>SJC-PHX</t>
  </si>
  <si>
    <t>FAR-DFW</t>
  </si>
  <si>
    <t>ATL-DAB</t>
  </si>
  <si>
    <t>LGA-SYR</t>
  </si>
  <si>
    <t>IAD-CMH</t>
  </si>
  <si>
    <t>GRR-LGA</t>
  </si>
  <si>
    <t>ATL-EVV</t>
  </si>
  <si>
    <t>MRY-PHX</t>
  </si>
  <si>
    <t>RIC-MIA</t>
  </si>
  <si>
    <t>PIT-LGA</t>
  </si>
  <si>
    <t>LIH-LAX</t>
  </si>
  <si>
    <t>SJC-BOI</t>
  </si>
  <si>
    <t>RNO-LAX</t>
  </si>
  <si>
    <t>LIH-HNL</t>
  </si>
  <si>
    <t>RDU-ATL</t>
  </si>
  <si>
    <t>MHT-MDW</t>
  </si>
  <si>
    <t>HNL-DEN</t>
  </si>
  <si>
    <t>PIB-IAH</t>
  </si>
  <si>
    <t>MEM-LGA</t>
  </si>
  <si>
    <t>ONT-DAL</t>
  </si>
  <si>
    <t>SNA-OAK</t>
  </si>
  <si>
    <t>CMH-BOS</t>
  </si>
  <si>
    <t>JFK-CVG</t>
  </si>
  <si>
    <t>BLI-OAK</t>
  </si>
  <si>
    <t>VCT-IAH</t>
  </si>
  <si>
    <t>IND-HOU</t>
  </si>
  <si>
    <t>DTW-SLC</t>
  </si>
  <si>
    <t>SJU-IAD</t>
  </si>
  <si>
    <t>MSP-CID</t>
  </si>
  <si>
    <t>RDU-MSP</t>
  </si>
  <si>
    <t>OAK-BUR</t>
  </si>
  <si>
    <t>ATL-ROA</t>
  </si>
  <si>
    <t>PAE-PHX</t>
  </si>
  <si>
    <t>PAE</t>
  </si>
  <si>
    <t>WRG-PSG</t>
  </si>
  <si>
    <t>ANC-DEN</t>
  </si>
  <si>
    <t>ECP-ATL</t>
  </si>
  <si>
    <t>BUF-DTW</t>
  </si>
  <si>
    <t>ACY-PBI</t>
  </si>
  <si>
    <t>ORF-JFK</t>
  </si>
  <si>
    <t>DTW-LEX</t>
  </si>
  <si>
    <t>MFR-DEN</t>
  </si>
  <si>
    <t>OGG-SJC</t>
  </si>
  <si>
    <t>BOI-MSP</t>
  </si>
  <si>
    <t>GRR-MSP</t>
  </si>
  <si>
    <t>ADQ-ANC</t>
  </si>
  <si>
    <t>ADQ</t>
  </si>
  <si>
    <t>SAT-ATL</t>
  </si>
  <si>
    <t>MSP-PDX</t>
  </si>
  <si>
    <t>CVG-EWR</t>
  </si>
  <si>
    <t>MSP-JAX</t>
  </si>
  <si>
    <t>CLE-MSP</t>
  </si>
  <si>
    <t>PNS-HOU</t>
  </si>
  <si>
    <t>ROC-LGA</t>
  </si>
  <si>
    <t>LAX-IAH</t>
  </si>
  <si>
    <t>OAK-ONT</t>
  </si>
  <si>
    <t>LIT-DAL</t>
  </si>
  <si>
    <t>PDX-KOA</t>
  </si>
  <si>
    <t>PDX-FAT</t>
  </si>
  <si>
    <t>LAX-IAD</t>
  </si>
  <si>
    <t>IAD-MSP</t>
  </si>
  <si>
    <t>LGA-MVY</t>
  </si>
  <si>
    <t>KOA-SEA</t>
  </si>
  <si>
    <t>LFT-CLT</t>
  </si>
  <si>
    <t>TUL-IAH</t>
  </si>
  <si>
    <t>RNO-SLC</t>
  </si>
  <si>
    <t>OKC-LGA</t>
  </si>
  <si>
    <t>JAX-ATL</t>
  </si>
  <si>
    <t>MYR-BWI</t>
  </si>
  <si>
    <t>SFO-PIT</t>
  </si>
  <si>
    <t>ATL-GNV</t>
  </si>
  <si>
    <t>OGG-HNL</t>
  </si>
  <si>
    <t>TUS-LAX</t>
  </si>
  <si>
    <t>MSP-GFK</t>
  </si>
  <si>
    <t>GFK</t>
  </si>
  <si>
    <t>GEG-PHX</t>
  </si>
  <si>
    <t>BUF-LGA</t>
  </si>
  <si>
    <t>SEA-MSP</t>
  </si>
  <si>
    <t>JAX-LGA</t>
  </si>
  <si>
    <t>BNA-VPS</t>
  </si>
  <si>
    <t>BTV-LGA</t>
  </si>
  <si>
    <t>SMF-BUR</t>
  </si>
  <si>
    <t>ATL-HSV</t>
  </si>
  <si>
    <t>SJC-ONT</t>
  </si>
  <si>
    <t>IND-EWR</t>
  </si>
  <si>
    <t>BOI-SEA</t>
  </si>
  <si>
    <t>DSM-LGA</t>
  </si>
  <si>
    <t>TUS-PHX</t>
  </si>
  <si>
    <t>MKE-BWI</t>
  </si>
  <si>
    <t>IAD-RSW</t>
  </si>
  <si>
    <t>CVG-BWI</t>
  </si>
  <si>
    <t>ATL-TUL</t>
  </si>
  <si>
    <t>FAY-ATL</t>
  </si>
  <si>
    <t>GEG-MSP</t>
  </si>
  <si>
    <t>SAT-MIA</t>
  </si>
  <si>
    <t>SEA-SNA</t>
  </si>
  <si>
    <t>CLE-JFK</t>
  </si>
  <si>
    <t>PVD-PHL</t>
  </si>
  <si>
    <t>LAX-SEA</t>
  </si>
  <si>
    <t>MSP-SEA</t>
  </si>
  <si>
    <t>PIT-STL</t>
  </si>
  <si>
    <t>DTW-MYR</t>
  </si>
  <si>
    <t>ATL-DHN</t>
  </si>
  <si>
    <t>DHN</t>
  </si>
  <si>
    <t>MKE-MSP</t>
  </si>
  <si>
    <t>BUR-PHX</t>
  </si>
  <si>
    <t>SLC-DCA</t>
  </si>
  <si>
    <t>RDM-LAX</t>
  </si>
  <si>
    <t>GEG-SEA</t>
  </si>
  <si>
    <t>CLE-MDW</t>
  </si>
  <si>
    <t>EWR-AVL</t>
  </si>
  <si>
    <t>CLE-DTW</t>
  </si>
  <si>
    <t>PDX-ONT</t>
  </si>
  <si>
    <t>PSP-SEA</t>
  </si>
  <si>
    <t>PHX-IAD</t>
  </si>
  <si>
    <t>IAD-BTV</t>
  </si>
  <si>
    <t>GRB-ATL</t>
  </si>
  <si>
    <t>KOA-LAX</t>
  </si>
  <si>
    <t>BDL-MSP</t>
  </si>
  <si>
    <t>LGA-ROC</t>
  </si>
  <si>
    <t>LGB-HOU</t>
  </si>
  <si>
    <t>TUL-AUS</t>
  </si>
  <si>
    <t>FLG-PHX</t>
  </si>
  <si>
    <t>MYR-LGA</t>
  </si>
  <si>
    <t>ORD-HNL</t>
  </si>
  <si>
    <t>MSP-BJI</t>
  </si>
  <si>
    <t>BJI</t>
  </si>
  <si>
    <t>SDF-BWI</t>
  </si>
  <si>
    <t>DTW-ROC</t>
  </si>
  <si>
    <t>JFK-CLE</t>
  </si>
  <si>
    <t>SJC-BUR</t>
  </si>
  <si>
    <t>MKE-SEA</t>
  </si>
  <si>
    <t>OMA-IAH</t>
  </si>
  <si>
    <t>ANC-ADQ</t>
  </si>
  <si>
    <t>MSN-MSP</t>
  </si>
  <si>
    <t>BNA-BDL</t>
  </si>
  <si>
    <t>JAX-BNA</t>
  </si>
  <si>
    <t>SLC-BUR</t>
  </si>
  <si>
    <t>SMF-SNA</t>
  </si>
  <si>
    <t>OAK-LIH</t>
  </si>
  <si>
    <t>OAK-HOU</t>
  </si>
  <si>
    <t>FAT-DEN</t>
  </si>
  <si>
    <t>DTW-CMH</t>
  </si>
  <si>
    <t>CLE-BNA</t>
  </si>
  <si>
    <t>MLI-ATL</t>
  </si>
  <si>
    <t>DLH-MSP</t>
  </si>
  <si>
    <t>SAN-DTW</t>
  </si>
  <si>
    <t>FAR-MSP</t>
  </si>
  <si>
    <t>PNS-DAL</t>
  </si>
  <si>
    <t>PDX-PSP</t>
  </si>
  <si>
    <t>SLC-BNA</t>
  </si>
  <si>
    <t>MSP-BRD</t>
  </si>
  <si>
    <t>BRD</t>
  </si>
  <si>
    <t>BRD-MSP</t>
  </si>
  <si>
    <t>SLC-SMF</t>
  </si>
  <si>
    <t>BDL-MIA</t>
  </si>
  <si>
    <t>DSM-MSP</t>
  </si>
  <si>
    <t>PDX-SJC</t>
  </si>
  <si>
    <t>MCI-MSP</t>
  </si>
  <si>
    <t>RST-MSP</t>
  </si>
  <si>
    <t>LGA-PHL</t>
  </si>
  <si>
    <t>SJC-PDX</t>
  </si>
  <si>
    <t>SDF-MSP</t>
  </si>
  <si>
    <t>OKC-LAX</t>
  </si>
  <si>
    <t>OGG-SFO</t>
  </si>
  <si>
    <t>OKC-MDW</t>
  </si>
  <si>
    <t>ATL-LEX</t>
  </si>
  <si>
    <t>GRB-MSP</t>
  </si>
  <si>
    <t>OGG-LAX</t>
  </si>
  <si>
    <t>DHN-ATL</t>
  </si>
  <si>
    <t>SAN-IAD</t>
  </si>
  <si>
    <t>PSG-WRG</t>
  </si>
  <si>
    <t>PDX-BOI</t>
  </si>
  <si>
    <t>SDF-PHL</t>
  </si>
  <si>
    <t>RIC-ATL</t>
  </si>
  <si>
    <t>JFK-ORF</t>
  </si>
  <si>
    <t>STL-ATL</t>
  </si>
  <si>
    <t>PHX-PAE</t>
  </si>
  <si>
    <t>RIW-DEN</t>
  </si>
  <si>
    <t>SAT-LAX</t>
  </si>
  <si>
    <t>CVG-MDW</t>
  </si>
  <si>
    <t>SLC-MSP</t>
  </si>
  <si>
    <t>PHX-XNA</t>
  </si>
  <si>
    <t>ATL-GPT</t>
  </si>
  <si>
    <t>DSM-STL</t>
  </si>
  <si>
    <t>LGA-AVL</t>
  </si>
  <si>
    <t>RNO-PHX</t>
  </si>
  <si>
    <t>IND-MSP</t>
  </si>
  <si>
    <t>MSP-DLH</t>
  </si>
  <si>
    <t>ABE-ATL</t>
  </si>
  <si>
    <t>GRR-EWR</t>
  </si>
  <si>
    <t>PHX-SGU</t>
  </si>
  <si>
    <t>SNA-SEA</t>
  </si>
  <si>
    <t>IND-JFK</t>
  </si>
  <si>
    <t>GSP-LGA</t>
  </si>
  <si>
    <t>ATL-ICT</t>
  </si>
  <si>
    <t>BUF-BWI</t>
  </si>
  <si>
    <t>KTN-SEA</t>
  </si>
  <si>
    <t>SFO-CLE</t>
  </si>
  <si>
    <t>SFO-OGG</t>
  </si>
  <si>
    <t>RSW-MSP</t>
  </si>
  <si>
    <t>MSP-HIB</t>
  </si>
  <si>
    <t>HIB</t>
  </si>
  <si>
    <t>CDV-YAK</t>
  </si>
  <si>
    <t>MKE-STL</t>
  </si>
  <si>
    <t>GSP-MIA</t>
  </si>
  <si>
    <t>IAD-SLC</t>
  </si>
  <si>
    <t>HNL-PHX</t>
  </si>
  <si>
    <t>SMF-OGG</t>
  </si>
  <si>
    <t>MQT-DTW</t>
  </si>
  <si>
    <t>MSP-INL</t>
  </si>
  <si>
    <t>INL</t>
  </si>
  <si>
    <t>PHX-TUS</t>
  </si>
  <si>
    <t>SAT-SFO</t>
  </si>
  <si>
    <t>DTW-MCI</t>
  </si>
  <si>
    <t>DTW-GSO</t>
  </si>
  <si>
    <t>ATL-MSN</t>
  </si>
  <si>
    <t>IND-ATL</t>
  </si>
  <si>
    <t>MSO-MSP</t>
  </si>
  <si>
    <t>DCA-PHX</t>
  </si>
  <si>
    <t>MLU-ATL</t>
  </si>
  <si>
    <t>KOA-SFO</t>
  </si>
  <si>
    <t>MSP-RHI</t>
  </si>
  <si>
    <t>RHI</t>
  </si>
  <si>
    <t>LGA-DAY</t>
  </si>
  <si>
    <t>ISP-BWI</t>
  </si>
  <si>
    <t>BUR-SMF</t>
  </si>
  <si>
    <t>GEG-SMF</t>
  </si>
  <si>
    <t>ELP-AUS</t>
  </si>
  <si>
    <t>RIC-JFK</t>
  </si>
  <si>
    <t>SAN-MSP</t>
  </si>
  <si>
    <t>PSC-DEN</t>
  </si>
  <si>
    <t>LGA-MSP</t>
  </si>
  <si>
    <t>MHK-DFW</t>
  </si>
  <si>
    <t>DSM-IAH</t>
  </si>
  <si>
    <t>MYR-MDW</t>
  </si>
  <si>
    <t>LGA-PVD</t>
  </si>
  <si>
    <t>CLE-IAH</t>
  </si>
  <si>
    <t>ANC-JNU</t>
  </si>
  <si>
    <t>DTW-TYS</t>
  </si>
  <si>
    <t>PDX-IAH</t>
  </si>
  <si>
    <t>LAX-RNO</t>
  </si>
  <si>
    <t>LAX-ACV</t>
  </si>
  <si>
    <t>OMA-LGA</t>
  </si>
  <si>
    <t>LAX-MSP</t>
  </si>
  <si>
    <t>CMH-BNA</t>
  </si>
  <si>
    <t>BNA-MSP</t>
  </si>
  <si>
    <t>SLC-JAC</t>
  </si>
  <si>
    <t>BUR-AUS</t>
  </si>
  <si>
    <t>SLC-RDU</t>
  </si>
  <si>
    <t>LAX-OGG</t>
  </si>
  <si>
    <t>ABE-CLT</t>
  </si>
  <si>
    <t>LAS-MFE</t>
  </si>
  <si>
    <t>OMA-DCA</t>
  </si>
  <si>
    <t>PHL-LGA</t>
  </si>
  <si>
    <t>VPS-ATL</t>
  </si>
  <si>
    <t>ATL-DSM</t>
  </si>
  <si>
    <t>ROC-EWR</t>
  </si>
  <si>
    <t>ATL-ILM</t>
  </si>
  <si>
    <t>ATL-SJC</t>
  </si>
  <si>
    <t>SNA-SJC</t>
  </si>
  <si>
    <t>MSP-CWA</t>
  </si>
  <si>
    <t>SAT-SLC</t>
  </si>
  <si>
    <t>DTW-CVG</t>
  </si>
  <si>
    <t>JFK-ORH</t>
  </si>
  <si>
    <t>TYS-LGA</t>
  </si>
  <si>
    <t>CLE-STL</t>
  </si>
  <si>
    <t>PVD-LGA</t>
  </si>
  <si>
    <t>SJC-MDW</t>
  </si>
  <si>
    <t>LGB-STL</t>
  </si>
  <si>
    <t>STL-DTW</t>
  </si>
  <si>
    <t>GEG-ATL</t>
  </si>
  <si>
    <t>GJT-PHX</t>
  </si>
  <si>
    <t>ELP-DAL</t>
  </si>
  <si>
    <t>SNA-SLC</t>
  </si>
  <si>
    <t>MSN-EWR</t>
  </si>
  <si>
    <t>SAT-MSY</t>
  </si>
  <si>
    <t>MSP-MOT</t>
  </si>
  <si>
    <t>PIT-EWR</t>
  </si>
  <si>
    <t>LGB-SJC</t>
  </si>
  <si>
    <t>SLC-MDW</t>
  </si>
  <si>
    <t>GEG-SJC</t>
  </si>
  <si>
    <t>KOA-HNL</t>
  </si>
  <si>
    <t>BOI-OAK</t>
  </si>
  <si>
    <t>OAK-AUS</t>
  </si>
  <si>
    <t>MAF-IAH</t>
  </si>
  <si>
    <t>TUL-DAL</t>
  </si>
  <si>
    <t>SLC-BZN</t>
  </si>
  <si>
    <t>LAX-FAT</t>
  </si>
  <si>
    <t>ROC-DTW</t>
  </si>
  <si>
    <t>JNU-SIT</t>
  </si>
  <si>
    <t>SFO-MSP</t>
  </si>
  <si>
    <t>SJC-OGG</t>
  </si>
  <si>
    <t>RKS-DEN</t>
  </si>
  <si>
    <t>SMF-MDW</t>
  </si>
  <si>
    <t>LGA-SDF</t>
  </si>
  <si>
    <t>CVG-MSP</t>
  </si>
  <si>
    <t>PVD-BWI</t>
  </si>
  <si>
    <t>SMF-SBA</t>
  </si>
  <si>
    <t>RNO-BUR</t>
  </si>
  <si>
    <t>PHX-MFR</t>
  </si>
  <si>
    <t>ALB-DTW</t>
  </si>
  <si>
    <t>SMF-ONT</t>
  </si>
  <si>
    <t>ABQ-HOU</t>
  </si>
  <si>
    <t>SYR-DTW</t>
  </si>
  <si>
    <t>CMH-EWR</t>
  </si>
  <si>
    <t>CSG-ATL</t>
  </si>
  <si>
    <t>PHX-DCA</t>
  </si>
  <si>
    <t>ONT-OAK</t>
  </si>
  <si>
    <t>RSW-IAD</t>
  </si>
  <si>
    <t>SLC-BOI</t>
  </si>
  <si>
    <t>MAF-HOU</t>
  </si>
  <si>
    <t>COS-ATL</t>
  </si>
  <si>
    <t>OAK-SNA</t>
  </si>
  <si>
    <t>BNA-ATL</t>
  </si>
  <si>
    <t>EUG-OAK</t>
  </si>
  <si>
    <t>IND-LGA</t>
  </si>
  <si>
    <t>BJI-MSP</t>
  </si>
  <si>
    <t>IAD-PWM</t>
  </si>
  <si>
    <t>MOB-ATL</t>
  </si>
  <si>
    <t>PHX-CLT</t>
  </si>
  <si>
    <t>SLC-GEG</t>
  </si>
  <si>
    <t>SLC-DTW</t>
  </si>
  <si>
    <t>CMH-MSP</t>
  </si>
  <si>
    <t>BOS-IND</t>
  </si>
  <si>
    <t>ATL-BTR</t>
  </si>
  <si>
    <t>HNL-LIH</t>
  </si>
  <si>
    <t>HNL-MSP</t>
  </si>
  <si>
    <t>LGA-BGR</t>
  </si>
  <si>
    <t>ICT-PHX</t>
  </si>
  <si>
    <t>ONT-AUS</t>
  </si>
  <si>
    <t>ONT-SEA</t>
  </si>
  <si>
    <t>PIT-MSP</t>
  </si>
  <si>
    <t>ALB-BWI</t>
  </si>
  <si>
    <t>ECP-BNA</t>
  </si>
  <si>
    <t>GRB-DTW</t>
  </si>
  <si>
    <t>AEX-ATL</t>
  </si>
  <si>
    <t>SBN-MSP</t>
  </si>
  <si>
    <t>BUR-OAK</t>
  </si>
  <si>
    <t>LAX-LIH</t>
  </si>
  <si>
    <t>BOI-GEG</t>
  </si>
  <si>
    <t>PHX-FLG</t>
  </si>
  <si>
    <t>BUF-EWR</t>
  </si>
  <si>
    <t>HNL-ITO</t>
  </si>
  <si>
    <t>CHS-MDW</t>
  </si>
  <si>
    <t>ROA-ATL</t>
  </si>
  <si>
    <t>MCI-SFO</t>
  </si>
  <si>
    <t>CLE-BWI</t>
  </si>
  <si>
    <t>MSP-MSY</t>
  </si>
  <si>
    <t>BZN-MSP</t>
  </si>
  <si>
    <t>PDX-SEA</t>
  </si>
  <si>
    <t>EWR-GSO</t>
  </si>
  <si>
    <t>OGG-OAK</t>
  </si>
  <si>
    <t>BZN-LAX</t>
  </si>
  <si>
    <t>BTV-IAD</t>
  </si>
  <si>
    <t>IAD-PIT</t>
  </si>
  <si>
    <t>SLC-SJC</t>
  </si>
  <si>
    <t>CVG-JFK</t>
  </si>
  <si>
    <t>GNV-ATL</t>
  </si>
  <si>
    <t>SAV-ATL</t>
  </si>
  <si>
    <t>LAX-SMF</t>
  </si>
  <si>
    <t>SAT-BNA</t>
  </si>
  <si>
    <t>ORF-IAD</t>
  </si>
  <si>
    <t>AVL-EWR</t>
  </si>
  <si>
    <t>DCA-EWR</t>
  </si>
  <si>
    <t>HIB-MSP</t>
  </si>
  <si>
    <t>LAX-SBP</t>
  </si>
  <si>
    <t>SDF-LGA</t>
  </si>
  <si>
    <t>OGG-LAS</t>
  </si>
  <si>
    <t>IND-DTW</t>
  </si>
  <si>
    <t>BTR-ATL</t>
  </si>
  <si>
    <t>ITH-JFK</t>
  </si>
  <si>
    <t>DEN-JMS</t>
  </si>
  <si>
    <t>JNU-ANC</t>
  </si>
  <si>
    <t>CVG-ATL</t>
  </si>
  <si>
    <t>BDL-DTW</t>
  </si>
  <si>
    <t>ATL-VLD</t>
  </si>
  <si>
    <t>VLD</t>
  </si>
  <si>
    <t>SMF-LGB</t>
  </si>
  <si>
    <t>GEG-OAK</t>
  </si>
  <si>
    <t>ATW-ATL</t>
  </si>
  <si>
    <t>MSY-MSP</t>
  </si>
  <si>
    <t>ABQ-IAH</t>
  </si>
  <si>
    <t>LIH-OAK</t>
  </si>
  <si>
    <t>TUL-MDW</t>
  </si>
  <si>
    <t>ELP-HOU</t>
  </si>
  <si>
    <t>ONT-PDX</t>
  </si>
  <si>
    <t>SJC-SNA</t>
  </si>
  <si>
    <t>LAX-PDX</t>
  </si>
  <si>
    <t>BDL-IAD</t>
  </si>
  <si>
    <t>CMH-PHX</t>
  </si>
  <si>
    <t>ATL-XNA</t>
  </si>
  <si>
    <t>LAX-SAN</t>
  </si>
  <si>
    <t>TYS-PHL</t>
  </si>
  <si>
    <t>ATL-ABE</t>
  </si>
  <si>
    <t>GEG-PDX</t>
  </si>
  <si>
    <t>SDF-MDW</t>
  </si>
  <si>
    <t>ACV-LAX</t>
  </si>
  <si>
    <t>YAK-JNU</t>
  </si>
  <si>
    <t>YUM-PHX</t>
  </si>
  <si>
    <t>CVG-SLC</t>
  </si>
  <si>
    <t>PSP-SMF</t>
  </si>
  <si>
    <t>BFL-PHX</t>
  </si>
  <si>
    <t>GSO-DTW</t>
  </si>
  <si>
    <t>LAX-SJC</t>
  </si>
  <si>
    <t>ONT-SJC</t>
  </si>
  <si>
    <t>AUS-IAD</t>
  </si>
  <si>
    <t>RDU-DTW</t>
  </si>
  <si>
    <t>CMH-JFK</t>
  </si>
  <si>
    <t>ATL-TRI</t>
  </si>
  <si>
    <t>SLC-RNO</t>
  </si>
  <si>
    <t>ELP-LAX</t>
  </si>
  <si>
    <t>LIH-OGG</t>
  </si>
  <si>
    <t>PWM-IAD</t>
  </si>
  <si>
    <t>PIT-DTW</t>
  </si>
  <si>
    <t>SAT-MDW</t>
  </si>
  <si>
    <t>CMH-ATL</t>
  </si>
  <si>
    <t>GFK-MSP</t>
  </si>
  <si>
    <t>HNL-DFW</t>
  </si>
  <si>
    <t>RDU-IAD</t>
  </si>
  <si>
    <t>XNA-PHX</t>
  </si>
  <si>
    <t>HNL-KOA</t>
  </si>
  <si>
    <t>PSC-SEA</t>
  </si>
  <si>
    <t>MCI-ATL</t>
  </si>
  <si>
    <t>CLE-SFO</t>
  </si>
  <si>
    <t>MAF-PHX</t>
  </si>
  <si>
    <t>ABQ-MDW</t>
  </si>
  <si>
    <t>BUR-PDX</t>
  </si>
  <si>
    <t>FLL-IAD</t>
  </si>
  <si>
    <t>ONT-SMF</t>
  </si>
  <si>
    <t>RSW-ATL</t>
  </si>
  <si>
    <t>ATL-DAY</t>
  </si>
  <si>
    <t>YAK-CDV</t>
  </si>
  <si>
    <t>MCI-STL</t>
  </si>
  <si>
    <t>SLC-OAK</t>
  </si>
  <si>
    <t>SAT-MSP</t>
  </si>
  <si>
    <t>SAT-STL</t>
  </si>
  <si>
    <t>SLC-COS</t>
  </si>
  <si>
    <t>ATL-MLU</t>
  </si>
  <si>
    <t>SJC-LGB</t>
  </si>
  <si>
    <t>HNL-SLC</t>
  </si>
  <si>
    <t>OKC-STL</t>
  </si>
  <si>
    <t>CHA-ATL</t>
  </si>
  <si>
    <t>RAP-MSP</t>
  </si>
  <si>
    <t>OGG-LGB</t>
  </si>
  <si>
    <t>OMA-ATL</t>
  </si>
  <si>
    <t>ATL-MDT</t>
  </si>
  <si>
    <t>BUR-SJC</t>
  </si>
  <si>
    <t>GNV-CLT</t>
  </si>
  <si>
    <t>GSP-EWR</t>
  </si>
  <si>
    <t>LAX-ABQ</t>
  </si>
  <si>
    <t>ALB-LGA</t>
  </si>
  <si>
    <t>SIT-JNU</t>
  </si>
  <si>
    <t>PNS-IAH</t>
  </si>
  <si>
    <t>HNL-OGG</t>
  </si>
  <si>
    <t>SFO-RDU</t>
  </si>
  <si>
    <t>PDX-ATL</t>
  </si>
  <si>
    <t>SMF-LAX</t>
  </si>
  <si>
    <t>PIT-BWI</t>
  </si>
  <si>
    <t>MLB-ATL</t>
  </si>
  <si>
    <t>LGB-SMF</t>
  </si>
  <si>
    <t>INL-MSP</t>
  </si>
  <si>
    <t>SLC-PDX</t>
  </si>
  <si>
    <t>MSP-RAP</t>
  </si>
  <si>
    <t>ITO-HNL</t>
  </si>
  <si>
    <t>WRG-KTN</t>
  </si>
  <si>
    <t>PSG-JNU</t>
  </si>
  <si>
    <t>BNA-SLC</t>
  </si>
  <si>
    <t>SBA-SMF</t>
  </si>
  <si>
    <t>GRR-ATL</t>
  </si>
  <si>
    <t>SLC-MSY</t>
  </si>
  <si>
    <t>PHX-GJT</t>
  </si>
  <si>
    <t>SDF-EWR</t>
  </si>
  <si>
    <t>TUL-LGA</t>
  </si>
  <si>
    <t>SJC-LAX</t>
  </si>
  <si>
    <t>MSP-SLC</t>
  </si>
  <si>
    <t>PHX-DRO</t>
  </si>
  <si>
    <t>LAX-SLC</t>
  </si>
  <si>
    <t>IAD-IND</t>
  </si>
  <si>
    <t>ATL-AEX</t>
  </si>
  <si>
    <t>SNA-IAH</t>
  </si>
  <si>
    <t>MDT-ATL</t>
  </si>
  <si>
    <t>MSP-ABR</t>
  </si>
  <si>
    <t>ABR</t>
  </si>
  <si>
    <t>FAI-ANC</t>
  </si>
  <si>
    <t>MFE-IAH</t>
  </si>
  <si>
    <t>SRQ-ATL</t>
  </si>
  <si>
    <t>LBB-DAL</t>
  </si>
  <si>
    <t>SDF-DTW</t>
  </si>
  <si>
    <t>VLD-ATL</t>
  </si>
  <si>
    <t>ICT-STL</t>
  </si>
  <si>
    <t>PHX-YUM</t>
  </si>
  <si>
    <t>GSO-EWR</t>
  </si>
  <si>
    <t>PNS-BNA</t>
  </si>
  <si>
    <t>BTV-ATL</t>
  </si>
  <si>
    <t>LGB-OAK</t>
  </si>
  <si>
    <t>MKE-ATL</t>
  </si>
  <si>
    <t>ACY-RSW</t>
  </si>
  <si>
    <t>BUR-ABQ</t>
  </si>
  <si>
    <t>CID-ATL</t>
  </si>
  <si>
    <t>DEN-DVL</t>
  </si>
  <si>
    <t>MSY-SLC</t>
  </si>
  <si>
    <t>DAB-ATL</t>
  </si>
  <si>
    <t>MSN-DTW</t>
  </si>
  <si>
    <t>BIL-MSP</t>
  </si>
  <si>
    <t>ABQ-LAX</t>
  </si>
  <si>
    <t>LAX-ELP</t>
  </si>
  <si>
    <t>TPA-SLC</t>
  </si>
  <si>
    <t>MHT-BWI</t>
  </si>
  <si>
    <t>PDX-LAX</t>
  </si>
  <si>
    <t>TUL-ATL</t>
  </si>
  <si>
    <t>CRP-HOU</t>
  </si>
  <si>
    <t>PDX-OGG</t>
  </si>
  <si>
    <t>MYR-DTW</t>
  </si>
  <si>
    <t>LIT-ATL</t>
  </si>
  <si>
    <t>EUG-SEA</t>
  </si>
  <si>
    <t>ICT-ATL</t>
  </si>
  <si>
    <t>JAX-IAH</t>
  </si>
  <si>
    <t>LEX-DTW</t>
  </si>
  <si>
    <t>PHX-PSC</t>
  </si>
  <si>
    <t>LAX-CLE</t>
  </si>
  <si>
    <t>SMF-CLT</t>
  </si>
  <si>
    <t>YUM-DFW</t>
  </si>
  <si>
    <t>LAX-RDM</t>
  </si>
  <si>
    <t>DTW-DSM</t>
  </si>
  <si>
    <t>PHX-RDM</t>
  </si>
  <si>
    <t>MEM-ATL</t>
  </si>
  <si>
    <t>SLC-LGB</t>
  </si>
  <si>
    <t>CMH-DTW</t>
  </si>
  <si>
    <t>PIT-JFK</t>
  </si>
  <si>
    <t>CHS-ATL</t>
  </si>
  <si>
    <t>KOA-OGG</t>
  </si>
  <si>
    <t>CLE-LAX</t>
  </si>
  <si>
    <t>ABR-MSP</t>
  </si>
  <si>
    <t>LAX-BOI</t>
  </si>
  <si>
    <t>OMA-STL</t>
  </si>
  <si>
    <t>SBP-LAX</t>
  </si>
  <si>
    <t>LAX-XNA</t>
  </si>
  <si>
    <t>PDX-MDW</t>
  </si>
  <si>
    <t>IAD-SDF</t>
  </si>
  <si>
    <t>LAX-OMA</t>
  </si>
  <si>
    <t>CMH-IAD</t>
  </si>
  <si>
    <t>SAN-PHL</t>
  </si>
  <si>
    <t>CVG-DTW</t>
  </si>
  <si>
    <t>BFL-DEN</t>
  </si>
  <si>
    <t>OAK-LGB</t>
  </si>
  <si>
    <t>GPT-ATL</t>
  </si>
  <si>
    <t>SLC-OKC</t>
  </si>
  <si>
    <t>HNL-IAH</t>
  </si>
  <si>
    <t>MRY-DEN</t>
  </si>
  <si>
    <t>MCI-SLC</t>
  </si>
  <si>
    <t>RHI-MSP</t>
  </si>
  <si>
    <t>AMA-DAL</t>
  </si>
  <si>
    <t>LGB-BNA</t>
  </si>
  <si>
    <t>TRI-ATL</t>
  </si>
  <si>
    <t>JFK-SNA</t>
  </si>
  <si>
    <t>MEM-MSP</t>
  </si>
  <si>
    <t>ANC-SCC</t>
  </si>
  <si>
    <t>SCC</t>
  </si>
  <si>
    <t>SLC-ONT</t>
  </si>
  <si>
    <t>DAY-LGA</t>
  </si>
  <si>
    <t>SJC-HOU</t>
  </si>
  <si>
    <t>LAX-GEG</t>
  </si>
  <si>
    <t>SLC-PSC</t>
  </si>
  <si>
    <t>PIT-ATL</t>
  </si>
  <si>
    <t>GSP-PHL</t>
  </si>
  <si>
    <t>BLI-LAS</t>
  </si>
  <si>
    <t>GEG-SLC</t>
  </si>
  <si>
    <t>OAK-SLC</t>
  </si>
  <si>
    <t>ANC-PDX</t>
  </si>
  <si>
    <t>TLH-ATL</t>
  </si>
  <si>
    <t>CHO-ATL</t>
  </si>
  <si>
    <t>BOS-SDF</t>
  </si>
  <si>
    <t>DSM-ATL</t>
  </si>
  <si>
    <t>JAN-ATL</t>
  </si>
  <si>
    <t>BHM-LGA</t>
  </si>
  <si>
    <t>OKC-ATL</t>
  </si>
  <si>
    <t>BZN-SLC</t>
  </si>
  <si>
    <t>BUR-SLC</t>
  </si>
  <si>
    <t>BGR-LGA</t>
  </si>
  <si>
    <t>ILM-ATL</t>
  </si>
  <si>
    <t>SAN-LAX</t>
  </si>
  <si>
    <t>ANC-FAI</t>
  </si>
  <si>
    <t>BOI-SLC</t>
  </si>
  <si>
    <t>ELP-ATL</t>
  </si>
  <si>
    <t>ATL-CHO</t>
  </si>
  <si>
    <t>RDU-PIT</t>
  </si>
  <si>
    <t>LGB-SLC</t>
  </si>
  <si>
    <t>SLC-FCA</t>
  </si>
  <si>
    <t>ATL-GTR</t>
  </si>
  <si>
    <t>GTR</t>
  </si>
  <si>
    <t>BOI-SJC</t>
  </si>
  <si>
    <t>SLC-TPA</t>
  </si>
  <si>
    <t>SLC-OMA</t>
  </si>
  <si>
    <t>MRY-LAX</t>
  </si>
  <si>
    <t>LIT-DCA</t>
  </si>
  <si>
    <t>GSP-DTW</t>
  </si>
  <si>
    <t>XNA-ATL</t>
  </si>
  <si>
    <t>RNO-OAK</t>
  </si>
  <si>
    <t>GEG-BOI</t>
  </si>
  <si>
    <t>FAT-PDX</t>
  </si>
  <si>
    <t>PDX-SLC</t>
  </si>
  <si>
    <t>FAT-LAX</t>
  </si>
  <si>
    <t>CRW-DCA</t>
  </si>
  <si>
    <t>OKC-SLC</t>
  </si>
  <si>
    <t>LGB-MDW</t>
  </si>
  <si>
    <t>PSC-PHX</t>
  </si>
  <si>
    <t>SAT-DTW</t>
  </si>
  <si>
    <t>LGB-OGG</t>
  </si>
  <si>
    <t>TUS-IAH</t>
  </si>
  <si>
    <t>CMH-BWI</t>
  </si>
  <si>
    <t>ATL-OAJ</t>
  </si>
  <si>
    <t>MEM-DTW</t>
  </si>
  <si>
    <t>SDF-ATL</t>
  </si>
  <si>
    <t>CAE-ATL</t>
  </si>
  <si>
    <t>LAX-BZN</t>
  </si>
  <si>
    <t>RDU-CVG</t>
  </si>
  <si>
    <t>PSP-PDX</t>
  </si>
  <si>
    <t>LIT-STL</t>
  </si>
  <si>
    <t>KTN-JNU</t>
  </si>
  <si>
    <t>IAD-CHS</t>
  </si>
  <si>
    <t>MSN-LGA</t>
  </si>
  <si>
    <t>SMF-SLC</t>
  </si>
  <si>
    <t>LAX-RDD</t>
  </si>
  <si>
    <t>MAF-DAL</t>
  </si>
  <si>
    <t>OGG-DFW</t>
  </si>
  <si>
    <t>TYS-ATL</t>
  </si>
  <si>
    <t>MYR-ATL</t>
  </si>
  <si>
    <t>HNL-ORD</t>
  </si>
  <si>
    <t>CHS-IAD</t>
  </si>
  <si>
    <t>SLC-MFR</t>
  </si>
  <si>
    <t>MCI-DTW</t>
  </si>
  <si>
    <t>SEA-MFR</t>
  </si>
  <si>
    <t>IND-IAD</t>
  </si>
  <si>
    <t>ABQ-ATL</t>
  </si>
  <si>
    <t>LAX-TUL</t>
  </si>
  <si>
    <t>STL-SLC</t>
  </si>
  <si>
    <t>HSV-ATL</t>
  </si>
  <si>
    <t>CLE-IAD</t>
  </si>
  <si>
    <t>MFR-PHX</t>
  </si>
  <si>
    <t>PIT-IAD</t>
  </si>
  <si>
    <t>PIT-RDU</t>
  </si>
  <si>
    <t>RDM-PHX</t>
  </si>
  <si>
    <t>SLC-BIL</t>
  </si>
  <si>
    <t>CWA-MSP</t>
  </si>
  <si>
    <t>SMF-ATL</t>
  </si>
  <si>
    <t>SIT-KTN</t>
  </si>
  <si>
    <t>SNA-PDX</t>
  </si>
  <si>
    <t>BHM-ATL</t>
  </si>
  <si>
    <t>GSO-ATL</t>
  </si>
  <si>
    <t>GSO-MIA</t>
  </si>
  <si>
    <t>RDD-LAX</t>
  </si>
  <si>
    <t>ONT-MDW</t>
  </si>
  <si>
    <t>SLC-ABQ</t>
  </si>
  <si>
    <t>HPN-TPA</t>
  </si>
  <si>
    <t>LAX-MRY</t>
  </si>
  <si>
    <t>SLC-TUL</t>
  </si>
  <si>
    <t>MSY-IAD</t>
  </si>
  <si>
    <t>DSM-DTW</t>
  </si>
  <si>
    <t>LEX-ATL</t>
  </si>
  <si>
    <t>SJC-KOA</t>
  </si>
  <si>
    <t>MSO-SLC</t>
  </si>
  <si>
    <t>SCC-ANC</t>
  </si>
  <si>
    <t>SLC-IDA</t>
  </si>
  <si>
    <t>SMF-MSP</t>
  </si>
  <si>
    <t>OAJ-ATL</t>
  </si>
  <si>
    <t>TUL-STL</t>
  </si>
  <si>
    <t>SJC-MSP</t>
  </si>
  <si>
    <t>PDX-SNA</t>
  </si>
  <si>
    <t>SBA-LAX</t>
  </si>
  <si>
    <t>SMF-IAH</t>
  </si>
  <si>
    <t>ITO-OGG</t>
  </si>
  <si>
    <t>MSN-ATL</t>
  </si>
  <si>
    <t>BOI-PDX</t>
  </si>
  <si>
    <t>CVG-IAD</t>
  </si>
  <si>
    <t>MEM-SLC</t>
  </si>
  <si>
    <t>GSP-ATL</t>
  </si>
  <si>
    <t>OAK-SBA</t>
  </si>
  <si>
    <t>SLC-MSO</t>
  </si>
  <si>
    <t>GEG-SAN</t>
  </si>
  <si>
    <t>PNS-ATL</t>
  </si>
  <si>
    <t>XNA-DCA</t>
  </si>
  <si>
    <t>LIH-SFO</t>
  </si>
  <si>
    <t>SLC-SBA</t>
  </si>
  <si>
    <t>GEG-LAX</t>
  </si>
  <si>
    <t>GNV-MIA</t>
  </si>
  <si>
    <t>SFO-LIH</t>
  </si>
  <si>
    <t>RDM-SLC</t>
  </si>
  <si>
    <t>SAT-IAD</t>
  </si>
  <si>
    <t>JNU-KTN</t>
  </si>
  <si>
    <t>MFR-SLC</t>
  </si>
  <si>
    <t>GTR-ATL</t>
  </si>
  <si>
    <t>SLC-TUS</t>
  </si>
  <si>
    <t>OMA-SLC</t>
  </si>
  <si>
    <t>MFR-SEA</t>
  </si>
  <si>
    <t>SLC-CDC</t>
  </si>
  <si>
    <t>CDC</t>
  </si>
  <si>
    <t>LBB-PHX</t>
  </si>
  <si>
    <t>LAX-OKC</t>
  </si>
  <si>
    <t>ONT-ATL</t>
  </si>
  <si>
    <t>TUL-SLC</t>
  </si>
  <si>
    <t>IDA-SLC</t>
  </si>
  <si>
    <t>SLC-SGU</t>
  </si>
  <si>
    <t>BOI-LAX</t>
  </si>
  <si>
    <t>SJC-SLC</t>
  </si>
  <si>
    <t>OTZ-ANC</t>
  </si>
  <si>
    <t>OTZ</t>
  </si>
  <si>
    <t>PDX-MSP</t>
  </si>
  <si>
    <t>BIL-SLC</t>
  </si>
  <si>
    <t>SLC-PSP</t>
  </si>
  <si>
    <t>SLC-RDM</t>
  </si>
  <si>
    <t>MEM-BOS</t>
  </si>
  <si>
    <t>OGG-DEN</t>
  </si>
  <si>
    <t>DAY-ATL</t>
  </si>
  <si>
    <t>TUS-ATL</t>
  </si>
  <si>
    <t>ONT-SLC</t>
  </si>
  <si>
    <t>SLC-EUG</t>
  </si>
  <si>
    <t>VPS-BNA</t>
  </si>
  <si>
    <t>FCA-SLC</t>
  </si>
  <si>
    <t>GUM-HNL</t>
  </si>
  <si>
    <t>LWS-SLC</t>
  </si>
  <si>
    <t>LWS</t>
  </si>
  <si>
    <t>OKC-MSP</t>
  </si>
  <si>
    <t>CDC-SLC</t>
  </si>
  <si>
    <t>SLC-LWS</t>
  </si>
  <si>
    <t>EUG-SLC</t>
  </si>
  <si>
    <t>SBA-SLC</t>
  </si>
  <si>
    <t>SJC-ATL</t>
  </si>
  <si>
    <t>SLC-BTM</t>
  </si>
  <si>
    <t>BTM</t>
  </si>
  <si>
    <t>COS-SLC</t>
  </si>
  <si>
    <t>SGU-SLC</t>
  </si>
  <si>
    <t>LIH-PHX</t>
  </si>
  <si>
    <t>PSC-SLC</t>
  </si>
  <si>
    <t>GTF-SLC</t>
  </si>
  <si>
    <t>SLC-FAT</t>
  </si>
  <si>
    <t>PSC-MSP</t>
  </si>
  <si>
    <t>SLC-TWF</t>
  </si>
  <si>
    <t>TWF</t>
  </si>
  <si>
    <t>KOA-DEN</t>
  </si>
  <si>
    <t>FAT-SLC</t>
  </si>
  <si>
    <t>TYS-DTW</t>
  </si>
  <si>
    <t>SLC-EKO</t>
  </si>
  <si>
    <t>EKO</t>
  </si>
  <si>
    <t>ABQ-SLC</t>
  </si>
  <si>
    <t>ABQ-OAK</t>
  </si>
  <si>
    <t>SLC-PIH</t>
  </si>
  <si>
    <t>PIH</t>
  </si>
  <si>
    <t>LIH-LAS</t>
  </si>
  <si>
    <t>TWF-SLC</t>
  </si>
  <si>
    <t>SLC-GTF</t>
  </si>
  <si>
    <t>SUN-SLC</t>
  </si>
  <si>
    <t>KOA-PHX</t>
  </si>
  <si>
    <t>SDF-IAD</t>
  </si>
  <si>
    <t>SLC-SUN</t>
  </si>
  <si>
    <t>PSP-SLC</t>
  </si>
  <si>
    <t>SPN-GUM</t>
  </si>
  <si>
    <t>SPN</t>
  </si>
  <si>
    <t>PIH-SLC</t>
  </si>
  <si>
    <t>TUS-SLC</t>
  </si>
  <si>
    <t>HLN-SLC</t>
  </si>
  <si>
    <t>EKO-SLC</t>
  </si>
  <si>
    <t>BTM-SLC</t>
  </si>
  <si>
    <t>OGG-PHX</t>
  </si>
  <si>
    <t>LIH-DEN</t>
  </si>
  <si>
    <t>KOA-LIH</t>
  </si>
  <si>
    <t>SLC-HLN</t>
  </si>
  <si>
    <t>KOA-LAS</t>
  </si>
  <si>
    <t>GUM-SPN</t>
  </si>
  <si>
    <t>Data Quality &amp; Reconciliation</t>
  </si>
  <si>
    <t>Automated controls, source-to-model reconciliation, and analytical treatments. Each operational rate uses the denominator documented below.</t>
  </si>
  <si>
    <t>Reconciliation Check</t>
  </si>
  <si>
    <t>Source / Expected</t>
  </si>
  <si>
    <t>Workbook Result</t>
  </si>
  <si>
    <t>Status</t>
  </si>
  <si>
    <t>Quality Rule / Treatment</t>
  </si>
  <si>
    <t>Why</t>
  </si>
  <si>
    <t>Result</t>
  </si>
  <si>
    <t>Fact rows</t>
  </si>
  <si>
    <t>Required keys</t>
  </si>
  <si>
    <t>Flight date, airline, origin, and destination are required for model joins.</t>
  </si>
  <si>
    <t>20,928,579 retained fact rows; full source retention after required-key checks.</t>
  </si>
  <si>
    <t>Unique candidate flight keys</t>
  </si>
  <si>
    <t>Candidate-key uniqueness</t>
  </si>
  <si>
    <t>Detect duplicate records before rate aggregation.</t>
  </si>
  <si>
    <t>0 duplicate candidate-key rows.</t>
  </si>
  <si>
    <t>Duplicate candidate-key rows</t>
  </si>
  <si>
    <t>Arrival fields</t>
  </si>
  <si>
    <t>Cancelled/diverted records have non-applicable arrival outcomes.</t>
  </si>
  <si>
    <t>1.63% arrival-delay missingness, treated as expected; excluded only from arrival-performance denominators.</t>
  </si>
  <si>
    <t>Scheduled flights in presentation</t>
  </si>
  <si>
    <t>Cancellation code mapping</t>
  </si>
  <si>
    <t>Avoid masking missing cancellation reason labels.</t>
  </si>
  <si>
    <t>0 cancelled flights with Unknown cancellation code.</t>
  </si>
  <si>
    <t>Cancelled flights</t>
  </si>
  <si>
    <t>Airport threshold</t>
  </si>
  <si>
    <t>Reduce unstable low-volume airport rates.</t>
  </si>
  <si>
    <t>5,000 scheduled departures required.</t>
  </si>
  <si>
    <t>Diverted flights</t>
  </si>
  <si>
    <t>Route threshold</t>
  </si>
  <si>
    <t>Reduce unstable low-volume route rates.</t>
  </si>
  <si>
    <t>1,000 scheduled flights required.</t>
  </si>
  <si>
    <t>Date coverage</t>
  </si>
  <si>
    <t>2023-01-01 to 2025-12-31</t>
  </si>
  <si>
    <t>Carrier route-month threshold</t>
  </si>
  <si>
    <t>Support comparable peer-control cells.</t>
  </si>
  <si>
    <t>100 flights per carrier route-month cell required.</t>
  </si>
  <si>
    <t>Monthly partitions</t>
  </si>
  <si>
    <t>Confirm complete monthly coverage.</t>
  </si>
  <si>
    <t>Grain: one scheduled domestic flight record. Arrival delay and on-time rates use operated, non-diverted flights; cancellation and diversion rates use all scheduled records. Two records have Unknown departure period and remain visible rather than silently reassigned.</t>
  </si>
  <si>
    <t>Definitions, Methodology &amp; Sources</t>
  </si>
  <si>
    <t>Portfolio handoff guide. Detailed SQL, Power Query, Python, model diagram, and documentation are stored with the project repository.</t>
  </si>
  <si>
    <t>Metric / Field</t>
  </si>
  <si>
    <t>Definition</t>
  </si>
  <si>
    <t>Model component</t>
  </si>
  <si>
    <t>Purpose</t>
  </si>
  <si>
    <t>Scheduled flights</t>
  </si>
  <si>
    <t>Count of BTS reporting-carrier flight records at the scheduled-flight grain.</t>
  </si>
  <si>
    <t>fact_flights</t>
  </si>
  <si>
    <t>One scheduled domestic flight record; operational flags, timing, and delay metrics.</t>
  </si>
  <si>
    <t>Operated flights</t>
  </si>
  <si>
    <t>Scheduled records excluding cancelled flights.</t>
  </si>
  <si>
    <t>dim_date</t>
  </si>
  <si>
    <t>Calendar attributes for 2023–2025 trend analysis.</t>
  </si>
  <si>
    <t>On-time rate</t>
  </si>
  <si>
    <t>Share of operated, non-diverted flights with arrival delay under 15 minutes.</t>
  </si>
  <si>
    <t>dim_airline</t>
  </si>
  <si>
    <t>Reporting airline key and code.</t>
  </si>
  <si>
    <t>Arrival delay rate</t>
  </si>
  <si>
    <t>Share of operated, non-diverted flights with arrival delay greater than 15 minutes.</t>
  </si>
  <si>
    <t>dim_airport</t>
  </si>
  <si>
    <t>Airport code, city, and state.</t>
  </si>
  <si>
    <t>Cancelled scheduled flights divided by all scheduled flights.</t>
  </si>
  <si>
    <t>dim_route</t>
  </si>
  <si>
    <t>Origin-destination route key.</t>
  </si>
  <si>
    <t>Diversion rate</t>
  </si>
  <si>
    <t>Diverted scheduled flights divided by all scheduled flights.</t>
  </si>
  <si>
    <t>Departure period</t>
  </si>
  <si>
    <t>Scheduled departure-time categories: Overnight, Morning, Midday, Afternoon, Evening, or Unknown.</t>
  </si>
  <si>
    <t>Primary source</t>
  </si>
  <si>
    <t>Reported delay causes</t>
  </si>
  <si>
    <t>Carrier, weather, NAS, security, and late-aircraft minutes reported in BTS records; descriptive operational classifications.</t>
  </si>
  <si>
    <t>Bureau of Transportation Statistics (BTS), Reporting Carrier On-Time Performance. Official table information: https://www.transtats.bts.gov/TableInfo.asp?QO_fu146_anzr=b0-gvzr&amp;gnoyr_VQ=FGJ</t>
  </si>
  <si>
    <t>Comparable carrier rate</t>
  </si>
  <si>
    <t>Carrier route-month performance only where the carrier cell has at least 100 flights, compared with peer carriers on the same route and month.</t>
  </si>
  <si>
    <t>Volume thresholds</t>
  </si>
  <si>
    <t>Airport: 5,000 scheduled departures; route: 1,000 scheduled flights; carrier route-month: 100 flights.</t>
  </si>
  <si>
    <t>Limitations: BTS data describes reported domestic flight operations and delay classifications. Descriptive differences are associations and may reflect route mix, airport conditions, weather, traffic management, airline schedules, and seasonality. The workbook does not claim a carrier, airport, or time period caused a delay. The raw source exceeds Excel worksheet limits; this workbook presents aggregated, reconciled tables while the full fact dataset remains in the reproducible DuckDB/Parquet model.</t>
  </si>
  <si>
    <t>Delay Trends</t>
  </si>
  <si>
    <t>Monthly BTS domestic operations, complete 2023–2025 files. Rates use operated, non-diverted flights unless otherwise noted.</t>
  </si>
  <si>
    <t>Month #</t>
  </si>
  <si>
    <t>Operated Flights</t>
  </si>
  <si>
    <t>Avg Arrival Delay (min)</t>
  </si>
  <si>
    <t>On-Time Flights (calc)</t>
  </si>
  <si>
    <t>Delayed Flights (calc)</t>
  </si>
  <si>
    <t>Cancelled Flights (calc)</t>
  </si>
  <si>
    <t>Diverted Flights (calc)</t>
  </si>
  <si>
    <t>Jan 2023</t>
  </si>
  <si>
    <t>Feb 2023</t>
  </si>
  <si>
    <t>Mar 2023</t>
  </si>
  <si>
    <t>Apr 2023</t>
  </si>
  <si>
    <t>May 2023</t>
  </si>
  <si>
    <t>Interpretation: 2025 on-time performance was lower and delay/cancellation rates were higher than in 2023. Use airport, route, season, and departure-period cuts before attributing performance differences to any single operator.</t>
  </si>
  <si>
    <t>Jun 2023</t>
  </si>
  <si>
    <t>Jul 2023</t>
  </si>
  <si>
    <t>Aug 2023</t>
  </si>
  <si>
    <t>Row Labels</t>
  </si>
  <si>
    <t>Sum of Scheduled Flights</t>
  </si>
  <si>
    <t>Sep 2023</t>
  </si>
  <si>
    <t>2023</t>
  </si>
  <si>
    <t>Oct 2023</t>
  </si>
  <si>
    <t>2024</t>
  </si>
  <si>
    <t>Nov 2023</t>
  </si>
  <si>
    <t>2025</t>
  </si>
  <si>
    <t>Dec 2023</t>
  </si>
  <si>
    <t>Grand Total</t>
  </si>
  <si>
    <t>Jan 2024</t>
  </si>
  <si>
    <t>Feb 2024</t>
  </si>
  <si>
    <t>Mar 2024</t>
  </si>
  <si>
    <t>Apr 2024</t>
  </si>
  <si>
    <t>May 2024</t>
  </si>
  <si>
    <t>Jun 2024</t>
  </si>
  <si>
    <t>Jul 2024</t>
  </si>
  <si>
    <t>Aug 2024</t>
  </si>
  <si>
    <t>Sep 2024</t>
  </si>
  <si>
    <t>Oct 2024</t>
  </si>
  <si>
    <t>Nov 2024</t>
  </si>
  <si>
    <t>Dec 2024</t>
  </si>
  <si>
    <t>Jan 2025</t>
  </si>
  <si>
    <t>Feb 2025</t>
  </si>
  <si>
    <t>Mar 2025</t>
  </si>
  <si>
    <t>Apr 2025</t>
  </si>
  <si>
    <t>May 2025</t>
  </si>
  <si>
    <t>Jun 2025</t>
  </si>
  <si>
    <t>Jul 2025</t>
  </si>
  <si>
    <t>Aug 2025</t>
  </si>
  <si>
    <t>Sep 2025</t>
  </si>
  <si>
    <t>Oct 2025</t>
  </si>
  <si>
    <t>Nov 2025</t>
  </si>
  <si>
    <t>Dec 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</si>
</sst>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
  </numFmts>
  <fonts count="10">
    <font>
      <sz val="11"/>
      <name val="Carlito"/>
    </font>
    <font>
      <b/>
      <sz val="18"/>
      <color rgb="FFFFFFFF"/>
      <name val="Carlito"/>
    </font>
    <font>
      <i/>
      <sz val="10"/>
      <color rgb="FF203040"/>
      <name val="Carlito"/>
    </font>
    <font>
      <b/>
      <sz val="11"/>
      <color rgb="FFFFFFFF"/>
      <name val="Carlito"/>
    </font>
    <font>
      <i/>
      <sz val="11"/>
      <color rgb="FF203040"/>
      <name val="Carlito"/>
    </font>
    <font>
      <b/>
      <sz val="10"/>
      <color rgb="FF203040"/>
      <name val="Carlito"/>
    </font>
    <font>
      <b/>
      <sz val="18"/>
      <color rgb="FF163A5F"/>
      <name val="Carlito"/>
    </font>
    <font>
      <b/>
      <sz val="12"/>
      <color rgb="FFFFFFFF"/>
      <name val="Carlito"/>
    </font>
    <font>
      <b/>
      <sz val="11"/>
      <color rgb="FF163A5F"/>
      <name val="Carlito"/>
    </font>
    <font>
      <sz val="11"/>
      <color rgb="FF203040"/>
      <name val="Carlito"/>
    </font>
  </fonts>
  <fills count="11">
    <fill>
      <patternFill patternType="none"/>
    </fill>
    <fill>
      <patternFill patternType="gray125"/>
    </fill>
    <fill>
      <patternFill patternType="solid">
        <fgColor rgb="FF163A5F"/>
      </patternFill>
    </fill>
    <fill>
      <patternFill patternType="solid">
        <fgColor rgb="FFDCE8F2"/>
      </patternFill>
    </fill>
    <fill>
      <patternFill patternType="solid">
        <fgColor rgb="FF1B998B"/>
      </patternFill>
    </fill>
    <fill>
      <patternFill patternType="solid">
        <fgColor rgb="FFEAF2F8"/>
      </patternFill>
    </fill>
    <fill>
      <patternFill patternType="solid">
        <fgColor rgb="FFFFFFFF"/>
      </patternFill>
    </fill>
    <fill>
      <patternFill patternType="solid">
        <fgColor rgb="FFE7F5F2"/>
      </patternFill>
    </fill>
    <fill>
      <patternFill patternType="solid">
        <fgColor rgb="FFFFF3E0"/>
      </patternFill>
    </fill>
    <fill>
      <patternFill patternType="solid">
        <fgColor rgb="FFFCECEC"/>
      </patternFill>
    </fill>
    <fill>
      <patternFill patternType="solid">
        <fgColor rgb="FFF28E2B"/>
      </patternFill>
    </fill>
  </fills>
  <borders count="15">
    <border>
      <left/>
      <right/>
      <top/>
      <bottom/>
      <diagonal/>
    </border>
    <border>
      <left style="thin">
        <color rgb="FFD5DEE8"/>
      </left>
      <right/>
      <top style="thin">
        <color rgb="FFD5DEE8"/>
      </top>
      <bottom style="thin">
        <color rgb="FFD5DEE8"/>
      </bottom>
      <diagonal/>
    </border>
    <border>
      <left/>
      <right/>
      <top style="thin">
        <color rgb="FFD5DEE8"/>
      </top>
      <bottom style="thin">
        <color rgb="FFD5DEE8"/>
      </bottom>
      <diagonal/>
    </border>
    <border>
      <left/>
      <right style="thin">
        <color rgb="FFD5DEE8"/>
      </right>
      <top style="thin">
        <color rgb="FFD5DEE8"/>
      </top>
      <bottom style="thin">
        <color rgb="FFD5DEE8"/>
      </bottom>
      <diagonal/>
    </border>
    <border>
      <left style="thin">
        <color rgb="FFD5DEE8"/>
      </left>
      <right/>
      <top/>
      <bottom/>
      <diagonal/>
    </border>
    <border>
      <left/>
      <right style="thin">
        <color rgb="FFD5DEE8"/>
      </right>
      <top/>
      <bottom/>
      <diagonal/>
    </border>
    <border>
      <left style="thin">
        <color rgb="FFD5DEE8"/>
      </left>
      <right/>
      <top/>
      <bottom style="thin">
        <color rgb="FFD5DEE8"/>
      </bottom>
      <diagonal/>
    </border>
    <border>
      <left/>
      <right/>
      <top/>
      <bottom style="thin">
        <color rgb="FFD5DEE8"/>
      </bottom>
      <diagonal/>
    </border>
    <border>
      <left/>
      <right style="thin">
        <color rgb="FFD5DEE8"/>
      </right>
      <top/>
      <bottom style="thin">
        <color rgb="FFD5DEE8"/>
      </bottom>
      <diagonal/>
    </border>
    <border>
      <left style="thin">
        <color rgb="FFD5DEE8"/>
      </left>
      <right/>
      <top style="thin">
        <color rgb="FFD5DEE8"/>
      </top>
      <bottom/>
      <diagonal/>
    </border>
    <border>
      <left/>
      <right/>
      <top style="thin">
        <color rgb="FFD5DEE8"/>
      </top>
      <bottom/>
      <diagonal/>
    </border>
    <border>
      <left/>
      <right style="thin">
        <color rgb="FFD5DEE8"/>
      </right>
      <top style="thin">
        <color rgb="FFD5DEE8"/>
      </top>
      <bottom/>
      <diagonal/>
    </border>
    <border>
      <left style="thin">
        <color rgb="FFD5DEE8"/>
      </left>
      <right style="thin">
        <color rgb="FFD5DEE8"/>
      </right>
      <top style="thin">
        <color rgb="FFD5DEE8"/>
      </top>
      <bottom/>
      <diagonal/>
    </border>
    <border>
      <left style="thin">
        <color rgb="FFD5DEE8"/>
      </left>
      <right style="thin">
        <color rgb="FFD5DEE8"/>
      </right>
      <top/>
      <bottom/>
      <diagonal/>
    </border>
    <border>
      <left style="thin">
        <color rgb="FFD5DEE8"/>
      </left>
      <right style="thin">
        <color rgb="FFD5DEE8"/>
      </right>
      <top/>
      <bottom style="thin">
        <color rgb="FFD5DEE8"/>
      </bottom>
      <diagonal/>
    </border>
  </borders>
  <cellStyleXfs count="1">
    <xf numFmtId="0" fontId="0" fillId="0" borderId="0"/>
  </cellStyleXfs>
  <cellXfs count="125">
    <xf numFmtId="0" fontId="0" fillId="0" borderId="0" xfId="0"/>
    <xf numFmtId="0" fontId="3" fillId="2" borderId="1" xfId="0" applyFont="1" applyFill="1" applyBorder="1" applyAlignment="1">
      <alignment horizontal="center" vertical="center" wrapText="1"/>
    </xf>
    <xf numFmtId="0" fontId="3" fillId="2" borderId="2" xfId="0" applyFont="1" applyFill="1" applyBorder="1" applyAlignment="1">
      <alignment horizontal="center" vertical="center" wrapText="1"/>
    </xf>
    <xf numFmtId="0" fontId="3" fillId="2" borderId="3" xfId="0" applyFont="1" applyFill="1" applyBorder="1" applyAlignment="1">
      <alignment horizontal="center" vertical="center" wrapText="1"/>
    </xf>
    <xf numFmtId="3" fontId="0" fillId="0" borderId="0" xfId="0" applyNumberFormat="1"/>
    <xf numFmtId="164" fontId="0" fillId="0" borderId="0" xfId="0" applyNumberFormat="1"/>
    <xf numFmtId="165" fontId="0" fillId="0" borderId="0" xfId="0" applyNumberFormat="1"/>
    <xf numFmtId="0" fontId="0" fillId="0" borderId="4" xfId="0" applyBorder="1"/>
    <xf numFmtId="3" fontId="0" fillId="0" borderId="5" xfId="0" applyNumberFormat="1" applyBorder="1"/>
    <xf numFmtId="0" fontId="0" fillId="0" borderId="6" xfId="0" applyBorder="1"/>
    <xf numFmtId="0" fontId="0" fillId="0" borderId="7" xfId="0" applyBorder="1"/>
    <xf numFmtId="3" fontId="0" fillId="0" borderId="7" xfId="0" applyNumberFormat="1" applyBorder="1"/>
    <xf numFmtId="164" fontId="0" fillId="0" borderId="7" xfId="0" applyNumberFormat="1" applyBorder="1"/>
    <xf numFmtId="165" fontId="0" fillId="0" borderId="7" xfId="0" applyNumberFormat="1" applyBorder="1"/>
    <xf numFmtId="3" fontId="0" fillId="0" borderId="8" xfId="0" applyNumberFormat="1" applyBorder="1"/>
    <xf numFmtId="0" fontId="3" fillId="4" borderId="1" xfId="0" applyFont="1" applyFill="1" applyBorder="1" applyAlignment="1">
      <alignment horizontal="center" vertical="center" wrapText="1"/>
    </xf>
    <xf numFmtId="0" fontId="3" fillId="4" borderId="2" xfId="0" applyFont="1" applyFill="1" applyBorder="1" applyAlignment="1">
      <alignment horizontal="center" vertical="center" wrapText="1"/>
    </xf>
    <xf numFmtId="0" fontId="3" fillId="4" borderId="3" xfId="0" applyFont="1" applyFill="1" applyBorder="1" applyAlignment="1">
      <alignment horizontal="center" vertical="center" wrapText="1"/>
    </xf>
    <xf numFmtId="164" fontId="0" fillId="0" borderId="5" xfId="0" applyNumberFormat="1" applyBorder="1"/>
    <xf numFmtId="164" fontId="0" fillId="0" borderId="8" xfId="0" applyNumberFormat="1" applyBorder="1"/>
    <xf numFmtId="0" fontId="8" fillId="5" borderId="9" xfId="0" applyFont="1" applyFill="1" applyBorder="1" applyAlignment="1">
      <alignment vertical="top" wrapText="1"/>
    </xf>
    <xf numFmtId="0" fontId="8" fillId="5" borderId="4" xfId="0" applyFont="1" applyFill="1" applyBorder="1" applyAlignment="1">
      <alignment vertical="top" wrapText="1"/>
    </xf>
    <xf numFmtId="0" fontId="0" fillId="0" borderId="5" xfId="0" applyBorder="1"/>
    <xf numFmtId="0" fontId="8" fillId="5" borderId="6" xfId="0" applyFont="1" applyFill="1" applyBorder="1" applyAlignment="1">
      <alignment vertical="top" wrapText="1"/>
    </xf>
    <xf numFmtId="0" fontId="0" fillId="0" borderId="8" xfId="0" applyBorder="1"/>
    <xf numFmtId="0" fontId="0" fillId="0" borderId="10" xfId="0" applyBorder="1" applyAlignment="1">
      <alignment vertical="top" wrapText="1"/>
    </xf>
    <xf numFmtId="0" fontId="0" fillId="0" borderId="11" xfId="0" applyBorder="1" applyAlignment="1">
      <alignment vertical="top" wrapText="1"/>
    </xf>
    <xf numFmtId="0" fontId="0" fillId="0" borderId="0" xfId="0" applyAlignment="1">
      <alignment vertical="top" wrapText="1"/>
    </xf>
    <xf numFmtId="0" fontId="0" fillId="0" borderId="5" xfId="0" applyBorder="1" applyAlignment="1">
      <alignment vertical="top" wrapText="1"/>
    </xf>
    <xf numFmtId="0" fontId="0" fillId="0" borderId="7" xfId="0" applyBorder="1" applyAlignment="1">
      <alignment vertical="top" wrapText="1"/>
    </xf>
    <xf numFmtId="0" fontId="0" fillId="0" borderId="8" xfId="0" applyBorder="1" applyAlignment="1">
      <alignment vertical="top" wrapText="1"/>
    </xf>
    <xf numFmtId="0" fontId="8" fillId="7" borderId="12" xfId="0" applyFont="1" applyFill="1" applyBorder="1" applyAlignment="1">
      <alignment vertical="top" wrapText="1"/>
    </xf>
    <xf numFmtId="0" fontId="8" fillId="7" borderId="13" xfId="0" applyFont="1" applyFill="1" applyBorder="1" applyAlignment="1">
      <alignment vertical="top" wrapText="1"/>
    </xf>
    <xf numFmtId="0" fontId="8" fillId="7" borderId="14" xfId="0" applyFont="1" applyFill="1" applyBorder="1" applyAlignment="1">
      <alignment vertical="top" wrapText="1"/>
    </xf>
    <xf numFmtId="0" fontId="8" fillId="5" borderId="12" xfId="0" applyFont="1" applyFill="1" applyBorder="1"/>
    <xf numFmtId="0" fontId="8" fillId="5" borderId="13" xfId="0" applyFont="1" applyFill="1" applyBorder="1"/>
    <xf numFmtId="0" fontId="8" fillId="5" borderId="14" xfId="0" applyFont="1" applyFill="1" applyBorder="1"/>
    <xf numFmtId="0" fontId="0" fillId="6" borderId="12" xfId="0" applyFill="1" applyBorder="1"/>
    <xf numFmtId="0" fontId="0" fillId="6" borderId="13" xfId="0" applyFill="1" applyBorder="1"/>
    <xf numFmtId="3" fontId="0" fillId="6" borderId="13" xfId="0" applyNumberFormat="1" applyFill="1" applyBorder="1"/>
    <xf numFmtId="164" fontId="0" fillId="6" borderId="13" xfId="0" applyNumberFormat="1" applyFill="1" applyBorder="1"/>
    <xf numFmtId="165" fontId="0" fillId="6" borderId="14" xfId="0" applyNumberFormat="1" applyFill="1" applyBorder="1"/>
    <xf numFmtId="0" fontId="3" fillId="10" borderId="1" xfId="0" applyFont="1" applyFill="1" applyBorder="1" applyAlignment="1">
      <alignment horizontal="center" vertical="center" wrapText="1"/>
    </xf>
    <xf numFmtId="0" fontId="3" fillId="10" borderId="2" xfId="0" applyFont="1" applyFill="1" applyBorder="1" applyAlignment="1">
      <alignment horizontal="center" vertical="center" wrapText="1"/>
    </xf>
    <xf numFmtId="0" fontId="3" fillId="10" borderId="3" xfId="0" applyFont="1" applyFill="1" applyBorder="1" applyAlignment="1">
      <alignment horizontal="center" vertical="center" wrapText="1"/>
    </xf>
    <xf numFmtId="0" fontId="8" fillId="5" borderId="12" xfId="0" applyFont="1" applyFill="1" applyBorder="1" applyAlignment="1">
      <alignment vertical="top" wrapText="1"/>
    </xf>
    <xf numFmtId="0" fontId="8" fillId="5" borderId="13" xfId="0" applyFont="1" applyFill="1" applyBorder="1" applyAlignment="1">
      <alignment vertical="top" wrapText="1"/>
    </xf>
    <xf numFmtId="0" fontId="8" fillId="5" borderId="14" xfId="0" applyFont="1" applyFill="1" applyBorder="1" applyAlignment="1">
      <alignment vertical="top" wrapText="1"/>
    </xf>
    <xf numFmtId="0" fontId="4" fillId="8" borderId="9" xfId="0" applyFont="1" applyFill="1" applyBorder="1" applyAlignment="1">
      <alignment vertical="center" wrapText="1"/>
    </xf>
    <xf numFmtId="0" fontId="4" fillId="8" borderId="10" xfId="0" applyFont="1" applyFill="1" applyBorder="1" applyAlignment="1">
      <alignment vertical="center" wrapText="1"/>
    </xf>
    <xf numFmtId="0" fontId="4" fillId="8" borderId="11" xfId="0" applyFont="1" applyFill="1" applyBorder="1" applyAlignment="1">
      <alignment vertical="center" wrapText="1"/>
    </xf>
    <xf numFmtId="0" fontId="4" fillId="8" borderId="4" xfId="0" applyFont="1" applyFill="1" applyBorder="1" applyAlignment="1">
      <alignment vertical="center" wrapText="1"/>
    </xf>
    <xf numFmtId="0" fontId="4" fillId="8" borderId="5" xfId="0" applyFont="1" applyFill="1" applyBorder="1" applyAlignment="1">
      <alignment vertical="center" wrapText="1"/>
    </xf>
    <xf numFmtId="0" fontId="4" fillId="8" borderId="6" xfId="0" applyFont="1" applyFill="1" applyBorder="1" applyAlignment="1">
      <alignment vertical="center" wrapText="1"/>
    </xf>
    <xf numFmtId="0" fontId="4" fillId="8" borderId="7" xfId="0" applyFont="1" applyFill="1" applyBorder="1" applyAlignment="1">
      <alignment vertical="center" wrapText="1"/>
    </xf>
    <xf numFmtId="0" fontId="4" fillId="8" borderId="8" xfId="0" applyFont="1" applyFill="1" applyBorder="1" applyAlignment="1">
      <alignment vertical="center" wrapText="1"/>
    </xf>
    <xf numFmtId="0" fontId="4" fillId="8" borderId="0" xfId="0" applyFont="1" applyFill="1" applyAlignment="1">
      <alignment vertical="center" wrapText="1"/>
    </xf>
    <xf numFmtId="0" fontId="1" fillId="2" borderId="0" xfId="0" applyFont="1" applyFill="1" applyAlignment="1">
      <alignment horizontal="left" vertical="center"/>
    </xf>
    <xf numFmtId="0" fontId="2" fillId="3" borderId="0" xfId="0" applyFont="1" applyFill="1" applyAlignment="1">
      <alignment horizontal="left" vertical="center" wrapText="1"/>
    </xf>
    <xf numFmtId="0" fontId="4" fillId="5" borderId="9" xfId="0" applyFont="1" applyFill="1" applyBorder="1" applyAlignment="1">
      <alignment vertical="center" wrapText="1"/>
    </xf>
    <xf numFmtId="0" fontId="4" fillId="5" borderId="10" xfId="0" applyFont="1" applyFill="1" applyBorder="1" applyAlignment="1">
      <alignment vertical="center" wrapText="1"/>
    </xf>
    <xf numFmtId="0" fontId="4" fillId="5" borderId="11" xfId="0" applyFont="1" applyFill="1" applyBorder="1" applyAlignment="1">
      <alignment vertical="center" wrapText="1"/>
    </xf>
    <xf numFmtId="0" fontId="4" fillId="5" borderId="6" xfId="0" applyFont="1" applyFill="1" applyBorder="1" applyAlignment="1">
      <alignment vertical="center" wrapText="1"/>
    </xf>
    <xf numFmtId="0" fontId="4" fillId="5" borderId="7" xfId="0" applyFont="1" applyFill="1" applyBorder="1" applyAlignment="1">
      <alignment vertical="center" wrapText="1"/>
    </xf>
    <xf numFmtId="0" fontId="4" fillId="5" borderId="8" xfId="0" applyFont="1" applyFill="1" applyBorder="1" applyAlignment="1">
      <alignment vertical="center" wrapText="1"/>
    </xf>
    <xf numFmtId="0" fontId="7" fillId="2" borderId="0" xfId="0" applyFont="1" applyFill="1" applyAlignment="1">
      <alignment vertical="center"/>
    </xf>
    <xf numFmtId="0" fontId="9" fillId="6" borderId="9" xfId="0" applyFont="1" applyFill="1" applyBorder="1" applyAlignment="1">
      <alignment vertical="top" wrapText="1"/>
    </xf>
    <xf numFmtId="0" fontId="9" fillId="6" borderId="10" xfId="0" applyFont="1" applyFill="1" applyBorder="1" applyAlignment="1">
      <alignment vertical="top" wrapText="1"/>
    </xf>
    <xf numFmtId="0" fontId="9" fillId="6" borderId="11" xfId="0" applyFont="1" applyFill="1" applyBorder="1" applyAlignment="1">
      <alignment vertical="top" wrapText="1"/>
    </xf>
    <xf numFmtId="0" fontId="9" fillId="6" borderId="4" xfId="0" applyFont="1" applyFill="1" applyBorder="1" applyAlignment="1">
      <alignment vertical="top" wrapText="1"/>
    </xf>
    <xf numFmtId="0" fontId="9" fillId="6" borderId="0" xfId="0" applyFont="1" applyFill="1" applyAlignment="1">
      <alignment vertical="top" wrapText="1"/>
    </xf>
    <xf numFmtId="0" fontId="9" fillId="6" borderId="5" xfId="0" applyFont="1" applyFill="1" applyBorder="1" applyAlignment="1">
      <alignment vertical="top" wrapText="1"/>
    </xf>
    <xf numFmtId="0" fontId="9" fillId="6" borderId="6" xfId="0" applyFont="1" applyFill="1" applyBorder="1" applyAlignment="1">
      <alignment vertical="top" wrapText="1"/>
    </xf>
    <xf numFmtId="0" fontId="9" fillId="6" borderId="7" xfId="0" applyFont="1" applyFill="1" applyBorder="1" applyAlignment="1">
      <alignment vertical="top" wrapText="1"/>
    </xf>
    <xf numFmtId="0" fontId="9" fillId="6" borderId="8" xfId="0" applyFont="1" applyFill="1" applyBorder="1" applyAlignment="1">
      <alignment vertical="top" wrapText="1"/>
    </xf>
    <xf numFmtId="0" fontId="5" fillId="5" borderId="1" xfId="0" applyFont="1" applyFill="1" applyBorder="1" applyAlignment="1">
      <alignment horizontal="center" vertical="center" wrapText="1"/>
    </xf>
    <xf numFmtId="0" fontId="5" fillId="5" borderId="2" xfId="0" applyFont="1" applyFill="1" applyBorder="1" applyAlignment="1">
      <alignment horizontal="center" vertical="center" wrapText="1"/>
    </xf>
    <xf numFmtId="0" fontId="5" fillId="5" borderId="3" xfId="0" applyFont="1" applyFill="1" applyBorder="1" applyAlignment="1">
      <alignment horizontal="center" vertical="center" wrapText="1"/>
    </xf>
    <xf numFmtId="3" fontId="6" fillId="6" borderId="9" xfId="0" applyNumberFormat="1" applyFont="1" applyFill="1" applyBorder="1" applyAlignment="1">
      <alignment horizontal="center" vertical="center"/>
    </xf>
    <xf numFmtId="3" fontId="6" fillId="6" borderId="10" xfId="0" applyNumberFormat="1" applyFont="1" applyFill="1" applyBorder="1" applyAlignment="1">
      <alignment horizontal="center" vertical="center"/>
    </xf>
    <xf numFmtId="3" fontId="6" fillId="6" borderId="11" xfId="0" applyNumberFormat="1" applyFont="1" applyFill="1" applyBorder="1" applyAlignment="1">
      <alignment horizontal="center" vertical="center"/>
    </xf>
    <xf numFmtId="3" fontId="6" fillId="6" borderId="4" xfId="0" applyNumberFormat="1" applyFont="1" applyFill="1" applyBorder="1" applyAlignment="1">
      <alignment horizontal="center" vertical="center"/>
    </xf>
    <xf numFmtId="3" fontId="6" fillId="6" borderId="0" xfId="0" applyNumberFormat="1" applyFont="1" applyFill="1" applyAlignment="1">
      <alignment horizontal="center" vertical="center"/>
    </xf>
    <xf numFmtId="3" fontId="6" fillId="6" borderId="5" xfId="0" applyNumberFormat="1" applyFont="1" applyFill="1" applyBorder="1" applyAlignment="1">
      <alignment horizontal="center" vertical="center"/>
    </xf>
    <xf numFmtId="3" fontId="6" fillId="6" borderId="6" xfId="0" applyNumberFormat="1" applyFont="1" applyFill="1" applyBorder="1" applyAlignment="1">
      <alignment horizontal="center" vertical="center"/>
    </xf>
    <xf numFmtId="3" fontId="6" fillId="6" borderId="7" xfId="0" applyNumberFormat="1" applyFont="1" applyFill="1" applyBorder="1" applyAlignment="1">
      <alignment horizontal="center" vertical="center"/>
    </xf>
    <xf numFmtId="3" fontId="6" fillId="6" borderId="8" xfId="0" applyNumberFormat="1" applyFont="1" applyFill="1" applyBorder="1" applyAlignment="1">
      <alignment horizontal="center" vertical="center"/>
    </xf>
    <xf numFmtId="0" fontId="5" fillId="7" borderId="1" xfId="0" applyFont="1" applyFill="1" applyBorder="1" applyAlignment="1">
      <alignment horizontal="center" vertical="center" wrapText="1"/>
    </xf>
    <xf numFmtId="0" fontId="5" fillId="7" borderId="2" xfId="0" applyFont="1" applyFill="1" applyBorder="1" applyAlignment="1">
      <alignment horizontal="center" vertical="center" wrapText="1"/>
    </xf>
    <xf numFmtId="0" fontId="5" fillId="7" borderId="3" xfId="0" applyFont="1" applyFill="1" applyBorder="1" applyAlignment="1">
      <alignment horizontal="center" vertical="center" wrapText="1"/>
    </xf>
    <xf numFmtId="164" fontId="6" fillId="6" borderId="9" xfId="0" applyNumberFormat="1" applyFont="1" applyFill="1" applyBorder="1" applyAlignment="1">
      <alignment horizontal="center" vertical="center"/>
    </xf>
    <xf numFmtId="164" fontId="6" fillId="6" borderId="10" xfId="0" applyNumberFormat="1" applyFont="1" applyFill="1" applyBorder="1" applyAlignment="1">
      <alignment horizontal="center" vertical="center"/>
    </xf>
    <xf numFmtId="164" fontId="6" fillId="6" borderId="11" xfId="0" applyNumberFormat="1" applyFont="1" applyFill="1" applyBorder="1" applyAlignment="1">
      <alignment horizontal="center" vertical="center"/>
    </xf>
    <xf numFmtId="164" fontId="6" fillId="6" borderId="4" xfId="0" applyNumberFormat="1" applyFont="1" applyFill="1" applyBorder="1" applyAlignment="1">
      <alignment horizontal="center" vertical="center"/>
    </xf>
    <xf numFmtId="164" fontId="6" fillId="6" borderId="0" xfId="0" applyNumberFormat="1" applyFont="1" applyFill="1" applyAlignment="1">
      <alignment horizontal="center" vertical="center"/>
    </xf>
    <xf numFmtId="164" fontId="6" fillId="6" borderId="5" xfId="0" applyNumberFormat="1" applyFont="1" applyFill="1" applyBorder="1" applyAlignment="1">
      <alignment horizontal="center" vertical="center"/>
    </xf>
    <xf numFmtId="164" fontId="6" fillId="6" borderId="6" xfId="0" applyNumberFormat="1" applyFont="1" applyFill="1" applyBorder="1" applyAlignment="1">
      <alignment horizontal="center" vertical="center"/>
    </xf>
    <xf numFmtId="164" fontId="6" fillId="6" borderId="7" xfId="0" applyNumberFormat="1" applyFont="1" applyFill="1" applyBorder="1" applyAlignment="1">
      <alignment horizontal="center" vertical="center"/>
    </xf>
    <xf numFmtId="164" fontId="6" fillId="6" borderId="8" xfId="0" applyNumberFormat="1" applyFont="1" applyFill="1" applyBorder="1" applyAlignment="1">
      <alignment horizontal="center" vertical="center"/>
    </xf>
    <xf numFmtId="0" fontId="5" fillId="8" borderId="1" xfId="0" applyFont="1" applyFill="1" applyBorder="1" applyAlignment="1">
      <alignment horizontal="center" vertical="center" wrapText="1"/>
    </xf>
    <xf numFmtId="0" fontId="5" fillId="8" borderId="2" xfId="0" applyFont="1" applyFill="1" applyBorder="1" applyAlignment="1">
      <alignment horizontal="center" vertical="center" wrapText="1"/>
    </xf>
    <xf numFmtId="0" fontId="5" fillId="8" borderId="3" xfId="0" applyFont="1" applyFill="1" applyBorder="1" applyAlignment="1">
      <alignment horizontal="center" vertical="center" wrapText="1"/>
    </xf>
    <xf numFmtId="0" fontId="5" fillId="9" borderId="1" xfId="0" applyFont="1" applyFill="1" applyBorder="1" applyAlignment="1">
      <alignment horizontal="center" vertical="center" wrapText="1"/>
    </xf>
    <xf numFmtId="0" fontId="5" fillId="9" borderId="2" xfId="0" applyFont="1" applyFill="1" applyBorder="1" applyAlignment="1">
      <alignment horizontal="center" vertical="center" wrapText="1"/>
    </xf>
    <xf numFmtId="0" fontId="5" fillId="9" borderId="3" xfId="0" applyFont="1" applyFill="1" applyBorder="1" applyAlignment="1">
      <alignment horizontal="center" vertical="center" wrapText="1"/>
    </xf>
    <xf numFmtId="0" fontId="3" fillId="4" borderId="0" xfId="0" applyFont="1" applyFill="1" applyAlignment="1">
      <alignment horizontal="center"/>
    </xf>
    <xf numFmtId="0" fontId="4" fillId="8" borderId="9" xfId="0" applyFont="1" applyFill="1" applyBorder="1" applyAlignment="1">
      <alignment vertical="center" wrapText="1"/>
    </xf>
    <xf numFmtId="0" fontId="4" fillId="8" borderId="10" xfId="0" applyFont="1" applyFill="1" applyBorder="1" applyAlignment="1">
      <alignment vertical="center" wrapText="1"/>
    </xf>
    <xf numFmtId="0" fontId="4" fillId="8" borderId="11" xfId="0" applyFont="1" applyFill="1" applyBorder="1" applyAlignment="1">
      <alignment vertical="center" wrapText="1"/>
    </xf>
    <xf numFmtId="0" fontId="4" fillId="8" borderId="4" xfId="0" applyFont="1" applyFill="1" applyBorder="1" applyAlignment="1">
      <alignment vertical="center" wrapText="1"/>
    </xf>
    <xf numFmtId="0" fontId="4" fillId="8" borderId="0" xfId="0" applyFont="1" applyFill="1" applyAlignment="1">
      <alignment vertical="center" wrapText="1"/>
    </xf>
    <xf numFmtId="0" fontId="4" fillId="8" borderId="5" xfId="0" applyFont="1" applyFill="1" applyBorder="1" applyAlignment="1">
      <alignment vertical="center" wrapText="1"/>
    </xf>
    <xf numFmtId="0" fontId="4" fillId="8" borderId="6" xfId="0" applyFont="1" applyFill="1" applyBorder="1" applyAlignment="1">
      <alignment vertical="center" wrapText="1"/>
    </xf>
    <xf numFmtId="0" fontId="4" fillId="8" borderId="7" xfId="0" applyFont="1" applyFill="1" applyBorder="1" applyAlignment="1">
      <alignment vertical="center" wrapText="1"/>
    </xf>
    <xf numFmtId="0" fontId="4" fillId="8" borderId="8" xfId="0" applyFont="1" applyFill="1" applyBorder="1" applyAlignment="1">
      <alignment vertical="center" wrapText="1"/>
    </xf>
    <xf numFmtId="0" fontId="4" fillId="5" borderId="4" xfId="0" applyFont="1" applyFill="1" applyBorder="1" applyAlignment="1">
      <alignment vertical="center" wrapText="1"/>
    </xf>
    <xf numFmtId="0" fontId="4" fillId="5" borderId="0" xfId="0" applyFont="1" applyFill="1" applyAlignment="1">
      <alignment vertical="center" wrapText="1"/>
    </xf>
    <xf numFmtId="0" fontId="4" fillId="5" borderId="5" xfId="0" applyFont="1" applyFill="1" applyBorder="1" applyAlignment="1">
      <alignment vertical="center" wrapText="1"/>
    </xf>
    <xf numFmtId="0" fontId="9" fillId="5" borderId="9" xfId="0" applyFont="1" applyFill="1" applyBorder="1" applyAlignment="1">
      <alignment vertical="center" wrapText="1"/>
    </xf>
    <xf numFmtId="0" fontId="9" fillId="5" borderId="10" xfId="0" applyFont="1" applyFill="1" applyBorder="1" applyAlignment="1">
      <alignment vertical="center" wrapText="1"/>
    </xf>
    <xf numFmtId="0" fontId="9" fillId="5" borderId="11" xfId="0" applyFont="1" applyFill="1" applyBorder="1" applyAlignment="1">
      <alignment vertical="center" wrapText="1"/>
    </xf>
    <xf numFmtId="0" fontId="9" fillId="5" borderId="6" xfId="0" applyFont="1" applyFill="1" applyBorder="1" applyAlignment="1">
      <alignment vertical="center" wrapText="1"/>
    </xf>
    <xf numFmtId="0" fontId="9" fillId="5" borderId="7" xfId="0" applyFont="1" applyFill="1" applyBorder="1" applyAlignment="1">
      <alignment vertical="center" wrapText="1"/>
    </xf>
    <xf numFmtId="0" fontId="9" fillId="5" borderId="8" xfId="0" applyFont="1" applyFill="1" applyBorder="1" applyAlignment="1">
      <alignment vertical="center" wrapText="1"/>
    </xf>
    <xf numFmtId="0" fontId="3" fillId="2" borderId="0" xfId="0" applyFont="1" applyFill="1" applyAlignment="1"/>
  </cellXfs>
  <cellStyles count="1">
    <cellStyle name="Normal" xfId="0" builtinId="0"/>
  </cellStyles>
  <dxfs count="2">
    <dxf>
      <font>
        <b/>
        <color rgb="FF990000"/>
      </font>
      <fill>
        <patternFill patternType="solid">
          <bgColor rgb="FFF4CCCC"/>
        </patternFill>
      </fill>
    </dxf>
    <dxf>
      <font>
        <b/>
        <color rgb="FF274E13"/>
      </font>
      <fill>
        <patternFill patternType="solid">
          <bgColor rgb="FFD9EAD3"/>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a:lstStyle/>
          <a:p>
            <a:r>
              <a:rPr lang="en-US"/>
              <a:t>Monthly on-time and arrival-delay rates</a:t>
            </a:r>
          </a:p>
        </c:rich>
      </c:tx>
      <c:overlay val="1"/>
    </c:title>
    <c:autoTitleDeleted val="0"/>
    <c:plotArea>
      <c:layout/>
      <c:lineChart>
        <c:grouping val="standard"/>
        <c:varyColors val="1"/>
        <c:ser>
          <c:idx val="0"/>
          <c:order val="0"/>
          <c:tx>
            <c:v>On-Time Rate</c:v>
          </c:tx>
          <c:marker>
            <c:symbol val="none"/>
          </c:marker>
          <c:cat>
            <c:strRef>
              <c:f>'Delay Trends'!$A$5:$A$40</c:f>
              <c:strCache>
                <c:ptCount val="36"/>
                <c:pt idx="0">
                  <c:v>Jan 2023</c:v>
                </c:pt>
                <c:pt idx="1">
                  <c:v>Feb 2023</c:v>
                </c:pt>
                <c:pt idx="2">
                  <c:v>Mar 2023</c:v>
                </c:pt>
                <c:pt idx="3">
                  <c:v>Apr 2023</c:v>
                </c:pt>
                <c:pt idx="4">
                  <c:v>May 2023</c:v>
                </c:pt>
                <c:pt idx="5">
                  <c:v>Jun 2023</c:v>
                </c:pt>
                <c:pt idx="6">
                  <c:v>Jul 2023</c:v>
                </c:pt>
                <c:pt idx="7">
                  <c:v>Aug 2023</c:v>
                </c:pt>
                <c:pt idx="8">
                  <c:v>Sep 2023</c:v>
                </c:pt>
                <c:pt idx="9">
                  <c:v>Oct 2023</c:v>
                </c:pt>
                <c:pt idx="10">
                  <c:v>Nov 2023</c:v>
                </c:pt>
                <c:pt idx="11">
                  <c:v>Dec 2023</c:v>
                </c:pt>
                <c:pt idx="12">
                  <c:v>Jan 2024</c:v>
                </c:pt>
                <c:pt idx="13">
                  <c:v>Feb 2024</c:v>
                </c:pt>
                <c:pt idx="14">
                  <c:v>Mar 2024</c:v>
                </c:pt>
                <c:pt idx="15">
                  <c:v>Apr 2024</c:v>
                </c:pt>
                <c:pt idx="16">
                  <c:v>May 2024</c:v>
                </c:pt>
                <c:pt idx="17">
                  <c:v>Jun 2024</c:v>
                </c:pt>
                <c:pt idx="18">
                  <c:v>Jul 2024</c:v>
                </c:pt>
                <c:pt idx="19">
                  <c:v>Aug 2024</c:v>
                </c:pt>
                <c:pt idx="20">
                  <c:v>Sep 2024</c:v>
                </c:pt>
                <c:pt idx="21">
                  <c:v>Oct 2024</c:v>
                </c:pt>
                <c:pt idx="22">
                  <c:v>Nov 2024</c:v>
                </c:pt>
                <c:pt idx="23">
                  <c:v>Dec 2024</c:v>
                </c:pt>
                <c:pt idx="24">
                  <c:v>Jan 2025</c:v>
                </c:pt>
                <c:pt idx="25">
                  <c:v>Feb 2025</c:v>
                </c:pt>
                <c:pt idx="26">
                  <c:v>Mar 2025</c:v>
                </c:pt>
                <c:pt idx="27">
                  <c:v>Apr 2025</c:v>
                </c:pt>
                <c:pt idx="28">
                  <c:v>May 2025</c:v>
                </c:pt>
                <c:pt idx="29">
                  <c:v>Jun 2025</c:v>
                </c:pt>
                <c:pt idx="30">
                  <c:v>Jul 2025</c:v>
                </c:pt>
                <c:pt idx="31">
                  <c:v>Aug 2025</c:v>
                </c:pt>
                <c:pt idx="32">
                  <c:v>Sep 2025</c:v>
                </c:pt>
                <c:pt idx="33">
                  <c:v>Oct 2025</c:v>
                </c:pt>
                <c:pt idx="34">
                  <c:v>Nov 2025</c:v>
                </c:pt>
                <c:pt idx="35">
                  <c:v>Dec 2025</c:v>
                </c:pt>
              </c:strCache>
            </c:strRef>
          </c:cat>
          <c:val>
            <c:numRef>
              <c:f>'Delay Trends'!$F$5:$F$40</c:f>
              <c:numCache>
                <c:formatCode>0.0%</c:formatCode>
                <c:ptCount val="36"/>
                <c:pt idx="0">
                  <c:v>0.76179623893682136</c:v>
                </c:pt>
                <c:pt idx="1">
                  <c:v>0.79518407793948864</c:v>
                </c:pt>
                <c:pt idx="2">
                  <c:v>0.75042648736391171</c:v>
                </c:pt>
                <c:pt idx="3">
                  <c:v>0.7558532419256877</c:v>
                </c:pt>
                <c:pt idx="4">
                  <c:v>0.8126640204980361</c:v>
                </c:pt>
                <c:pt idx="5">
                  <c:v>0.71117793999951495</c:v>
                </c:pt>
                <c:pt idx="6">
                  <c:v>0.69447019768519902</c:v>
                </c:pt>
                <c:pt idx="7">
                  <c:v>0.76900994548804535</c:v>
                </c:pt>
                <c:pt idx="8">
                  <c:v>0.80126041121442804</c:v>
                </c:pt>
                <c:pt idx="9">
                  <c:v>0.8398078027540703</c:v>
                </c:pt>
                <c:pt idx="10">
                  <c:v>0.86215826470395207</c:v>
                </c:pt>
                <c:pt idx="11">
                  <c:v>0.83764555728145806</c:v>
                </c:pt>
                <c:pt idx="12">
                  <c:v>0.72899897856820484</c:v>
                </c:pt>
                <c:pt idx="13">
                  <c:v>0.83439036556687807</c:v>
                </c:pt>
                <c:pt idx="14">
                  <c:v>0.78304636791169502</c:v>
                </c:pt>
                <c:pt idx="15">
                  <c:v>0.80209383615173868</c:v>
                </c:pt>
                <c:pt idx="16">
                  <c:v>0.72317353376750537</c:v>
                </c:pt>
                <c:pt idx="17">
                  <c:v>0.73850984729976499</c:v>
                </c:pt>
                <c:pt idx="18">
                  <c:v>0.68084486135644873</c:v>
                </c:pt>
                <c:pt idx="19">
                  <c:v>0.747128145066839</c:v>
                </c:pt>
                <c:pt idx="20">
                  <c:v>0.83859517834891228</c:v>
                </c:pt>
                <c:pt idx="21">
                  <c:v>0.85812116062304122</c:v>
                </c:pt>
                <c:pt idx="22">
                  <c:v>0.84815712090983031</c:v>
                </c:pt>
                <c:pt idx="23">
                  <c:v>0.78077520272409717</c:v>
                </c:pt>
                <c:pt idx="24">
                  <c:v>0.78581075948546264</c:v>
                </c:pt>
                <c:pt idx="25">
                  <c:v>0.77913738601342086</c:v>
                </c:pt>
                <c:pt idx="26">
                  <c:v>0.7926263829900545</c:v>
                </c:pt>
                <c:pt idx="27">
                  <c:v>0.79480434968747327</c:v>
                </c:pt>
                <c:pt idx="28">
                  <c:v>0.75379758539613773</c:v>
                </c:pt>
                <c:pt idx="29">
                  <c:v>0.70321219801332624</c:v>
                </c:pt>
                <c:pt idx="30">
                  <c:v>0.69018003636202385</c:v>
                </c:pt>
                <c:pt idx="31">
                  <c:v>0.76332967007427233</c:v>
                </c:pt>
                <c:pt idx="32">
                  <c:v>0.82759196997363271</c:v>
                </c:pt>
                <c:pt idx="33">
                  <c:v>0.79115911026600905</c:v>
                </c:pt>
                <c:pt idx="34">
                  <c:v>0.77315923231969153</c:v>
                </c:pt>
                <c:pt idx="35">
                  <c:v>0.71923084849150964</c:v>
                </c:pt>
              </c:numCache>
            </c:numRef>
          </c:val>
          <c:smooth val="1"/>
          <c:extLst>
            <c:ext xmlns:c16="http://schemas.microsoft.com/office/drawing/2014/chart" uri="{C3380CC4-5D6E-409C-BE32-E72D297353CC}">
              <c16:uniqueId val="{00000000-FA7D-4958-AD80-BAF5D6545152}"/>
            </c:ext>
          </c:extLst>
        </c:ser>
        <c:ser>
          <c:idx val="1"/>
          <c:order val="1"/>
          <c:tx>
            <c:v>Arrival Delay Rate</c:v>
          </c:tx>
          <c:marker>
            <c:symbol val="none"/>
          </c:marker>
          <c:cat>
            <c:strRef>
              <c:f>'Delay Trends'!$A$5:$A$40</c:f>
              <c:strCache>
                <c:ptCount val="36"/>
                <c:pt idx="0">
                  <c:v>Jan 2023</c:v>
                </c:pt>
                <c:pt idx="1">
                  <c:v>Feb 2023</c:v>
                </c:pt>
                <c:pt idx="2">
                  <c:v>Mar 2023</c:v>
                </c:pt>
                <c:pt idx="3">
                  <c:v>Apr 2023</c:v>
                </c:pt>
                <c:pt idx="4">
                  <c:v>May 2023</c:v>
                </c:pt>
                <c:pt idx="5">
                  <c:v>Jun 2023</c:v>
                </c:pt>
                <c:pt idx="6">
                  <c:v>Jul 2023</c:v>
                </c:pt>
                <c:pt idx="7">
                  <c:v>Aug 2023</c:v>
                </c:pt>
                <c:pt idx="8">
                  <c:v>Sep 2023</c:v>
                </c:pt>
                <c:pt idx="9">
                  <c:v>Oct 2023</c:v>
                </c:pt>
                <c:pt idx="10">
                  <c:v>Nov 2023</c:v>
                </c:pt>
                <c:pt idx="11">
                  <c:v>Dec 2023</c:v>
                </c:pt>
                <c:pt idx="12">
                  <c:v>Jan 2024</c:v>
                </c:pt>
                <c:pt idx="13">
                  <c:v>Feb 2024</c:v>
                </c:pt>
                <c:pt idx="14">
                  <c:v>Mar 2024</c:v>
                </c:pt>
                <c:pt idx="15">
                  <c:v>Apr 2024</c:v>
                </c:pt>
                <c:pt idx="16">
                  <c:v>May 2024</c:v>
                </c:pt>
                <c:pt idx="17">
                  <c:v>Jun 2024</c:v>
                </c:pt>
                <c:pt idx="18">
                  <c:v>Jul 2024</c:v>
                </c:pt>
                <c:pt idx="19">
                  <c:v>Aug 2024</c:v>
                </c:pt>
                <c:pt idx="20">
                  <c:v>Sep 2024</c:v>
                </c:pt>
                <c:pt idx="21">
                  <c:v>Oct 2024</c:v>
                </c:pt>
                <c:pt idx="22">
                  <c:v>Nov 2024</c:v>
                </c:pt>
                <c:pt idx="23">
                  <c:v>Dec 2024</c:v>
                </c:pt>
                <c:pt idx="24">
                  <c:v>Jan 2025</c:v>
                </c:pt>
                <c:pt idx="25">
                  <c:v>Feb 2025</c:v>
                </c:pt>
                <c:pt idx="26">
                  <c:v>Mar 2025</c:v>
                </c:pt>
                <c:pt idx="27">
                  <c:v>Apr 2025</c:v>
                </c:pt>
                <c:pt idx="28">
                  <c:v>May 2025</c:v>
                </c:pt>
                <c:pt idx="29">
                  <c:v>Jun 2025</c:v>
                </c:pt>
                <c:pt idx="30">
                  <c:v>Jul 2025</c:v>
                </c:pt>
                <c:pt idx="31">
                  <c:v>Aug 2025</c:v>
                </c:pt>
                <c:pt idx="32">
                  <c:v>Sep 2025</c:v>
                </c:pt>
                <c:pt idx="33">
                  <c:v>Oct 2025</c:v>
                </c:pt>
                <c:pt idx="34">
                  <c:v>Nov 2025</c:v>
                </c:pt>
                <c:pt idx="35">
                  <c:v>Dec 2025</c:v>
                </c:pt>
              </c:strCache>
            </c:strRef>
          </c:cat>
          <c:val>
            <c:numRef>
              <c:f>'Delay Trends'!$G$5:$G$40</c:f>
              <c:numCache>
                <c:formatCode>0.0%</c:formatCode>
                <c:ptCount val="36"/>
                <c:pt idx="0">
                  <c:v>0.2166016810278433</c:v>
                </c:pt>
                <c:pt idx="1">
                  <c:v>0.18492130267787704</c:v>
                </c:pt>
                <c:pt idx="2">
                  <c:v>0.23442847246873288</c:v>
                </c:pt>
                <c:pt idx="3">
                  <c:v>0.22421233931971479</c:v>
                </c:pt>
                <c:pt idx="4">
                  <c:v>0.17952851758230767</c:v>
                </c:pt>
                <c:pt idx="5">
                  <c:v>0.26377624025139362</c:v>
                </c:pt>
                <c:pt idx="6">
                  <c:v>0.27760332034040802</c:v>
                </c:pt>
                <c:pt idx="7">
                  <c:v>0.21300459213880232</c:v>
                </c:pt>
                <c:pt idx="8">
                  <c:v>0.18389603363906853</c:v>
                </c:pt>
                <c:pt idx="9">
                  <c:v>0.15524201626798093</c:v>
                </c:pt>
                <c:pt idx="10">
                  <c:v>0.13542233897445266</c:v>
                </c:pt>
                <c:pt idx="11">
                  <c:v>0.15630073247614806</c:v>
                </c:pt>
                <c:pt idx="12">
                  <c:v>0.2309824565891487</c:v>
                </c:pt>
                <c:pt idx="13">
                  <c:v>0.15799823196673479</c:v>
                </c:pt>
                <c:pt idx="14">
                  <c:v>0.20621629796862617</c:v>
                </c:pt>
                <c:pt idx="15">
                  <c:v>0.18885405841785688</c:v>
                </c:pt>
                <c:pt idx="16">
                  <c:v>0.25957821574007411</c:v>
                </c:pt>
                <c:pt idx="17">
                  <c:v>0.2453561587349378</c:v>
                </c:pt>
                <c:pt idx="18">
                  <c:v>0.28657622834703983</c:v>
                </c:pt>
                <c:pt idx="19">
                  <c:v>0.22908929364726788</c:v>
                </c:pt>
                <c:pt idx="20">
                  <c:v>0.15392141045137328</c:v>
                </c:pt>
                <c:pt idx="21">
                  <c:v>0.13053353631293085</c:v>
                </c:pt>
                <c:pt idx="22">
                  <c:v>0.14581059568581378</c:v>
                </c:pt>
                <c:pt idx="23">
                  <c:v>0.20949031546900426</c:v>
                </c:pt>
                <c:pt idx="24">
                  <c:v>0.18180740235703025</c:v>
                </c:pt>
                <c:pt idx="25">
                  <c:v>0.2042092837166557</c:v>
                </c:pt>
                <c:pt idx="26">
                  <c:v>0.19310934774793967</c:v>
                </c:pt>
                <c:pt idx="27">
                  <c:v>0.19454405342923195</c:v>
                </c:pt>
                <c:pt idx="28">
                  <c:v>0.23287123873933374</c:v>
                </c:pt>
                <c:pt idx="29">
                  <c:v>0.27699791521890199</c:v>
                </c:pt>
                <c:pt idx="30">
                  <c:v>0.28033600030407269</c:v>
                </c:pt>
                <c:pt idx="31">
                  <c:v>0.22231887618737736</c:v>
                </c:pt>
                <c:pt idx="32">
                  <c:v>0.16510057090635608</c:v>
                </c:pt>
                <c:pt idx="33">
                  <c:v>0.20178626841233058</c:v>
                </c:pt>
                <c:pt idx="34">
                  <c:v>0.20010516168609235</c:v>
                </c:pt>
                <c:pt idx="35">
                  <c:v>0.26294341100181351</c:v>
                </c:pt>
              </c:numCache>
            </c:numRef>
          </c:val>
          <c:smooth val="1"/>
          <c:extLst>
            <c:ext xmlns:c16="http://schemas.microsoft.com/office/drawing/2014/chart" uri="{C3380CC4-5D6E-409C-BE32-E72D297353CC}">
              <c16:uniqueId val="{00000001-FA7D-4958-AD80-BAF5D6545152}"/>
            </c:ext>
          </c:extLst>
        </c:ser>
        <c:dLbls>
          <c:showLegendKey val="0"/>
          <c:showVal val="0"/>
          <c:showCatName val="0"/>
          <c:showSerName val="0"/>
          <c:showPercent val="0"/>
          <c:showBubbleSize val="0"/>
        </c:dLbls>
        <c:smooth val="0"/>
        <c:axId val="48650112"/>
        <c:axId val="48672768"/>
      </c:lineChart>
      <c:catAx>
        <c:axId val="48650112"/>
        <c:scaling>
          <c:orientation val="minMax"/>
        </c:scaling>
        <c:delete val="0"/>
        <c:axPos val="b"/>
        <c:majorGridlines>
          <c:spPr>
            <a:ln w="9525">
              <a:solidFill>
                <a:srgbClr val="CCCCCC"/>
              </a:solidFill>
              <a:prstDash val="dash"/>
            </a:ln>
          </c:spPr>
        </c:majorGridlines>
        <c:numFmt formatCode="General" sourceLinked="1"/>
        <c:majorTickMark val="none"/>
        <c:minorTickMark val="none"/>
        <c:tickLblPos val="nextTo"/>
        <c:crossAx val="48672768"/>
        <c:crosses val="autoZero"/>
        <c:auto val="1"/>
        <c:lblAlgn val="ctr"/>
        <c:lblOffset val="100"/>
        <c:noMultiLvlLbl val="0"/>
      </c:catAx>
      <c:valAx>
        <c:axId val="48672768"/>
        <c:scaling>
          <c:orientation val="minMax"/>
        </c:scaling>
        <c:delete val="0"/>
        <c:axPos val="l"/>
        <c:majorGridlines>
          <c:spPr>
            <a:ln w="9525">
              <a:solidFill>
                <a:srgbClr val="CCCCCC"/>
              </a:solidFill>
              <a:prstDash val="dash"/>
            </a:ln>
          </c:spPr>
        </c:majorGridlines>
        <c:numFmt formatCode="0.0%" sourceLinked="1"/>
        <c:majorTickMark val="none"/>
        <c:minorTickMark val="none"/>
        <c:tickLblPos val="nextTo"/>
        <c:crossAx val="48650112"/>
        <c:crosses val="autoZero"/>
        <c:crossBetween val="between"/>
      </c:valAx>
    </c:plotArea>
    <c:legend>
      <c:legendPos val="b"/>
      <c:overlay val="0"/>
    </c:legend>
    <c:plotVisOnly val="1"/>
    <c:dispBlanksAs val="zero"/>
    <c:showDLblsOverMax val="1"/>
  </c:chart>
  <c:spPr>
    <a:ln w="9525">
      <a:solidFill>
        <a:srgbClr val="D9D9D9"/>
      </a:solidFill>
      <a:prstDash val="solid"/>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a:lstStyle/>
          <a:p>
            <a:r>
              <a:rPr lang="en-US"/>
              <a:t>2025 reported delay-minute shares</a:t>
            </a:r>
          </a:p>
        </c:rich>
      </c:tx>
      <c:overlay val="1"/>
    </c:title>
    <c:autoTitleDeleted val="0"/>
    <c:plotArea>
      <c:layout/>
      <c:barChart>
        <c:barDir val="col"/>
        <c:grouping val="clustered"/>
        <c:varyColors val="0"/>
        <c:ser>
          <c:idx val="0"/>
          <c:order val="0"/>
          <c:tx>
            <c:v>Share of Reported Delay Minutes</c:v>
          </c:tx>
          <c:spPr>
            <a:solidFill>
              <a:srgbClr val="F28E2B"/>
            </a:solidFill>
          </c:spPr>
          <c:invertIfNegative val="1"/>
          <c:cat>
            <c:strRef>
              <c:f>'Delay Drivers'!$I$5:$I$9</c:f>
              <c:strCache>
                <c:ptCount val="5"/>
                <c:pt idx="0">
                  <c:v>Late Aircraft</c:v>
                </c:pt>
                <c:pt idx="1">
                  <c:v>Carrier</c:v>
                </c:pt>
                <c:pt idx="2">
                  <c:v>NAS</c:v>
                </c:pt>
                <c:pt idx="3">
                  <c:v>Weather</c:v>
                </c:pt>
                <c:pt idx="4">
                  <c:v>Security</c:v>
                </c:pt>
              </c:strCache>
            </c:strRef>
          </c:cat>
          <c:val>
            <c:numRef>
              <c:f>'Delay Drivers'!$J$5:$J$9</c:f>
              <c:numCache>
                <c:formatCode>0.0%</c:formatCode>
                <c:ptCount val="5"/>
                <c:pt idx="0">
                  <c:v>0.39186240182606591</c:v>
                </c:pt>
                <c:pt idx="1">
                  <c:v>0.32453208290106839</c:v>
                </c:pt>
                <c:pt idx="2">
                  <c:v>0.21873268436821938</c:v>
                </c:pt>
                <c:pt idx="3">
                  <c:v>6.3507730516808358E-2</c:v>
                </c:pt>
                <c:pt idx="4">
                  <c:v>1.3651003878379902E-3</c:v>
                </c:pt>
              </c:numCache>
            </c:numRef>
          </c:val>
          <c:extLst>
            <c:ext xmlns:c14="http://schemas.microsoft.com/office/drawing/2007/8/2/chart" uri="{6F2FDCE9-48DA-4B69-8628-5D25D57E5C99}">
              <c14:invertSolidFillFmt>
                <c14:spPr xmlns:c14="http://schemas.microsoft.com/office/drawing/2007/8/2/chart">
                  <a:solidFill>
                    <a:srgbClr val="FFFFFF"/>
                  </a:solidFill>
                </c14:spPr>
              </c14:invertSolidFillFmt>
            </c:ext>
            <c:ext xmlns:c16="http://schemas.microsoft.com/office/drawing/2014/chart" uri="{C3380CC4-5D6E-409C-BE32-E72D297353CC}">
              <c16:uniqueId val="{00000000-3CB9-469F-AFED-08C430147E96}"/>
            </c:ext>
          </c:extLst>
        </c:ser>
        <c:dLbls>
          <c:showLegendKey val="0"/>
          <c:showVal val="0"/>
          <c:showCatName val="0"/>
          <c:showSerName val="0"/>
          <c:showPercent val="0"/>
          <c:showBubbleSize val="0"/>
        </c:dLbls>
        <c:gapWidth val="150"/>
        <c:axId val="48650112"/>
        <c:axId val="48672768"/>
      </c:barChart>
      <c:catAx>
        <c:axId val="48650112"/>
        <c:scaling>
          <c:orientation val="minMax"/>
        </c:scaling>
        <c:delete val="0"/>
        <c:axPos val="b"/>
        <c:majorGridlines>
          <c:spPr>
            <a:ln w="9525">
              <a:solidFill>
                <a:srgbClr val="CCCCCC"/>
              </a:solidFill>
              <a:prstDash val="dash"/>
            </a:ln>
          </c:spPr>
        </c:majorGridlines>
        <c:numFmt formatCode="General" sourceLinked="1"/>
        <c:majorTickMark val="none"/>
        <c:minorTickMark val="none"/>
        <c:tickLblPos val="nextTo"/>
        <c:crossAx val="48672768"/>
        <c:crosses val="autoZero"/>
        <c:auto val="1"/>
        <c:lblAlgn val="ctr"/>
        <c:lblOffset val="100"/>
        <c:noMultiLvlLbl val="0"/>
      </c:catAx>
      <c:valAx>
        <c:axId val="48672768"/>
        <c:scaling>
          <c:orientation val="minMax"/>
        </c:scaling>
        <c:delete val="0"/>
        <c:axPos val="l"/>
        <c:majorGridlines>
          <c:spPr>
            <a:ln w="9525">
              <a:solidFill>
                <a:srgbClr val="CCCCCC"/>
              </a:solidFill>
              <a:prstDash val="dash"/>
            </a:ln>
          </c:spPr>
        </c:majorGridlines>
        <c:numFmt formatCode="0.0%" sourceLinked="1"/>
        <c:majorTickMark val="none"/>
        <c:minorTickMark val="none"/>
        <c:tickLblPos val="nextTo"/>
        <c:crossAx val="48650112"/>
        <c:crosses val="autoZero"/>
        <c:crossBetween val="between"/>
      </c:valAx>
    </c:plotArea>
    <c:plotVisOnly val="1"/>
    <c:dispBlanksAs val="zero"/>
    <c:showDLblsOverMax val="1"/>
  </c:chart>
  <c:spPr>
    <a:ln w="9525">
      <a:solidFill>
        <a:srgbClr val="D9D9D9"/>
      </a:solidFill>
      <a:prstDash val="solid"/>
    </a:ln>
  </c:sp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a:lstStyle/>
          <a:p>
            <a:r>
              <a:rPr lang="en-US"/>
              <a:t>Highest observed delay rates (5,000+ departures)</a:t>
            </a:r>
          </a:p>
        </c:rich>
      </c:tx>
      <c:overlay val="1"/>
    </c:title>
    <c:autoTitleDeleted val="0"/>
    <c:plotArea>
      <c:layout/>
      <c:barChart>
        <c:barDir val="col"/>
        <c:grouping val="clustered"/>
        <c:varyColors val="0"/>
        <c:ser>
          <c:idx val="0"/>
          <c:order val="0"/>
          <c:tx>
            <c:v>Highest observed delay rates (5,000+ departures)</c:v>
          </c:tx>
          <c:spPr>
            <a:solidFill>
              <a:srgbClr val="D1495B"/>
            </a:solidFill>
          </c:spPr>
          <c:invertIfNegative val="1"/>
          <c:cat>
            <c:strRef>
              <c:f>'Airport Analysis'!$A$15:$A$24</c:f>
              <c:strCache>
                <c:ptCount val="10"/>
                <c:pt idx="0">
                  <c:v>ASE</c:v>
                </c:pt>
                <c:pt idx="1">
                  <c:v>FLL</c:v>
                </c:pt>
                <c:pt idx="2">
                  <c:v>EGE</c:v>
                </c:pt>
                <c:pt idx="3">
                  <c:v>MIA</c:v>
                </c:pt>
                <c:pt idx="4">
                  <c:v>SFB</c:v>
                </c:pt>
                <c:pt idx="5">
                  <c:v>DFW</c:v>
                </c:pt>
                <c:pt idx="6">
                  <c:v>HDN</c:v>
                </c:pt>
                <c:pt idx="7">
                  <c:v>MCO</c:v>
                </c:pt>
                <c:pt idx="8">
                  <c:v>BQN</c:v>
                </c:pt>
                <c:pt idx="9">
                  <c:v>CLT</c:v>
                </c:pt>
              </c:strCache>
            </c:strRef>
          </c:cat>
          <c:val>
            <c:numRef>
              <c:f>'Airport Analysis'!$E$15:$E$24</c:f>
              <c:numCache>
                <c:formatCode>0.0%</c:formatCode>
                <c:ptCount val="10"/>
                <c:pt idx="0">
                  <c:v>0.2927269445948385</c:v>
                </c:pt>
                <c:pt idx="1">
                  <c:v>0.26827447922468528</c:v>
                </c:pt>
                <c:pt idx="2">
                  <c:v>0.26594148537134282</c:v>
                </c:pt>
                <c:pt idx="3">
                  <c:v>0.26580678574291122</c:v>
                </c:pt>
                <c:pt idx="4">
                  <c:v>0.2654660434423976</c:v>
                </c:pt>
                <c:pt idx="5">
                  <c:v>0.26033913499803207</c:v>
                </c:pt>
                <c:pt idx="6">
                  <c:v>0.25490742029792568</c:v>
                </c:pt>
                <c:pt idx="7">
                  <c:v>0.25477198999938011</c:v>
                </c:pt>
                <c:pt idx="8">
                  <c:v>0.25022902761418664</c:v>
                </c:pt>
                <c:pt idx="9">
                  <c:v>0.24520293382449679</c:v>
                </c:pt>
              </c:numCache>
            </c:numRef>
          </c:val>
          <c:extLst>
            <c:ext xmlns:c14="http://schemas.microsoft.com/office/drawing/2007/8/2/chart" uri="{6F2FDCE9-48DA-4B69-8628-5D25D57E5C99}">
              <c14:invertSolidFillFmt>
                <c14:spPr xmlns:c14="http://schemas.microsoft.com/office/drawing/2007/8/2/chart">
                  <a:solidFill>
                    <a:srgbClr val="FFFFFF"/>
                  </a:solidFill>
                </c14:spPr>
              </c14:invertSolidFillFmt>
            </c:ext>
            <c:ext xmlns:c16="http://schemas.microsoft.com/office/drawing/2014/chart" uri="{C3380CC4-5D6E-409C-BE32-E72D297353CC}">
              <c16:uniqueId val="{00000000-4E0B-43D8-A0F1-EDF1D1474626}"/>
            </c:ext>
          </c:extLst>
        </c:ser>
        <c:dLbls>
          <c:showLegendKey val="0"/>
          <c:showVal val="0"/>
          <c:showCatName val="0"/>
          <c:showSerName val="0"/>
          <c:showPercent val="0"/>
          <c:showBubbleSize val="0"/>
        </c:dLbls>
        <c:gapWidth val="150"/>
        <c:axId val="48650112"/>
        <c:axId val="48672768"/>
      </c:barChart>
      <c:catAx>
        <c:axId val="48650112"/>
        <c:scaling>
          <c:orientation val="minMax"/>
        </c:scaling>
        <c:delete val="0"/>
        <c:axPos val="b"/>
        <c:majorGridlines>
          <c:spPr>
            <a:ln w="9525">
              <a:solidFill>
                <a:srgbClr val="CCCCCC"/>
              </a:solidFill>
              <a:prstDash val="dash"/>
            </a:ln>
          </c:spPr>
        </c:majorGridlines>
        <c:numFmt formatCode="General" sourceLinked="1"/>
        <c:majorTickMark val="none"/>
        <c:minorTickMark val="none"/>
        <c:tickLblPos val="nextTo"/>
        <c:crossAx val="48672768"/>
        <c:crosses val="autoZero"/>
        <c:auto val="1"/>
        <c:lblAlgn val="ctr"/>
        <c:lblOffset val="100"/>
        <c:noMultiLvlLbl val="0"/>
      </c:catAx>
      <c:valAx>
        <c:axId val="48672768"/>
        <c:scaling>
          <c:orientation val="minMax"/>
        </c:scaling>
        <c:delete val="0"/>
        <c:axPos val="l"/>
        <c:majorGridlines>
          <c:spPr>
            <a:ln w="9525">
              <a:solidFill>
                <a:srgbClr val="CCCCCC"/>
              </a:solidFill>
              <a:prstDash val="dash"/>
            </a:ln>
          </c:spPr>
        </c:majorGridlines>
        <c:numFmt formatCode="0.0%" sourceLinked="1"/>
        <c:majorTickMark val="none"/>
        <c:minorTickMark val="none"/>
        <c:tickLblPos val="nextTo"/>
        <c:crossAx val="48650112"/>
        <c:crosses val="autoZero"/>
        <c:crossBetween val="between"/>
      </c:valAx>
    </c:plotArea>
    <c:plotVisOnly val="1"/>
    <c:dispBlanksAs val="zero"/>
    <c:showDLblsOverMax val="1"/>
  </c:chart>
  <c:spPr>
    <a:ln w="9525">
      <a:solidFill>
        <a:srgbClr val="D9D9D9"/>
      </a:solidFill>
      <a:prstDash val="solid"/>
    </a:ln>
  </c:sp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a:lstStyle/>
          <a:p>
            <a:r>
              <a:rPr lang="en-US"/>
              <a:t>Worst high-volume routes by observed delay rate</a:t>
            </a:r>
          </a:p>
        </c:rich>
      </c:tx>
      <c:overlay val="1"/>
    </c:title>
    <c:autoTitleDeleted val="0"/>
    <c:plotArea>
      <c:layout/>
      <c:barChart>
        <c:barDir val="col"/>
        <c:grouping val="clustered"/>
        <c:varyColors val="0"/>
        <c:ser>
          <c:idx val="0"/>
          <c:order val="0"/>
          <c:tx>
            <c:v>Worst high-volume routes by observed delay rate</c:v>
          </c:tx>
          <c:spPr>
            <a:solidFill>
              <a:srgbClr val="D1495B"/>
            </a:solidFill>
          </c:spPr>
          <c:invertIfNegative val="1"/>
          <c:cat>
            <c:strRef>
              <c:f>'Carrier and Route Analysis'!$G$5:$G$14</c:f>
              <c:strCache>
                <c:ptCount val="10"/>
                <c:pt idx="0">
                  <c:v>DFW-SYR</c:v>
                </c:pt>
                <c:pt idx="1">
                  <c:v>DFW-MDT</c:v>
                </c:pt>
                <c:pt idx="2">
                  <c:v>DCA-AUS</c:v>
                </c:pt>
                <c:pt idx="3">
                  <c:v>DEN-BUF</c:v>
                </c:pt>
                <c:pt idx="4">
                  <c:v>BDL-SJU</c:v>
                </c:pt>
                <c:pt idx="5">
                  <c:v>SCK-LAS</c:v>
                </c:pt>
                <c:pt idx="6">
                  <c:v>DFW-GEG</c:v>
                </c:pt>
                <c:pt idx="7">
                  <c:v>SNA-PVU</c:v>
                </c:pt>
                <c:pt idx="8">
                  <c:v>MIA-MEM</c:v>
                </c:pt>
                <c:pt idx="9">
                  <c:v>DFW-BFL</c:v>
                </c:pt>
              </c:strCache>
            </c:strRef>
          </c:cat>
          <c:val>
            <c:numRef>
              <c:f>'Carrier and Route Analysis'!$K$5:$K$14</c:f>
              <c:numCache>
                <c:formatCode>0.0%</c:formatCode>
                <c:ptCount val="10"/>
                <c:pt idx="0">
                  <c:v>0.45332050048123196</c:v>
                </c:pt>
                <c:pt idx="1">
                  <c:v>0.41788321167883213</c:v>
                </c:pt>
                <c:pt idx="2">
                  <c:v>0.40328467153284669</c:v>
                </c:pt>
                <c:pt idx="3">
                  <c:v>0.39863842662632376</c:v>
                </c:pt>
                <c:pt idx="4">
                  <c:v>0.39652290203945167</c:v>
                </c:pt>
                <c:pt idx="5">
                  <c:v>0.38325281803542671</c:v>
                </c:pt>
                <c:pt idx="6">
                  <c:v>0.38116100766703176</c:v>
                </c:pt>
                <c:pt idx="7">
                  <c:v>0.37835337650323775</c:v>
                </c:pt>
                <c:pt idx="8">
                  <c:v>0.3779342723004695</c:v>
                </c:pt>
                <c:pt idx="9">
                  <c:v>0.37087912087912089</c:v>
                </c:pt>
              </c:numCache>
            </c:numRef>
          </c:val>
          <c:extLst>
            <c:ext xmlns:c14="http://schemas.microsoft.com/office/drawing/2007/8/2/chart" uri="{6F2FDCE9-48DA-4B69-8628-5D25D57E5C99}">
              <c14:invertSolidFillFmt>
                <c14:spPr xmlns:c14="http://schemas.microsoft.com/office/drawing/2007/8/2/chart">
                  <a:solidFill>
                    <a:srgbClr val="FFFFFF"/>
                  </a:solidFill>
                </c14:spPr>
              </c14:invertSolidFillFmt>
            </c:ext>
            <c:ext xmlns:c16="http://schemas.microsoft.com/office/drawing/2014/chart" uri="{C3380CC4-5D6E-409C-BE32-E72D297353CC}">
              <c16:uniqueId val="{00000000-ABF9-45C3-8896-C7F5E90C91CF}"/>
            </c:ext>
          </c:extLst>
        </c:ser>
        <c:dLbls>
          <c:showLegendKey val="0"/>
          <c:showVal val="0"/>
          <c:showCatName val="0"/>
          <c:showSerName val="0"/>
          <c:showPercent val="0"/>
          <c:showBubbleSize val="0"/>
        </c:dLbls>
        <c:gapWidth val="150"/>
        <c:axId val="48650112"/>
        <c:axId val="48672768"/>
      </c:barChart>
      <c:catAx>
        <c:axId val="48650112"/>
        <c:scaling>
          <c:orientation val="minMax"/>
        </c:scaling>
        <c:delete val="0"/>
        <c:axPos val="b"/>
        <c:majorGridlines>
          <c:spPr>
            <a:ln w="9525">
              <a:solidFill>
                <a:srgbClr val="CCCCCC"/>
              </a:solidFill>
              <a:prstDash val="dash"/>
            </a:ln>
          </c:spPr>
        </c:majorGridlines>
        <c:numFmt formatCode="General" sourceLinked="1"/>
        <c:majorTickMark val="none"/>
        <c:minorTickMark val="none"/>
        <c:tickLblPos val="nextTo"/>
        <c:crossAx val="48672768"/>
        <c:crosses val="autoZero"/>
        <c:auto val="1"/>
        <c:lblAlgn val="ctr"/>
        <c:lblOffset val="100"/>
        <c:noMultiLvlLbl val="0"/>
      </c:catAx>
      <c:valAx>
        <c:axId val="48672768"/>
        <c:scaling>
          <c:orientation val="minMax"/>
        </c:scaling>
        <c:delete val="0"/>
        <c:axPos val="l"/>
        <c:majorGridlines>
          <c:spPr>
            <a:ln w="9525">
              <a:solidFill>
                <a:srgbClr val="CCCCCC"/>
              </a:solidFill>
              <a:prstDash val="dash"/>
            </a:ln>
          </c:spPr>
        </c:majorGridlines>
        <c:numFmt formatCode="0.0%" sourceLinked="1"/>
        <c:majorTickMark val="none"/>
        <c:minorTickMark val="none"/>
        <c:tickLblPos val="nextTo"/>
        <c:crossAx val="48650112"/>
        <c:crosses val="autoZero"/>
        <c:crossBetween val="between"/>
      </c:valAx>
    </c:plotArea>
    <c:plotVisOnly val="1"/>
    <c:dispBlanksAs val="zero"/>
    <c:showDLblsOverMax val="1"/>
  </c:chart>
  <c:spPr>
    <a:ln w="9525">
      <a:solidFill>
        <a:srgbClr val="D9D9D9"/>
      </a:solidFill>
      <a:prstDash val="solid"/>
    </a:ln>
  </c:sp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a:lstStyle/>
          <a:p>
            <a:r>
              <a:rPr lang="en-US"/>
              <a:t>Scheduled flights by year (PivotTable)</a:t>
            </a:r>
          </a:p>
        </c:rich>
      </c:tx>
      <c:overlay val="1"/>
    </c:title>
    <c:autoTitleDeleted val="0"/>
    <c:plotArea>
      <c:layout/>
      <c:barChart>
        <c:barDir val="col"/>
        <c:grouping val="clustered"/>
        <c:varyColors val="0"/>
        <c:ser>
          <c:idx val="0"/>
          <c:order val="0"/>
          <c:tx>
            <c:v>Sum of Scheduled Flights</c:v>
          </c:tx>
          <c:invertIfNegative val="1"/>
          <c:cat>
            <c:strRef>
              <c:f>'Delay Trends'!$P$13:$P$15</c:f>
              <c:strCache>
                <c:ptCount val="3"/>
                <c:pt idx="0">
                  <c:v>2023</c:v>
                </c:pt>
                <c:pt idx="1">
                  <c:v>2024</c:v>
                </c:pt>
                <c:pt idx="2">
                  <c:v>2025</c:v>
                </c:pt>
              </c:strCache>
            </c:strRef>
          </c:cat>
          <c:val>
            <c:numRef>
              <c:f>'Delay Trends'!$Q$13:$Q$15</c:f>
              <c:numCache>
                <c:formatCode>#,##0</c:formatCode>
                <c:ptCount val="3"/>
                <c:pt idx="0">
                  <c:v>6847899</c:v>
                </c:pt>
                <c:pt idx="1">
                  <c:v>7079061</c:v>
                </c:pt>
                <c:pt idx="2">
                  <c:v>7001619</c:v>
                </c:pt>
              </c:numCache>
            </c:numRef>
          </c:val>
          <c:extLst>
            <c:ext xmlns:c16="http://schemas.microsoft.com/office/drawing/2014/chart" uri="{C3380CC4-5D6E-409C-BE32-E72D297353CC}">
              <c16:uniqueId val="{00000000-AAE2-4B7B-899D-A5F13FF8775F}"/>
            </c:ext>
          </c:extLst>
        </c:ser>
        <c:dLbls>
          <c:showLegendKey val="0"/>
          <c:showVal val="0"/>
          <c:showCatName val="0"/>
          <c:showSerName val="0"/>
          <c:showPercent val="0"/>
          <c:showBubbleSize val="0"/>
        </c:dLbls>
        <c:gapWidth val="150"/>
        <c:axId val="48650112"/>
        <c:axId val="48672768"/>
      </c:barChart>
      <c:catAx>
        <c:axId val="48650112"/>
        <c:scaling>
          <c:orientation val="minMax"/>
        </c:scaling>
        <c:delete val="0"/>
        <c:axPos val="b"/>
        <c:majorGridlines>
          <c:spPr>
            <a:ln w="9525">
              <a:solidFill>
                <a:srgbClr val="CCCCCC"/>
              </a:solidFill>
              <a:prstDash val="dash"/>
            </a:ln>
          </c:spPr>
        </c:majorGridlines>
        <c:numFmt formatCode="General" sourceLinked="1"/>
        <c:majorTickMark val="none"/>
        <c:minorTickMark val="none"/>
        <c:tickLblPos val="nextTo"/>
        <c:crossAx val="48672768"/>
        <c:crosses val="autoZero"/>
        <c:auto val="1"/>
        <c:lblAlgn val="ctr"/>
        <c:lblOffset val="100"/>
        <c:noMultiLvlLbl val="0"/>
      </c:catAx>
      <c:valAx>
        <c:axId val="48672768"/>
        <c:scaling>
          <c:orientation val="minMax"/>
        </c:scaling>
        <c:delete val="0"/>
        <c:axPos val="l"/>
        <c:majorGridlines>
          <c:spPr>
            <a:ln w="9525">
              <a:solidFill>
                <a:srgbClr val="CCCCCC"/>
              </a:solidFill>
              <a:prstDash val="dash"/>
            </a:ln>
          </c:spPr>
        </c:majorGridlines>
        <c:numFmt formatCode="#,##0" sourceLinked="1"/>
        <c:majorTickMark val="none"/>
        <c:minorTickMark val="none"/>
        <c:tickLblPos val="nextTo"/>
        <c:crossAx val="48650112"/>
        <c:crosses val="autoZero"/>
        <c:crossBetween val="between"/>
      </c:valAx>
    </c:plotArea>
    <c:plotVisOnly val="1"/>
    <c:dispBlanksAs val="zero"/>
    <c:showDLblsOverMax val="1"/>
  </c:chart>
  <c:spPr>
    <a:ln w="9525">
      <a:solidFill>
        <a:srgbClr val="D9D9D9"/>
      </a:solidFill>
      <a:prstDash val="solid"/>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7</xdr:col>
      <xdr:colOff>0</xdr:colOff>
      <xdr:row>8</xdr:row>
      <xdr:rowOff>0</xdr:rowOff>
    </xdr:from>
    <xdr:to>
      <xdr:col>14</xdr:col>
      <xdr:colOff>0</xdr:colOff>
      <xdr:row>14</xdr:row>
      <xdr:rowOff>0</xdr:rowOff>
    </xdr:to>
    <xdr:graphicFrame macro="">
      <xdr:nvGraphicFramePr>
        <xdr:cNvPr id="2" name="Chart">
          <a:extLst>
            <a:ext uri="{FF2B5EF4-FFF2-40B4-BE49-F238E27FC236}">
              <a16:creationId xmlns:a16="http://schemas.microsoft.com/office/drawing/2014/main" id="{00000000-0008-0000-00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8</xdr:col>
      <xdr:colOff>0</xdr:colOff>
      <xdr:row>14</xdr:row>
      <xdr:rowOff>0</xdr:rowOff>
    </xdr:from>
    <xdr:to>
      <xdr:col>11</xdr:col>
      <xdr:colOff>0</xdr:colOff>
      <xdr:row>29</xdr:row>
      <xdr:rowOff>19050</xdr:rowOff>
    </xdr:to>
    <xdr:graphicFrame macro="">
      <xdr:nvGraphicFramePr>
        <xdr:cNvPr id="2" name="Chart">
          <a:extLst>
            <a:ext uri="{FF2B5EF4-FFF2-40B4-BE49-F238E27FC236}">
              <a16:creationId xmlns:a16="http://schemas.microsoft.com/office/drawing/2014/main" id="{00000000-0008-0000-02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9</xdr:col>
      <xdr:colOff>0</xdr:colOff>
      <xdr:row>3</xdr:row>
      <xdr:rowOff>0</xdr:rowOff>
    </xdr:from>
    <xdr:to>
      <xdr:col>16</xdr:col>
      <xdr:colOff>0</xdr:colOff>
      <xdr:row>19</xdr:row>
      <xdr:rowOff>0</xdr:rowOff>
    </xdr:to>
    <xdr:graphicFrame macro="">
      <xdr:nvGraphicFramePr>
        <xdr:cNvPr id="2" name="Chart">
          <a:extLst>
            <a:ext uri="{FF2B5EF4-FFF2-40B4-BE49-F238E27FC236}">
              <a16:creationId xmlns:a16="http://schemas.microsoft.com/office/drawing/2014/main" id="{00000000-0008-0000-03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22</xdr:row>
      <xdr:rowOff>0</xdr:rowOff>
    </xdr:from>
    <xdr:to>
      <xdr:col>6</xdr:col>
      <xdr:colOff>0</xdr:colOff>
      <xdr:row>39</xdr:row>
      <xdr:rowOff>0</xdr:rowOff>
    </xdr:to>
    <xdr:graphicFrame macro="">
      <xdr:nvGraphicFramePr>
        <xdr:cNvPr id="2" name="Chart">
          <a:extLst>
            <a:ext uri="{FF2B5EF4-FFF2-40B4-BE49-F238E27FC236}">
              <a16:creationId xmlns:a16="http://schemas.microsoft.com/office/drawing/2014/main" id="{00000000-0008-0000-04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15</xdr:col>
      <xdr:colOff>0</xdr:colOff>
      <xdr:row>18</xdr:row>
      <xdr:rowOff>0</xdr:rowOff>
    </xdr:from>
    <xdr:to>
      <xdr:col>22</xdr:col>
      <xdr:colOff>0</xdr:colOff>
      <xdr:row>34</xdr:row>
      <xdr:rowOff>0</xdr:rowOff>
    </xdr:to>
    <xdr:graphicFrame macro="">
      <xdr:nvGraphicFramePr>
        <xdr:cNvPr id="2" name="Chart">
          <a:extLst>
            <a:ext uri="{FF2B5EF4-FFF2-40B4-BE49-F238E27FC236}">
              <a16:creationId xmlns:a16="http://schemas.microsoft.com/office/drawing/2014/main" id="{00000000-0008-0000-01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DelayDriverMinutes" displayName="DelayDriverMinutes" ref="A4:G7" totalsRowShown="0">
  <autoFilter ref="A4:G7" xr:uid="{00000000-0009-0000-0100-000002000000}"/>
  <tableColumns count="7">
    <tableColumn id="1" xr3:uid="{00000000-0010-0000-0100-000001000000}" name="Year"/>
    <tableColumn id="2" xr3:uid="{00000000-0010-0000-0100-000002000000}" name="Carrier Minutes"/>
    <tableColumn id="3" xr3:uid="{00000000-0010-0000-0100-000003000000}" name="Weather Minutes"/>
    <tableColumn id="4" xr3:uid="{00000000-0010-0000-0100-000004000000}" name="NAS Minutes"/>
    <tableColumn id="5" xr3:uid="{00000000-0010-0000-0100-000005000000}" name="Security Minutes"/>
    <tableColumn id="6" xr3:uid="{00000000-0010-0000-0100-000006000000}" name="Late Aircraft Minutes"/>
    <tableColumn id="7" xr3:uid="{00000000-0010-0000-0100-000007000000}" name="Total Reported Delay Minutes"/>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DeparturePeriodPerformance" displayName="DeparturePeriodPerformance" ref="L4:R186" totalsRowShown="0">
  <autoFilter ref="L4:R186" xr:uid="{00000000-0009-0000-0100-000003000000}"/>
  <tableColumns count="7">
    <tableColumn id="1" xr3:uid="{00000000-0010-0000-0200-000001000000}" name="Year"/>
    <tableColumn id="2" xr3:uid="{00000000-0010-0000-0200-000002000000}" name="Month"/>
    <tableColumn id="3" xr3:uid="{00000000-0010-0000-0200-000003000000}" name="Departure Period"/>
    <tableColumn id="4" xr3:uid="{00000000-0010-0000-0200-000004000000}" name="Flights"/>
    <tableColumn id="5" xr3:uid="{00000000-0010-0000-0200-000005000000}" name="Delay Rate"/>
    <tableColumn id="6" xr3:uid="{00000000-0010-0000-0200-000006000000}" name="On-Time Rate"/>
    <tableColumn id="7" xr3:uid="{00000000-0010-0000-0200-000007000000}" name="Mean Arrival Delay (min)"/>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AirportPerformance" displayName="AirportPerformance" ref="A14:H220" totalsRowShown="0">
  <autoFilter ref="A14:H220" xr:uid="{00000000-0009-0000-0100-000004000000}"/>
  <tableColumns count="8">
    <tableColumn id="1" xr3:uid="{00000000-0010-0000-0300-000001000000}" name="Airport"/>
    <tableColumn id="2" xr3:uid="{00000000-0010-0000-0300-000002000000}" name="City"/>
    <tableColumn id="3" xr3:uid="{00000000-0010-0000-0300-000003000000}" name="State"/>
    <tableColumn id="4" xr3:uid="{00000000-0010-0000-0300-000004000000}" name="Departures"/>
    <tableColumn id="5" xr3:uid="{00000000-0010-0000-0300-000005000000}" name="Delay Rate"/>
    <tableColumn id="6" xr3:uid="{00000000-0010-0000-0300-000006000000}" name="Cancellation Rate"/>
    <tableColumn id="7" xr3:uid="{00000000-0010-0000-0300-000007000000}" name="Diversion Rate"/>
    <tableColumn id="8" xr3:uid="{00000000-0010-0000-0300-000008000000}" name="Mean Arrival Delay (min)"/>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CarrierComparablePerformance" displayName="CarrierComparablePerformance" ref="A4:E18" totalsRowShown="0">
  <autoFilter ref="A4:E18" xr:uid="{00000000-0009-0000-0100-000005000000}"/>
  <tableColumns count="5">
    <tableColumn id="1" xr3:uid="{00000000-0010-0000-0400-000001000000}" name="Carrier"/>
    <tableColumn id="2" xr3:uid="{00000000-0010-0000-0400-000002000000}" name="Comparable Flights"/>
    <tableColumn id="3" xr3:uid="{00000000-0010-0000-0400-000003000000}" name="Comparable Delay Rate"/>
    <tableColumn id="4" xr3:uid="{00000000-0010-0000-0400-000004000000}" name="Route-Month Peer Rate"/>
    <tableColumn id="5" xr3:uid="{00000000-0010-0000-0400-000005000000}" name="Relative Delay Rate"/>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5000000}" name="RoutePerformance" displayName="RoutePerformance" ref="G4:L4227" totalsRowShown="0">
  <autoFilter ref="G4:L4227" xr:uid="{00000000-0009-0000-0100-000006000000}"/>
  <tableColumns count="6">
    <tableColumn id="1" xr3:uid="{00000000-0010-0000-0500-000001000000}" name="Route"/>
    <tableColumn id="2" xr3:uid="{00000000-0010-0000-0500-000002000000}" name="Origin"/>
    <tableColumn id="3" xr3:uid="{00000000-0010-0000-0500-000003000000}" name="Destination"/>
    <tableColumn id="4" xr3:uid="{00000000-0010-0000-0500-000004000000}" name="Flights"/>
    <tableColumn id="5" xr3:uid="{00000000-0010-0000-0500-000005000000}" name="Delay Rate"/>
    <tableColumn id="6" xr3:uid="{00000000-0010-0000-0500-000006000000}" name="Cancellation Rate"/>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6000000}" name="CancellationDiversion" displayName="CancellationDiversion" ref="N4:S210" totalsRowShown="0">
  <autoFilter ref="N4:S210" xr:uid="{00000000-0009-0000-0100-000007000000}"/>
  <tableColumns count="6">
    <tableColumn id="1" xr3:uid="{00000000-0010-0000-0600-000001000000}" name="Airport"/>
    <tableColumn id="2" xr3:uid="{00000000-0010-0000-0600-000002000000}" name="City"/>
    <tableColumn id="3" xr3:uid="{00000000-0010-0000-0600-000003000000}" name="State"/>
    <tableColumn id="4" xr3:uid="{00000000-0010-0000-0600-000004000000}" name="Scheduled Flights"/>
    <tableColumn id="5" xr3:uid="{00000000-0010-0000-0600-000005000000}" name="Cancellation Rate"/>
    <tableColumn id="6" xr3:uid="{00000000-0010-0000-0600-000006000000}" name="Diversion Rate"/>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MonthlyOperations" displayName="MonthlyOperations" ref="A4:N40" totalsRowShown="0">
  <autoFilter ref="A4:N40" xr:uid="{00000000-0009-0000-0100-000001000000}"/>
  <tableColumns count="14">
    <tableColumn id="1" xr3:uid="{00000000-0010-0000-0000-000001000000}" name="Month"/>
    <tableColumn id="2" xr3:uid="{00000000-0010-0000-0000-000002000000}" name="Year"/>
    <tableColumn id="3" xr3:uid="{00000000-0010-0000-0000-000003000000}" name="Month #"/>
    <tableColumn id="4" xr3:uid="{00000000-0010-0000-0000-000004000000}" name="Scheduled Flights"/>
    <tableColumn id="5" xr3:uid="{00000000-0010-0000-0000-000005000000}" name="Operated Flights"/>
    <tableColumn id="6" xr3:uid="{00000000-0010-0000-0000-000006000000}" name="On-Time Rate"/>
    <tableColumn id="7" xr3:uid="{00000000-0010-0000-0000-000007000000}" name="Arrival Delay Rate"/>
    <tableColumn id="8" xr3:uid="{00000000-0010-0000-0000-000008000000}" name="Cancellation Rate"/>
    <tableColumn id="9" xr3:uid="{00000000-0010-0000-0000-000009000000}" name="Diversion Rate"/>
    <tableColumn id="10" xr3:uid="{00000000-0010-0000-0000-00000A000000}" name="Avg Arrival Delay (min)"/>
    <tableColumn id="11" xr3:uid="{00000000-0010-0000-0000-00000B000000}" name="On-Time Flights (calc)"/>
    <tableColumn id="12" xr3:uid="{00000000-0010-0000-0000-00000C000000}" name="Delayed Flights (calc)"/>
    <tableColumn id="13" xr3:uid="{00000000-0010-0000-0000-00000D000000}" name="Cancelled Flights (calc)"/>
    <tableColumn id="14" xr3:uid="{00000000-0010-0000-0000-00000E000000}" name="Diverted Flights (calc)"/>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table" Target="../tables/table1.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3" Type="http://schemas.openxmlformats.org/officeDocument/2006/relationships/table" Target="../tables/table5.xml"/><Relationship Id="rId2" Type="http://schemas.openxmlformats.org/officeDocument/2006/relationships/table" Target="../tables/table4.xml"/><Relationship Id="rId1" Type="http://schemas.openxmlformats.org/officeDocument/2006/relationships/drawing" Target="../drawings/drawing4.xml"/><Relationship Id="rId4" Type="http://schemas.openxmlformats.org/officeDocument/2006/relationships/table" Target="../tables/table6.xml"/></Relationships>
</file>

<file path=xl/worksheets/_rels/sheet7.xml.rels><?xml version="1.0" encoding="UTF-8" standalone="yes"?>
<Relationships xmlns="http://schemas.openxmlformats.org/package/2006/relationships"><Relationship Id="rId2" Type="http://schemas.openxmlformats.org/officeDocument/2006/relationships/table" Target="../tables/table7.xml"/><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20"/>
  <sheetViews>
    <sheetView showGridLines="0" tabSelected="1" workbookViewId="0"/>
  </sheetViews>
  <sheetFormatPr defaultRowHeight="14.25"/>
  <cols>
    <col min="1" max="1" width="23" customWidth="1"/>
    <col min="2" max="2" width="26" customWidth="1"/>
    <col min="3" max="3" width="30" customWidth="1"/>
    <col min="4" max="4" width="28" customWidth="1"/>
    <col min="5" max="6" width="12" customWidth="1"/>
    <col min="7" max="7" width="3" customWidth="1"/>
    <col min="8" max="14" width="12" customWidth="1"/>
  </cols>
  <sheetData>
    <row r="1" spans="1:14" ht="30" customHeight="1">
      <c r="A1" s="57" t="s">
        <v>0</v>
      </c>
      <c r="B1" s="57"/>
      <c r="C1" s="57"/>
      <c r="D1" s="57"/>
      <c r="E1" s="57"/>
      <c r="F1" s="57"/>
      <c r="G1" s="57"/>
      <c r="H1" s="57"/>
      <c r="I1" s="57"/>
      <c r="J1" s="57"/>
      <c r="K1" s="57"/>
      <c r="L1" s="57"/>
      <c r="M1" s="57"/>
      <c r="N1" s="57"/>
    </row>
    <row r="2" spans="1:14" ht="30" customHeight="1">
      <c r="A2" s="58" t="s">
        <v>1</v>
      </c>
      <c r="B2" s="58"/>
      <c r="C2" s="58"/>
      <c r="D2" s="58"/>
      <c r="E2" s="58"/>
      <c r="F2" s="58"/>
      <c r="G2" s="58"/>
      <c r="H2" s="58"/>
      <c r="I2" s="58"/>
      <c r="J2" s="58"/>
      <c r="K2" s="58"/>
      <c r="L2" s="58"/>
      <c r="M2" s="58"/>
      <c r="N2" s="58"/>
    </row>
    <row r="4" spans="1:14">
      <c r="A4" s="75" t="s">
        <v>2</v>
      </c>
      <c r="B4" s="76"/>
      <c r="C4" s="77"/>
      <c r="D4" s="87" t="s">
        <v>3</v>
      </c>
      <c r="E4" s="88"/>
      <c r="F4" s="89"/>
      <c r="G4" s="99" t="s">
        <v>4</v>
      </c>
      <c r="H4" s="100"/>
      <c r="I4" s="101"/>
      <c r="J4" s="102" t="s">
        <v>5</v>
      </c>
      <c r="K4" s="103"/>
      <c r="L4" s="104"/>
    </row>
    <row r="5" spans="1:14">
      <c r="A5" s="78">
        <f>SUM('Delay Trends'!D5:D40)</f>
        <v>20928579</v>
      </c>
      <c r="B5" s="79"/>
      <c r="C5" s="80"/>
      <c r="D5" s="90">
        <f>SUM('Delay Trends'!K5:K40)/SUM('Delay Trends'!E5:E40)</f>
        <v>0.77520533134427994</v>
      </c>
      <c r="E5" s="91"/>
      <c r="F5" s="92"/>
      <c r="G5" s="90">
        <f>SUM('Delay Trends'!L5:L40)/SUM('Delay Trends'!E5:E40)</f>
        <v>0.20860733310307775</v>
      </c>
      <c r="H5" s="91"/>
      <c r="I5" s="92"/>
      <c r="J5" s="90">
        <f>SUM('Delay Trends'!M5:M40)/SUM('Delay Trends'!D5:D40)</f>
        <v>1.371970834713623E-2</v>
      </c>
      <c r="K5" s="91"/>
      <c r="L5" s="92"/>
    </row>
    <row r="6" spans="1:14">
      <c r="A6" s="81"/>
      <c r="B6" s="82"/>
      <c r="C6" s="83"/>
      <c r="D6" s="93"/>
      <c r="E6" s="94"/>
      <c r="F6" s="95"/>
      <c r="G6" s="93"/>
      <c r="H6" s="94"/>
      <c r="I6" s="95"/>
      <c r="J6" s="93"/>
      <c r="K6" s="94"/>
      <c r="L6" s="95"/>
    </row>
    <row r="7" spans="1:14">
      <c r="A7" s="84"/>
      <c r="B7" s="85"/>
      <c r="C7" s="86"/>
      <c r="D7" s="96"/>
      <c r="E7" s="97"/>
      <c r="F7" s="98"/>
      <c r="G7" s="96"/>
      <c r="H7" s="97"/>
      <c r="I7" s="98"/>
      <c r="J7" s="96"/>
      <c r="K7" s="97"/>
      <c r="L7" s="98"/>
    </row>
    <row r="9" spans="1:14" ht="15.75">
      <c r="A9" s="65" t="s">
        <v>6</v>
      </c>
      <c r="B9" s="65"/>
      <c r="C9" s="65"/>
      <c r="D9" s="65"/>
      <c r="E9" s="65"/>
      <c r="F9" s="65"/>
    </row>
    <row r="10" spans="1:14" ht="36" customHeight="1">
      <c r="A10" s="20" t="s">
        <v>7</v>
      </c>
      <c r="B10" s="66" t="s">
        <v>8</v>
      </c>
      <c r="C10" s="67"/>
      <c r="D10" s="67"/>
      <c r="E10" s="67"/>
      <c r="F10" s="68"/>
    </row>
    <row r="11" spans="1:14" ht="36" customHeight="1">
      <c r="A11" s="21" t="s">
        <v>9</v>
      </c>
      <c r="B11" s="69" t="s">
        <v>10</v>
      </c>
      <c r="C11" s="70"/>
      <c r="D11" s="70"/>
      <c r="E11" s="70"/>
      <c r="F11" s="71"/>
    </row>
    <row r="12" spans="1:14" ht="36" customHeight="1">
      <c r="A12" s="21" t="s">
        <v>11</v>
      </c>
      <c r="B12" s="69" t="s">
        <v>12</v>
      </c>
      <c r="C12" s="70"/>
      <c r="D12" s="70"/>
      <c r="E12" s="70"/>
      <c r="F12" s="71"/>
    </row>
    <row r="13" spans="1:14" ht="36" customHeight="1">
      <c r="A13" s="23" t="s">
        <v>13</v>
      </c>
      <c r="B13" s="72" t="s">
        <v>14</v>
      </c>
      <c r="C13" s="73"/>
      <c r="D13" s="73"/>
      <c r="E13" s="73"/>
      <c r="F13" s="74"/>
    </row>
    <row r="15" spans="1:14" ht="15.75">
      <c r="A15" s="65" t="s">
        <v>15</v>
      </c>
      <c r="B15" s="65"/>
      <c r="C15" s="65"/>
      <c r="D15" s="65"/>
      <c r="E15" s="65"/>
      <c r="F15" s="65"/>
      <c r="G15" s="65"/>
      <c r="H15" s="65"/>
      <c r="I15" s="65"/>
      <c r="J15" s="65"/>
      <c r="K15" s="65"/>
      <c r="L15" s="65"/>
      <c r="M15" s="65"/>
      <c r="N15" s="65"/>
    </row>
    <row r="16" spans="1:14" ht="26.1" customHeight="1">
      <c r="A16" s="15" t="s">
        <v>16</v>
      </c>
      <c r="B16" s="16" t="s">
        <v>17</v>
      </c>
      <c r="C16" s="16" t="s">
        <v>18</v>
      </c>
      <c r="D16" s="17" t="s">
        <v>19</v>
      </c>
    </row>
    <row r="17" spans="1:4" ht="54" customHeight="1">
      <c r="A17" s="31" t="s">
        <v>20</v>
      </c>
      <c r="B17" s="25" t="s">
        <v>21</v>
      </c>
      <c r="C17" s="25" t="s">
        <v>22</v>
      </c>
      <c r="D17" s="26" t="s">
        <v>23</v>
      </c>
    </row>
    <row r="18" spans="1:4" ht="54" customHeight="1">
      <c r="A18" s="32" t="s">
        <v>24</v>
      </c>
      <c r="B18" s="27" t="s">
        <v>25</v>
      </c>
      <c r="C18" s="27" t="s">
        <v>26</v>
      </c>
      <c r="D18" s="28" t="s">
        <v>27</v>
      </c>
    </row>
    <row r="19" spans="1:4" ht="54" customHeight="1">
      <c r="A19" s="32" t="s">
        <v>28</v>
      </c>
      <c r="B19" s="27" t="s">
        <v>29</v>
      </c>
      <c r="C19" s="27" t="s">
        <v>30</v>
      </c>
      <c r="D19" s="28" t="s">
        <v>31</v>
      </c>
    </row>
    <row r="20" spans="1:4" ht="54" customHeight="1">
      <c r="A20" s="33" t="s">
        <v>32</v>
      </c>
      <c r="B20" s="29" t="s">
        <v>33</v>
      </c>
      <c r="C20" s="29" t="s">
        <v>34</v>
      </c>
      <c r="D20" s="30" t="s">
        <v>35</v>
      </c>
    </row>
  </sheetData>
  <mergeCells count="16">
    <mergeCell ref="A1:N1"/>
    <mergeCell ref="A2:N2"/>
    <mergeCell ref="A4:C4"/>
    <mergeCell ref="A5:C7"/>
    <mergeCell ref="D4:F4"/>
    <mergeCell ref="D5:F7"/>
    <mergeCell ref="G4:I4"/>
    <mergeCell ref="G5:I7"/>
    <mergeCell ref="J4:L4"/>
    <mergeCell ref="J5:L7"/>
    <mergeCell ref="A15:N15"/>
    <mergeCell ref="A9:F9"/>
    <mergeCell ref="B10:F10"/>
    <mergeCell ref="B11:F11"/>
    <mergeCell ref="B12:F12"/>
    <mergeCell ref="B13:F13"/>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U186"/>
  <sheetViews>
    <sheetView showGridLines="0" topLeftCell="G11" workbookViewId="0">
      <selection activeCell="G26" sqref="G26"/>
    </sheetView>
  </sheetViews>
  <sheetFormatPr defaultRowHeight="14.25"/>
  <cols>
    <col min="1" max="1" width="10" customWidth="1"/>
    <col min="2" max="5" width="15" customWidth="1"/>
    <col min="6" max="6" width="18" customWidth="1"/>
    <col min="7" max="7" width="20" customWidth="1"/>
    <col min="9" max="9" width="18" customWidth="1"/>
    <col min="10" max="10" width="20" customWidth="1"/>
    <col min="11" max="11" width="3" customWidth="1"/>
    <col min="12" max="13" width="9" customWidth="1"/>
    <col min="14" max="14" width="16" customWidth="1"/>
    <col min="15" max="16" width="14" customWidth="1"/>
    <col min="17" max="17" width="19" customWidth="1"/>
    <col min="18" max="18" width="20" customWidth="1"/>
  </cols>
  <sheetData>
    <row r="1" spans="1:21" ht="30" customHeight="1">
      <c r="A1" s="57" t="s">
        <v>36</v>
      </c>
      <c r="B1" s="57"/>
      <c r="C1" s="57"/>
      <c r="D1" s="57"/>
      <c r="E1" s="57"/>
      <c r="F1" s="57"/>
      <c r="G1" s="57"/>
      <c r="H1" s="57"/>
      <c r="I1" s="57"/>
      <c r="J1" s="57"/>
      <c r="K1" s="57"/>
      <c r="L1" s="57"/>
      <c r="M1" s="57"/>
      <c r="N1" s="57"/>
      <c r="O1" s="57"/>
      <c r="P1" s="57"/>
      <c r="Q1" s="57"/>
      <c r="R1" s="57"/>
      <c r="S1" s="57"/>
      <c r="T1" s="57"/>
      <c r="U1" s="57"/>
    </row>
    <row r="2" spans="1:21" ht="30" customHeight="1">
      <c r="A2" s="58" t="s">
        <v>37</v>
      </c>
      <c r="B2" s="58"/>
      <c r="C2" s="58"/>
      <c r="D2" s="58"/>
      <c r="E2" s="58"/>
      <c r="F2" s="58"/>
      <c r="G2" s="58"/>
      <c r="H2" s="58"/>
      <c r="I2" s="58"/>
      <c r="J2" s="58"/>
      <c r="K2" s="58"/>
      <c r="L2" s="58"/>
      <c r="M2" s="58"/>
      <c r="N2" s="58"/>
      <c r="O2" s="58"/>
      <c r="P2" s="58"/>
      <c r="Q2" s="58"/>
      <c r="R2" s="58"/>
      <c r="S2" s="58"/>
      <c r="T2" s="58"/>
      <c r="U2" s="58"/>
    </row>
    <row r="4" spans="1:21" ht="26.1" customHeight="1">
      <c r="A4" s="1" t="s">
        <v>38</v>
      </c>
      <c r="B4" s="2" t="s">
        <v>39</v>
      </c>
      <c r="C4" s="2" t="s">
        <v>40</v>
      </c>
      <c r="D4" s="2" t="s">
        <v>41</v>
      </c>
      <c r="E4" s="2" t="s">
        <v>42</v>
      </c>
      <c r="F4" s="2" t="s">
        <v>43</v>
      </c>
      <c r="G4" s="3" t="s">
        <v>44</v>
      </c>
      <c r="I4" s="15" t="s">
        <v>45</v>
      </c>
      <c r="J4" s="17" t="s">
        <v>46</v>
      </c>
      <c r="L4" s="15" t="s">
        <v>38</v>
      </c>
      <c r="M4" s="16" t="s">
        <v>47</v>
      </c>
      <c r="N4" s="16" t="s">
        <v>48</v>
      </c>
      <c r="O4" s="16" t="s">
        <v>49</v>
      </c>
      <c r="P4" s="16" t="s">
        <v>50</v>
      </c>
      <c r="Q4" s="16" t="s">
        <v>3</v>
      </c>
      <c r="R4" s="17" t="s">
        <v>51</v>
      </c>
    </row>
    <row r="5" spans="1:21">
      <c r="A5" s="4">
        <v>2023</v>
      </c>
      <c r="B5" s="4">
        <v>34862074</v>
      </c>
      <c r="C5" s="4">
        <v>5009341</v>
      </c>
      <c r="D5" s="4">
        <v>17310028</v>
      </c>
      <c r="E5" s="4">
        <v>206677</v>
      </c>
      <c r="F5" s="4">
        <v>38310004</v>
      </c>
      <c r="G5" s="4">
        <v>95698124</v>
      </c>
      <c r="I5" s="7" t="s">
        <v>52</v>
      </c>
      <c r="J5" s="18">
        <f>F7/G7</f>
        <v>0.39186240182606591</v>
      </c>
      <c r="L5">
        <v>2023</v>
      </c>
      <c r="M5">
        <v>1</v>
      </c>
      <c r="N5" t="s">
        <v>53</v>
      </c>
      <c r="O5" s="4">
        <v>128301</v>
      </c>
      <c r="P5" s="5">
        <v>0.25536823563339334</v>
      </c>
      <c r="Q5" s="5">
        <v>0.7232523518912557</v>
      </c>
      <c r="R5" s="6">
        <v>10.853286927157171</v>
      </c>
    </row>
    <row r="6" spans="1:21">
      <c r="A6" s="4">
        <v>2024</v>
      </c>
      <c r="B6" s="4">
        <v>35823263</v>
      </c>
      <c r="C6" s="4">
        <v>6195873</v>
      </c>
      <c r="D6" s="4">
        <v>19621964</v>
      </c>
      <c r="E6" s="4">
        <v>179928</v>
      </c>
      <c r="F6" s="4">
        <v>41973684</v>
      </c>
      <c r="G6" s="4">
        <v>103794712</v>
      </c>
      <c r="I6" s="7" t="s">
        <v>54</v>
      </c>
      <c r="J6" s="18">
        <f>B7/G7</f>
        <v>0.32453208290106839</v>
      </c>
      <c r="L6">
        <v>2023</v>
      </c>
      <c r="M6">
        <v>1</v>
      </c>
      <c r="N6" t="s">
        <v>55</v>
      </c>
      <c r="O6" s="4">
        <v>88348</v>
      </c>
      <c r="P6" s="5">
        <v>0.26564268574274458</v>
      </c>
      <c r="Q6" s="5">
        <v>0.71128944628061752</v>
      </c>
      <c r="R6" s="6">
        <v>11.932244235893871</v>
      </c>
    </row>
    <row r="7" spans="1:21">
      <c r="A7" s="4">
        <v>2025</v>
      </c>
      <c r="B7" s="4">
        <v>36326377</v>
      </c>
      <c r="C7" s="4">
        <v>7108714</v>
      </c>
      <c r="D7" s="4">
        <v>24483761</v>
      </c>
      <c r="E7" s="4">
        <v>152802</v>
      </c>
      <c r="F7" s="4">
        <v>43862971</v>
      </c>
      <c r="G7" s="4">
        <v>111934625</v>
      </c>
      <c r="I7" s="7" t="s">
        <v>56</v>
      </c>
      <c r="J7" s="18">
        <f>D7/G7</f>
        <v>0.21873268436821938</v>
      </c>
      <c r="L7">
        <v>2023</v>
      </c>
      <c r="M7">
        <v>1</v>
      </c>
      <c r="N7" t="s">
        <v>57</v>
      </c>
      <c r="O7" s="4">
        <v>131035</v>
      </c>
      <c r="P7" s="5">
        <v>0.22066623421223339</v>
      </c>
      <c r="Q7" s="5">
        <v>0.75756858854504516</v>
      </c>
      <c r="R7" s="6">
        <v>8.0177090565831666</v>
      </c>
    </row>
    <row r="8" spans="1:21">
      <c r="I8" s="7" t="s">
        <v>58</v>
      </c>
      <c r="J8" s="18">
        <f>C7/G7</f>
        <v>6.3507730516808358E-2</v>
      </c>
      <c r="L8">
        <v>2023</v>
      </c>
      <c r="M8">
        <v>1</v>
      </c>
      <c r="N8" t="s">
        <v>59</v>
      </c>
      <c r="O8" s="4">
        <v>175656</v>
      </c>
      <c r="P8" s="5">
        <v>0.16708225167372592</v>
      </c>
      <c r="Q8" s="5">
        <v>0.81210434030149836</v>
      </c>
      <c r="R8" s="6">
        <v>3.6984534883720932</v>
      </c>
    </row>
    <row r="9" spans="1:21">
      <c r="I9" s="9" t="s">
        <v>60</v>
      </c>
      <c r="J9" s="19">
        <f>E7/G7</f>
        <v>1.3651003878379902E-3</v>
      </c>
      <c r="L9">
        <v>2023</v>
      </c>
      <c r="M9">
        <v>1</v>
      </c>
      <c r="N9" t="s">
        <v>61</v>
      </c>
      <c r="O9" s="4">
        <v>15497</v>
      </c>
      <c r="P9" s="5">
        <v>0.14299541846809061</v>
      </c>
      <c r="Q9" s="5">
        <v>0.83435503645866937</v>
      </c>
      <c r="R9" s="6">
        <v>2.8544830318235839</v>
      </c>
    </row>
    <row r="10" spans="1:21">
      <c r="L10">
        <v>2023</v>
      </c>
      <c r="M10">
        <v>2</v>
      </c>
      <c r="N10" t="s">
        <v>53</v>
      </c>
      <c r="O10" s="4">
        <v>119501</v>
      </c>
      <c r="P10" s="5">
        <v>0.22462573534949498</v>
      </c>
      <c r="Q10" s="5">
        <v>0.75621961322499398</v>
      </c>
      <c r="R10" s="6">
        <v>7.7405982322629079</v>
      </c>
    </row>
    <row r="11" spans="1:21" ht="14.25" customHeight="1">
      <c r="L11">
        <v>2023</v>
      </c>
      <c r="M11">
        <v>2</v>
      </c>
      <c r="N11" t="s">
        <v>55</v>
      </c>
      <c r="O11" s="4">
        <v>84162</v>
      </c>
      <c r="P11" s="5">
        <v>0.23282479028540196</v>
      </c>
      <c r="Q11" s="5">
        <v>0.74659585085905755</v>
      </c>
      <c r="R11" s="6">
        <v>8.9286788790488902</v>
      </c>
    </row>
    <row r="12" spans="1:21" ht="168">
      <c r="I12" s="48" t="s">
        <v>62</v>
      </c>
      <c r="J12" s="49"/>
      <c r="K12" s="50"/>
      <c r="L12">
        <v>2023</v>
      </c>
      <c r="M12">
        <v>2</v>
      </c>
      <c r="N12" t="s">
        <v>57</v>
      </c>
      <c r="O12" s="4">
        <v>121209</v>
      </c>
      <c r="P12" s="5">
        <v>0.18968063427633261</v>
      </c>
      <c r="Q12" s="5">
        <v>0.79312592299251705</v>
      </c>
      <c r="R12" s="6">
        <v>4.3466274921301151</v>
      </c>
    </row>
    <row r="13" spans="1:21">
      <c r="I13" s="51"/>
      <c r="J13" s="56"/>
      <c r="K13" s="52"/>
      <c r="L13">
        <v>2023</v>
      </c>
      <c r="M13">
        <v>2</v>
      </c>
      <c r="N13" t="s">
        <v>59</v>
      </c>
      <c r="O13" s="4">
        <v>163662</v>
      </c>
      <c r="P13" s="5">
        <v>0.13463724016570738</v>
      </c>
      <c r="Q13" s="5">
        <v>0.8437755862692623</v>
      </c>
      <c r="R13" s="6">
        <v>-0.53185868893204857</v>
      </c>
    </row>
    <row r="14" spans="1:21">
      <c r="I14" s="53"/>
      <c r="J14" s="54"/>
      <c r="K14" s="55"/>
      <c r="L14">
        <v>2023</v>
      </c>
      <c r="M14">
        <v>2</v>
      </c>
      <c r="N14" t="s">
        <v>61</v>
      </c>
      <c r="O14" s="4">
        <v>14215</v>
      </c>
      <c r="P14" s="5">
        <v>0.10587407667956385</v>
      </c>
      <c r="Q14" s="5">
        <v>0.86851916989096023</v>
      </c>
      <c r="R14" s="6">
        <v>-2.5237166991552957</v>
      </c>
    </row>
    <row r="15" spans="1:21">
      <c r="L15">
        <v>2023</v>
      </c>
      <c r="M15">
        <v>3</v>
      </c>
      <c r="N15" t="s">
        <v>53</v>
      </c>
      <c r="O15" s="4">
        <v>136487</v>
      </c>
      <c r="P15" s="5">
        <v>0.29066504502260287</v>
      </c>
      <c r="Q15" s="5">
        <v>0.6916629422582371</v>
      </c>
      <c r="R15" s="6">
        <v>14.370747715830692</v>
      </c>
    </row>
    <row r="16" spans="1:21">
      <c r="L16">
        <v>2023</v>
      </c>
      <c r="M16">
        <v>3</v>
      </c>
      <c r="N16" t="s">
        <v>55</v>
      </c>
      <c r="O16" s="4">
        <v>101982</v>
      </c>
      <c r="P16" s="5">
        <v>0.30996646467023592</v>
      </c>
      <c r="Q16" s="5">
        <v>0.66925535878880582</v>
      </c>
      <c r="R16" s="6">
        <v>16.096422098274637</v>
      </c>
    </row>
    <row r="17" spans="12:18">
      <c r="L17">
        <v>2023</v>
      </c>
      <c r="M17">
        <v>3</v>
      </c>
      <c r="N17" t="s">
        <v>57</v>
      </c>
      <c r="O17" s="4">
        <v>136561</v>
      </c>
      <c r="P17" s="5">
        <v>0.23512569474447317</v>
      </c>
      <c r="Q17" s="5">
        <v>0.75119543647161346</v>
      </c>
      <c r="R17" s="6">
        <v>8.7173943709027188</v>
      </c>
    </row>
    <row r="18" spans="12:18">
      <c r="L18">
        <v>2023</v>
      </c>
      <c r="M18">
        <v>3</v>
      </c>
      <c r="N18" t="s">
        <v>59</v>
      </c>
      <c r="O18" s="4">
        <v>187427</v>
      </c>
      <c r="P18" s="5">
        <v>0.1637330800791775</v>
      </c>
      <c r="Q18" s="5">
        <v>0.82467840812689741</v>
      </c>
      <c r="R18" s="6">
        <v>2.6646460284472755</v>
      </c>
    </row>
    <row r="19" spans="12:18">
      <c r="L19">
        <v>2023</v>
      </c>
      <c r="M19">
        <v>3</v>
      </c>
      <c r="N19" t="s">
        <v>61</v>
      </c>
      <c r="O19" s="4">
        <v>17865</v>
      </c>
      <c r="P19" s="5">
        <v>0.10993562832353765</v>
      </c>
      <c r="Q19" s="5">
        <v>0.87786174083403301</v>
      </c>
      <c r="R19" s="6">
        <v>-1.0344534481781607</v>
      </c>
    </row>
    <row r="20" spans="12:18">
      <c r="L20">
        <v>2023</v>
      </c>
      <c r="M20">
        <v>4</v>
      </c>
      <c r="N20" t="s">
        <v>53</v>
      </c>
      <c r="O20" s="4">
        <v>131684</v>
      </c>
      <c r="P20" s="5">
        <v>0.28284377752802164</v>
      </c>
      <c r="Q20" s="5">
        <v>0.69285562406974277</v>
      </c>
      <c r="R20" s="6">
        <v>14.74386694063074</v>
      </c>
    </row>
    <row r="21" spans="12:18">
      <c r="L21">
        <v>2023</v>
      </c>
      <c r="M21">
        <v>4</v>
      </c>
      <c r="N21" t="s">
        <v>55</v>
      </c>
      <c r="O21" s="4">
        <v>98392</v>
      </c>
      <c r="P21" s="5">
        <v>0.31151922920562647</v>
      </c>
      <c r="Q21" s="5">
        <v>0.66306203756402959</v>
      </c>
      <c r="R21" s="6">
        <v>17.168013682201668</v>
      </c>
    </row>
    <row r="22" spans="12:18">
      <c r="L22">
        <v>2023</v>
      </c>
      <c r="M22">
        <v>4</v>
      </c>
      <c r="N22" t="s">
        <v>57</v>
      </c>
      <c r="O22" s="4">
        <v>132226</v>
      </c>
      <c r="P22" s="5">
        <v>0.22464568239226779</v>
      </c>
      <c r="Q22" s="5">
        <v>0.7579825450365284</v>
      </c>
      <c r="R22" s="6">
        <v>8.9984453047433597</v>
      </c>
    </row>
    <row r="23" spans="12:18">
      <c r="L23">
        <v>2023</v>
      </c>
      <c r="M23">
        <v>4</v>
      </c>
      <c r="N23" t="s">
        <v>59</v>
      </c>
      <c r="O23" s="4">
        <v>181530</v>
      </c>
      <c r="P23" s="5">
        <v>0.14655979727868673</v>
      </c>
      <c r="Q23" s="5">
        <v>0.83756954773315706</v>
      </c>
      <c r="R23" s="6">
        <v>1.8370379906968413</v>
      </c>
    </row>
    <row r="24" spans="12:18">
      <c r="L24">
        <v>2023</v>
      </c>
      <c r="M24">
        <v>4</v>
      </c>
      <c r="N24" t="s">
        <v>61</v>
      </c>
      <c r="O24" s="4">
        <v>17609</v>
      </c>
      <c r="P24" s="5">
        <v>9.5178601851326025E-2</v>
      </c>
      <c r="Q24" s="5">
        <v>0.88704639672894547</v>
      </c>
      <c r="R24" s="6">
        <v>-1.3619333950046253</v>
      </c>
    </row>
    <row r="25" spans="12:18">
      <c r="L25">
        <v>2023</v>
      </c>
      <c r="M25">
        <v>5</v>
      </c>
      <c r="N25" t="s">
        <v>53</v>
      </c>
      <c r="O25" s="4">
        <v>136027</v>
      </c>
      <c r="P25" s="5">
        <v>0.24667161666433871</v>
      </c>
      <c r="Q25" s="5">
        <v>0.74366118491181898</v>
      </c>
      <c r="R25" s="6">
        <v>9.6140181573887808</v>
      </c>
    </row>
    <row r="26" spans="12:18">
      <c r="L26">
        <v>2023</v>
      </c>
      <c r="M26">
        <v>5</v>
      </c>
      <c r="N26" t="s">
        <v>55</v>
      </c>
      <c r="O26" s="4">
        <v>99462</v>
      </c>
      <c r="P26" s="5">
        <v>0.2625525326255253</v>
      </c>
      <c r="Q26" s="5">
        <v>0.72801673000744005</v>
      </c>
      <c r="R26" s="6">
        <v>11.141589866428484</v>
      </c>
    </row>
    <row r="27" spans="12:18">
      <c r="L27">
        <v>2023</v>
      </c>
      <c r="M27">
        <v>5</v>
      </c>
      <c r="N27" t="s">
        <v>57</v>
      </c>
      <c r="O27" s="4">
        <v>137448</v>
      </c>
      <c r="P27" s="5">
        <v>0.17424771549967988</v>
      </c>
      <c r="Q27" s="5">
        <v>0.81846225481636692</v>
      </c>
      <c r="R27" s="6">
        <v>2.9474444102428801</v>
      </c>
    </row>
    <row r="28" spans="12:18">
      <c r="L28">
        <v>2023</v>
      </c>
      <c r="M28">
        <v>5</v>
      </c>
      <c r="N28" t="s">
        <v>59</v>
      </c>
      <c r="O28" s="4">
        <v>188566</v>
      </c>
      <c r="P28" s="5">
        <v>0.1019802085211544</v>
      </c>
      <c r="Q28" s="5">
        <v>0.8920802265519765</v>
      </c>
      <c r="R28" s="6">
        <v>-2.7456707531769151</v>
      </c>
    </row>
    <row r="29" spans="12:18">
      <c r="L29">
        <v>2023</v>
      </c>
      <c r="M29">
        <v>5</v>
      </c>
      <c r="N29" t="s">
        <v>61</v>
      </c>
      <c r="O29" s="4">
        <v>18455</v>
      </c>
      <c r="P29" s="5">
        <v>6.8870224871308588E-2</v>
      </c>
      <c r="Q29" s="5">
        <v>0.92283933893253856</v>
      </c>
      <c r="R29" s="6">
        <v>-4.702928641678505</v>
      </c>
    </row>
    <row r="30" spans="12:18">
      <c r="L30">
        <v>2023</v>
      </c>
      <c r="M30">
        <v>6</v>
      </c>
      <c r="N30" t="s">
        <v>53</v>
      </c>
      <c r="O30" s="4">
        <v>134525</v>
      </c>
      <c r="P30" s="5">
        <v>0.35681100167255159</v>
      </c>
      <c r="Q30" s="5">
        <v>0.61107600817691876</v>
      </c>
      <c r="R30" s="6">
        <v>24.362781767213242</v>
      </c>
    </row>
    <row r="31" spans="12:18">
      <c r="L31">
        <v>2023</v>
      </c>
      <c r="M31">
        <v>6</v>
      </c>
      <c r="N31" t="s">
        <v>55</v>
      </c>
      <c r="O31" s="4">
        <v>104450</v>
      </c>
      <c r="P31" s="5">
        <v>0.38738152225945427</v>
      </c>
      <c r="Q31" s="5">
        <v>0.574561991383437</v>
      </c>
      <c r="R31" s="6">
        <v>27.824234884299578</v>
      </c>
    </row>
    <row r="32" spans="12:18">
      <c r="L32">
        <v>2023</v>
      </c>
      <c r="M32">
        <v>6</v>
      </c>
      <c r="N32" t="s">
        <v>57</v>
      </c>
      <c r="O32" s="4">
        <v>133084</v>
      </c>
      <c r="P32" s="5">
        <v>0.25706320819933276</v>
      </c>
      <c r="Q32" s="5">
        <v>0.72389618586757232</v>
      </c>
      <c r="R32" s="6">
        <v>12.453289927230946</v>
      </c>
    </row>
    <row r="33" spans="12:18">
      <c r="L33">
        <v>2023</v>
      </c>
      <c r="M33">
        <v>6</v>
      </c>
      <c r="N33" t="s">
        <v>59</v>
      </c>
      <c r="O33" s="4">
        <v>186406</v>
      </c>
      <c r="P33" s="5">
        <v>0.1477473901054687</v>
      </c>
      <c r="Q33" s="5">
        <v>0.83499994635365815</v>
      </c>
      <c r="R33" s="6">
        <v>2.6081991375075058</v>
      </c>
    </row>
    <row r="34" spans="12:18">
      <c r="L34">
        <v>2023</v>
      </c>
      <c r="M34">
        <v>6</v>
      </c>
      <c r="N34" t="s">
        <v>61</v>
      </c>
      <c r="O34" s="4">
        <v>18797</v>
      </c>
      <c r="P34" s="5">
        <v>0.10927275629089749</v>
      </c>
      <c r="Q34" s="5">
        <v>0.86875565249773901</v>
      </c>
      <c r="R34" s="6">
        <v>1.9730200174064403</v>
      </c>
    </row>
    <row r="35" spans="12:18">
      <c r="L35">
        <v>2023</v>
      </c>
      <c r="M35">
        <v>7</v>
      </c>
      <c r="N35" t="s">
        <v>53</v>
      </c>
      <c r="O35" s="4">
        <v>140180</v>
      </c>
      <c r="P35" s="5">
        <v>0.37383364245969469</v>
      </c>
      <c r="Q35" s="5">
        <v>0.58686688543301468</v>
      </c>
      <c r="R35" s="6">
        <v>27.230086655627417</v>
      </c>
    </row>
    <row r="36" spans="12:18">
      <c r="L36">
        <v>2023</v>
      </c>
      <c r="M36">
        <v>7</v>
      </c>
      <c r="N36" t="s">
        <v>55</v>
      </c>
      <c r="O36" s="4">
        <v>108037</v>
      </c>
      <c r="P36" s="5">
        <v>0.41318252080305823</v>
      </c>
      <c r="Q36" s="5">
        <v>0.54641465423882563</v>
      </c>
      <c r="R36" s="6">
        <v>30.880758546184119</v>
      </c>
    </row>
    <row r="37" spans="12:18">
      <c r="L37">
        <v>2023</v>
      </c>
      <c r="M37">
        <v>7</v>
      </c>
      <c r="N37" t="s">
        <v>57</v>
      </c>
      <c r="O37" s="4">
        <v>140194</v>
      </c>
      <c r="P37" s="5">
        <v>0.26571750574204317</v>
      </c>
      <c r="Q37" s="5">
        <v>0.7103941680813729</v>
      </c>
      <c r="R37" s="6">
        <v>14.991559793927436</v>
      </c>
    </row>
    <row r="38" spans="12:18">
      <c r="L38">
        <v>2023</v>
      </c>
      <c r="M38">
        <v>7</v>
      </c>
      <c r="N38" t="s">
        <v>59</v>
      </c>
      <c r="O38" s="4">
        <v>193603</v>
      </c>
      <c r="P38" s="5">
        <v>0.15792627180363941</v>
      </c>
      <c r="Q38" s="5">
        <v>0.8254934066104348</v>
      </c>
      <c r="R38" s="6">
        <v>4.0672398670119172</v>
      </c>
    </row>
    <row r="39" spans="12:18">
      <c r="L39">
        <v>2023</v>
      </c>
      <c r="M39">
        <v>7</v>
      </c>
      <c r="N39" t="s">
        <v>61</v>
      </c>
      <c r="O39" s="4">
        <v>19852</v>
      </c>
      <c r="P39" s="5">
        <v>0.11132379609107394</v>
      </c>
      <c r="Q39" s="5">
        <v>0.86978641950433211</v>
      </c>
      <c r="R39" s="6">
        <v>2.1546439390049801</v>
      </c>
    </row>
    <row r="40" spans="12:18">
      <c r="L40">
        <v>2023</v>
      </c>
      <c r="M40">
        <v>8</v>
      </c>
      <c r="N40" t="s">
        <v>53</v>
      </c>
      <c r="O40" s="4">
        <v>140994</v>
      </c>
      <c r="P40" s="5">
        <v>0.28577102571740642</v>
      </c>
      <c r="Q40" s="5">
        <v>0.6930507681177922</v>
      </c>
      <c r="R40" s="6">
        <v>15.67085241435279</v>
      </c>
    </row>
    <row r="41" spans="12:18">
      <c r="L41">
        <v>2023</v>
      </c>
      <c r="M41">
        <v>8</v>
      </c>
      <c r="N41" t="s">
        <v>55</v>
      </c>
      <c r="O41" s="4">
        <v>106870</v>
      </c>
      <c r="P41" s="5">
        <v>0.30237671937868438</v>
      </c>
      <c r="Q41" s="5">
        <v>0.67316365677926449</v>
      </c>
      <c r="R41" s="6">
        <v>17.42445518723143</v>
      </c>
    </row>
    <row r="42" spans="12:18">
      <c r="L42">
        <v>2023</v>
      </c>
      <c r="M42">
        <v>8</v>
      </c>
      <c r="N42" t="s">
        <v>57</v>
      </c>
      <c r="O42" s="4">
        <v>141118</v>
      </c>
      <c r="P42" s="5">
        <v>0.20146969203078274</v>
      </c>
      <c r="Q42" s="5">
        <v>0.78305389815615301</v>
      </c>
      <c r="R42" s="6">
        <v>6.4386111391020195</v>
      </c>
    </row>
    <row r="43" spans="12:18">
      <c r="L43">
        <v>2023</v>
      </c>
      <c r="M43">
        <v>8</v>
      </c>
      <c r="N43" t="s">
        <v>59</v>
      </c>
      <c r="O43" s="4">
        <v>194490</v>
      </c>
      <c r="P43" s="5">
        <v>0.13133323050028278</v>
      </c>
      <c r="Q43" s="5">
        <v>0.85454779166023964</v>
      </c>
      <c r="R43" s="6">
        <v>0.65226552069425903</v>
      </c>
    </row>
    <row r="44" spans="12:18">
      <c r="L44">
        <v>2023</v>
      </c>
      <c r="M44">
        <v>8</v>
      </c>
      <c r="N44" t="s">
        <v>61</v>
      </c>
      <c r="O44" s="4">
        <v>19515</v>
      </c>
      <c r="P44" s="5">
        <v>9.5208813733025879E-2</v>
      </c>
      <c r="Q44" s="5">
        <v>0.88864975659748913</v>
      </c>
      <c r="R44" s="6">
        <v>-5.6302083333333336E-2</v>
      </c>
    </row>
    <row r="45" spans="12:18">
      <c r="L45">
        <v>2023</v>
      </c>
      <c r="M45">
        <v>9</v>
      </c>
      <c r="N45" t="s">
        <v>53</v>
      </c>
      <c r="O45" s="4">
        <v>137050</v>
      </c>
      <c r="P45" s="5">
        <v>0.25141189346953668</v>
      </c>
      <c r="Q45" s="5">
        <v>0.7281649033199562</v>
      </c>
      <c r="R45" s="6">
        <v>11.917996886429151</v>
      </c>
    </row>
    <row r="46" spans="12:18">
      <c r="L46">
        <v>2023</v>
      </c>
      <c r="M46">
        <v>9</v>
      </c>
      <c r="N46" t="s">
        <v>55</v>
      </c>
      <c r="O46" s="4">
        <v>91776</v>
      </c>
      <c r="P46" s="5">
        <v>0.25203756973500696</v>
      </c>
      <c r="Q46" s="5">
        <v>0.72634457810320785</v>
      </c>
      <c r="R46" s="6">
        <v>11.852626069137562</v>
      </c>
    </row>
    <row r="47" spans="12:18">
      <c r="L47">
        <v>2023</v>
      </c>
      <c r="M47">
        <v>9</v>
      </c>
      <c r="N47" t="s">
        <v>57</v>
      </c>
      <c r="O47" s="4">
        <v>137368</v>
      </c>
      <c r="P47" s="5">
        <v>0.17878982004542543</v>
      </c>
      <c r="Q47" s="5">
        <v>0.80851435559955742</v>
      </c>
      <c r="R47" s="6">
        <v>4.6941028136612992</v>
      </c>
    </row>
    <row r="48" spans="12:18">
      <c r="L48">
        <v>2023</v>
      </c>
      <c r="M48">
        <v>9</v>
      </c>
      <c r="N48" t="s">
        <v>59</v>
      </c>
      <c r="O48" s="4">
        <v>188104</v>
      </c>
      <c r="P48" s="5">
        <v>0.11380938204397567</v>
      </c>
      <c r="Q48" s="5">
        <v>0.87681282694679541</v>
      </c>
      <c r="R48" s="6">
        <v>-1.2517494901792423</v>
      </c>
    </row>
    <row r="49" spans="12:18">
      <c r="L49">
        <v>2023</v>
      </c>
      <c r="M49">
        <v>9</v>
      </c>
      <c r="N49" t="s">
        <v>61</v>
      </c>
      <c r="O49" s="4">
        <v>15040</v>
      </c>
      <c r="P49" s="5">
        <v>7.6063829787234041E-2</v>
      </c>
      <c r="Q49" s="5">
        <v>0.91329787234042559</v>
      </c>
      <c r="R49" s="6">
        <v>-2.8391129032258067</v>
      </c>
    </row>
    <row r="50" spans="12:18">
      <c r="L50">
        <v>2023</v>
      </c>
      <c r="M50">
        <v>10</v>
      </c>
      <c r="N50" t="s">
        <v>53</v>
      </c>
      <c r="O50" s="4">
        <v>143932</v>
      </c>
      <c r="P50" s="5">
        <v>0.20253314064975128</v>
      </c>
      <c r="Q50" s="5">
        <v>0.7925826084539922</v>
      </c>
      <c r="R50" s="6">
        <v>4.9125735709947005</v>
      </c>
    </row>
    <row r="51" spans="12:18">
      <c r="L51">
        <v>2023</v>
      </c>
      <c r="M51">
        <v>10</v>
      </c>
      <c r="N51" t="s">
        <v>55</v>
      </c>
      <c r="O51" s="4">
        <v>99021</v>
      </c>
      <c r="P51" s="5">
        <v>0.19829127154845941</v>
      </c>
      <c r="Q51" s="5">
        <v>0.79357913977843086</v>
      </c>
      <c r="R51" s="6">
        <v>4.4361000244359374</v>
      </c>
    </row>
    <row r="52" spans="12:18">
      <c r="L52">
        <v>2023</v>
      </c>
      <c r="M52">
        <v>10</v>
      </c>
      <c r="N52" t="s">
        <v>57</v>
      </c>
      <c r="O52" s="4">
        <v>142207</v>
      </c>
      <c r="P52" s="5">
        <v>0.15308669756059828</v>
      </c>
      <c r="Q52" s="5">
        <v>0.84292615694023498</v>
      </c>
      <c r="R52" s="6">
        <v>0.93885907935611412</v>
      </c>
    </row>
    <row r="53" spans="12:18">
      <c r="L53">
        <v>2023</v>
      </c>
      <c r="M53">
        <v>10</v>
      </c>
      <c r="N53" t="s">
        <v>59</v>
      </c>
      <c r="O53" s="4">
        <v>195433</v>
      </c>
      <c r="P53" s="5">
        <v>0.10754069169485195</v>
      </c>
      <c r="Q53" s="5">
        <v>0.88855515701033094</v>
      </c>
      <c r="R53" s="6">
        <v>-2.5037550726871114</v>
      </c>
    </row>
    <row r="54" spans="12:18">
      <c r="L54">
        <v>2023</v>
      </c>
      <c r="M54">
        <v>10</v>
      </c>
      <c r="N54" t="s">
        <v>61</v>
      </c>
      <c r="O54" s="4">
        <v>18375</v>
      </c>
      <c r="P54" s="5">
        <v>7.6843537414965982E-2</v>
      </c>
      <c r="Q54" s="5">
        <v>0.91624489795918362</v>
      </c>
      <c r="R54" s="6">
        <v>-4.2679197720298117</v>
      </c>
    </row>
    <row r="55" spans="12:18">
      <c r="L55">
        <v>2023</v>
      </c>
      <c r="M55">
        <v>11</v>
      </c>
      <c r="N55" t="s">
        <v>53</v>
      </c>
      <c r="O55" s="4">
        <v>133803</v>
      </c>
      <c r="P55" s="5">
        <v>0.17206639611966848</v>
      </c>
      <c r="Q55" s="5">
        <v>0.82574381740319724</v>
      </c>
      <c r="R55" s="6">
        <v>1.6542431278555914</v>
      </c>
    </row>
    <row r="56" spans="12:18">
      <c r="L56">
        <v>2023</v>
      </c>
      <c r="M56">
        <v>11</v>
      </c>
      <c r="N56" t="s">
        <v>55</v>
      </c>
      <c r="O56" s="4">
        <v>93283</v>
      </c>
      <c r="P56" s="5">
        <v>0.17707406494216524</v>
      </c>
      <c r="Q56" s="5">
        <v>0.82033167886967617</v>
      </c>
      <c r="R56" s="6">
        <v>1.8071602841757934</v>
      </c>
    </row>
    <row r="57" spans="12:18">
      <c r="L57">
        <v>2023</v>
      </c>
      <c r="M57">
        <v>11</v>
      </c>
      <c r="N57" t="s">
        <v>57</v>
      </c>
      <c r="O57" s="4">
        <v>134722</v>
      </c>
      <c r="P57" s="5">
        <v>0.12911773875090929</v>
      </c>
      <c r="Q57" s="5">
        <v>0.86858864921839052</v>
      </c>
      <c r="R57" s="6">
        <v>-1.8260956901490184</v>
      </c>
    </row>
    <row r="58" spans="12:18">
      <c r="L58">
        <v>2023</v>
      </c>
      <c r="M58">
        <v>11</v>
      </c>
      <c r="N58" t="s">
        <v>59</v>
      </c>
      <c r="O58" s="4">
        <v>183082</v>
      </c>
      <c r="P58" s="5">
        <v>9.6869162451797552E-2</v>
      </c>
      <c r="Q58" s="5">
        <v>0.90071115674943469</v>
      </c>
      <c r="R58" s="6">
        <v>-4.2516987061909015</v>
      </c>
    </row>
    <row r="59" spans="12:18">
      <c r="L59">
        <v>2023</v>
      </c>
      <c r="M59">
        <v>11</v>
      </c>
      <c r="N59" t="s">
        <v>61</v>
      </c>
      <c r="O59" s="4">
        <v>18887</v>
      </c>
      <c r="P59" s="5">
        <v>8.8791232064382913E-2</v>
      </c>
      <c r="Q59" s="5">
        <v>0.90713188965955416</v>
      </c>
      <c r="R59" s="6">
        <v>-3.9129186602870814</v>
      </c>
    </row>
    <row r="60" spans="12:18">
      <c r="L60">
        <v>2023</v>
      </c>
      <c r="M60">
        <v>12</v>
      </c>
      <c r="N60" t="s">
        <v>53</v>
      </c>
      <c r="O60" s="4">
        <v>135854</v>
      </c>
      <c r="P60" s="5">
        <v>0.18923991932515788</v>
      </c>
      <c r="Q60" s="5">
        <v>0.80501862293344328</v>
      </c>
      <c r="R60" s="6">
        <v>2.8382294149873402</v>
      </c>
    </row>
    <row r="61" spans="12:18">
      <c r="L61">
        <v>2023</v>
      </c>
      <c r="M61">
        <v>12</v>
      </c>
      <c r="N61" t="s">
        <v>55</v>
      </c>
      <c r="O61" s="4">
        <v>95114</v>
      </c>
      <c r="P61" s="5">
        <v>0.20361881531635723</v>
      </c>
      <c r="Q61" s="5">
        <v>0.78838025947809998</v>
      </c>
      <c r="R61" s="6">
        <v>4.6722838701472131</v>
      </c>
    </row>
    <row r="62" spans="12:18">
      <c r="L62">
        <v>2023</v>
      </c>
      <c r="M62">
        <v>12</v>
      </c>
      <c r="N62" t="s">
        <v>57</v>
      </c>
      <c r="O62" s="4">
        <v>135564</v>
      </c>
      <c r="P62" s="5">
        <v>0.15317488418754241</v>
      </c>
      <c r="Q62" s="5">
        <v>0.84197131981942108</v>
      </c>
      <c r="R62" s="6">
        <v>2.5321334855380784E-2</v>
      </c>
    </row>
    <row r="63" spans="12:18">
      <c r="L63">
        <v>2023</v>
      </c>
      <c r="M63">
        <v>12</v>
      </c>
      <c r="N63" t="s">
        <v>59</v>
      </c>
      <c r="O63" s="4">
        <v>183787</v>
      </c>
      <c r="P63" s="5">
        <v>0.11612355607306284</v>
      </c>
      <c r="Q63" s="5">
        <v>0.8779075777938592</v>
      </c>
      <c r="R63" s="6">
        <v>-2.7586403196671956</v>
      </c>
    </row>
    <row r="64" spans="12:18">
      <c r="L64">
        <v>2023</v>
      </c>
      <c r="M64">
        <v>12</v>
      </c>
      <c r="N64" t="s">
        <v>61</v>
      </c>
      <c r="O64" s="4">
        <v>20075</v>
      </c>
      <c r="P64" s="5">
        <v>9.8132004981320048E-2</v>
      </c>
      <c r="Q64" s="5">
        <v>0.89404732254047325</v>
      </c>
      <c r="R64" s="6">
        <v>-1.7518827191485089</v>
      </c>
    </row>
    <row r="65" spans="12:18">
      <c r="L65">
        <v>2024</v>
      </c>
      <c r="M65">
        <v>1</v>
      </c>
      <c r="N65" t="s">
        <v>53</v>
      </c>
      <c r="O65" s="4">
        <v>133465</v>
      </c>
      <c r="P65" s="5">
        <v>0.27738358371108529</v>
      </c>
      <c r="Q65" s="5">
        <v>0.68159442550481397</v>
      </c>
      <c r="R65" s="6">
        <v>14.745917649816391</v>
      </c>
    </row>
    <row r="66" spans="12:18">
      <c r="L66">
        <v>2024</v>
      </c>
      <c r="M66">
        <v>1</v>
      </c>
      <c r="N66" t="s">
        <v>55</v>
      </c>
      <c r="O66" s="4">
        <v>83230</v>
      </c>
      <c r="P66" s="5">
        <v>0.26610597140454162</v>
      </c>
      <c r="Q66" s="5">
        <v>0.68985942568785297</v>
      </c>
      <c r="R66" s="6">
        <v>14.014277634638345</v>
      </c>
    </row>
    <row r="67" spans="12:18">
      <c r="L67">
        <v>2024</v>
      </c>
      <c r="M67">
        <v>1</v>
      </c>
      <c r="N67" t="s">
        <v>57</v>
      </c>
      <c r="O67" s="4">
        <v>133927</v>
      </c>
      <c r="P67" s="5">
        <v>0.24045935472309543</v>
      </c>
      <c r="Q67" s="5">
        <v>0.7236628909779208</v>
      </c>
      <c r="R67" s="6">
        <v>11.085988445036477</v>
      </c>
    </row>
    <row r="68" spans="12:18">
      <c r="L68">
        <v>2024</v>
      </c>
      <c r="M68">
        <v>1</v>
      </c>
      <c r="N68" t="s">
        <v>59</v>
      </c>
      <c r="O68" s="4">
        <v>180715</v>
      </c>
      <c r="P68" s="5">
        <v>0.18025067094596464</v>
      </c>
      <c r="Q68" s="5">
        <v>0.77914395595274322</v>
      </c>
      <c r="R68" s="6">
        <v>5.230976427092406</v>
      </c>
    </row>
    <row r="69" spans="12:18">
      <c r="L69">
        <v>2024</v>
      </c>
      <c r="M69">
        <v>1</v>
      </c>
      <c r="N69" t="s">
        <v>61</v>
      </c>
      <c r="O69" s="4">
        <v>15934</v>
      </c>
      <c r="P69" s="5">
        <v>0.15457512237981674</v>
      </c>
      <c r="Q69" s="5">
        <v>0.80663988954437049</v>
      </c>
      <c r="R69" s="6">
        <v>6.4008226691042047</v>
      </c>
    </row>
    <row r="70" spans="12:18">
      <c r="L70">
        <v>2024</v>
      </c>
      <c r="M70">
        <v>2</v>
      </c>
      <c r="N70" t="s">
        <v>53</v>
      </c>
      <c r="O70" s="4">
        <v>127285</v>
      </c>
      <c r="P70" s="5">
        <v>0.19855442510900734</v>
      </c>
      <c r="Q70" s="5">
        <v>0.79485406764347721</v>
      </c>
      <c r="R70" s="6">
        <v>4.1192366701991361</v>
      </c>
    </row>
    <row r="71" spans="12:18">
      <c r="L71">
        <v>2024</v>
      </c>
      <c r="M71">
        <v>2</v>
      </c>
      <c r="N71" t="s">
        <v>55</v>
      </c>
      <c r="O71" s="4">
        <v>79187</v>
      </c>
      <c r="P71" s="5">
        <v>0.20269741245406442</v>
      </c>
      <c r="Q71" s="5">
        <v>0.79047065806256078</v>
      </c>
      <c r="R71" s="6">
        <v>3.8898863260687131</v>
      </c>
    </row>
    <row r="72" spans="12:18">
      <c r="L72">
        <v>2024</v>
      </c>
      <c r="M72">
        <v>2</v>
      </c>
      <c r="N72" t="s">
        <v>57</v>
      </c>
      <c r="O72" s="4">
        <v>126605</v>
      </c>
      <c r="P72" s="5">
        <v>0.15819280439161171</v>
      </c>
      <c r="Q72" s="5">
        <v>0.83372694601319064</v>
      </c>
      <c r="R72" s="6">
        <v>1.0238569221703748</v>
      </c>
    </row>
    <row r="73" spans="12:18">
      <c r="L73">
        <v>2024</v>
      </c>
      <c r="M73">
        <v>2</v>
      </c>
      <c r="N73" t="s">
        <v>59</v>
      </c>
      <c r="O73" s="4">
        <v>171646</v>
      </c>
      <c r="P73" s="5">
        <v>0.11328548291250597</v>
      </c>
      <c r="Q73" s="5">
        <v>0.87827272409493962</v>
      </c>
      <c r="R73" s="6">
        <v>-3.3494949969740948</v>
      </c>
    </row>
    <row r="74" spans="12:18">
      <c r="L74">
        <v>2024</v>
      </c>
      <c r="M74">
        <v>2</v>
      </c>
      <c r="N74" t="s">
        <v>61</v>
      </c>
      <c r="O74" s="4">
        <v>14498</v>
      </c>
      <c r="P74" s="5">
        <v>8.5460063457028557E-2</v>
      </c>
      <c r="Q74" s="5">
        <v>0.90764243343909501</v>
      </c>
      <c r="R74" s="6">
        <v>-5.5216002222530909</v>
      </c>
    </row>
    <row r="75" spans="12:18">
      <c r="L75">
        <v>2024</v>
      </c>
      <c r="M75">
        <v>3</v>
      </c>
      <c r="N75" t="s">
        <v>53</v>
      </c>
      <c r="O75" s="4">
        <v>142063</v>
      </c>
      <c r="P75" s="5">
        <v>0.26269331212208669</v>
      </c>
      <c r="Q75" s="5">
        <v>0.7255020659848096</v>
      </c>
      <c r="R75" s="6">
        <v>12.398850312709245</v>
      </c>
    </row>
    <row r="76" spans="12:18">
      <c r="L76">
        <v>2024</v>
      </c>
      <c r="M76">
        <v>3</v>
      </c>
      <c r="N76" t="s">
        <v>55</v>
      </c>
      <c r="O76" s="4">
        <v>102335</v>
      </c>
      <c r="P76" s="5">
        <v>0.28413543753359066</v>
      </c>
      <c r="Q76" s="5">
        <v>0.70163678115991601</v>
      </c>
      <c r="R76" s="6">
        <v>13.383875732312969</v>
      </c>
    </row>
    <row r="77" spans="12:18">
      <c r="L77">
        <v>2024</v>
      </c>
      <c r="M77">
        <v>3</v>
      </c>
      <c r="N77" t="s">
        <v>57</v>
      </c>
      <c r="O77" s="4">
        <v>137647</v>
      </c>
      <c r="P77" s="5">
        <v>0.20597615640006683</v>
      </c>
      <c r="Q77" s="5">
        <v>0.7833152920150821</v>
      </c>
      <c r="R77" s="6">
        <v>6.5078025746660497</v>
      </c>
    </row>
    <row r="78" spans="12:18">
      <c r="L78">
        <v>2024</v>
      </c>
      <c r="M78">
        <v>3</v>
      </c>
      <c r="N78" t="s">
        <v>59</v>
      </c>
      <c r="O78" s="4">
        <v>189526</v>
      </c>
      <c r="P78" s="5">
        <v>0.13373363021432416</v>
      </c>
      <c r="Q78" s="5">
        <v>0.85836244103711368</v>
      </c>
      <c r="R78" s="6">
        <v>-0.67109153955793821</v>
      </c>
    </row>
    <row r="79" spans="12:18">
      <c r="L79">
        <v>2024</v>
      </c>
      <c r="M79">
        <v>3</v>
      </c>
      <c r="N79" t="s">
        <v>61</v>
      </c>
      <c r="O79" s="4">
        <v>20195</v>
      </c>
      <c r="P79" s="5">
        <v>9.5964347610794754E-2</v>
      </c>
      <c r="Q79" s="5">
        <v>0.89170586778905669</v>
      </c>
      <c r="R79" s="6">
        <v>-2.1536147598515991</v>
      </c>
    </row>
    <row r="80" spans="12:18">
      <c r="L80">
        <v>2024</v>
      </c>
      <c r="M80">
        <v>3</v>
      </c>
      <c r="N80" t="s">
        <v>63</v>
      </c>
      <c r="O80" s="4">
        <v>1</v>
      </c>
      <c r="P80" s="5">
        <v>0</v>
      </c>
      <c r="Q80" s="5">
        <v>1</v>
      </c>
      <c r="R80" s="6">
        <v>-19</v>
      </c>
    </row>
    <row r="81" spans="12:18">
      <c r="L81">
        <v>2024</v>
      </c>
      <c r="M81">
        <v>4</v>
      </c>
      <c r="N81" t="s">
        <v>53</v>
      </c>
      <c r="O81" s="4">
        <v>139497</v>
      </c>
      <c r="P81" s="5">
        <v>0.24818454877165816</v>
      </c>
      <c r="Q81" s="5">
        <v>0.74098367706832402</v>
      </c>
      <c r="R81" s="6">
        <v>10.633564274636557</v>
      </c>
    </row>
    <row r="82" spans="12:18">
      <c r="L82">
        <v>2024</v>
      </c>
      <c r="M82">
        <v>4</v>
      </c>
      <c r="N82" t="s">
        <v>55</v>
      </c>
      <c r="O82" s="4">
        <v>99080</v>
      </c>
      <c r="P82" s="5">
        <v>0.25642914816310053</v>
      </c>
      <c r="Q82" s="5">
        <v>0.73404319741622936</v>
      </c>
      <c r="R82" s="6">
        <v>10.786001059753811</v>
      </c>
    </row>
    <row r="83" spans="12:18">
      <c r="L83">
        <v>2024</v>
      </c>
      <c r="M83">
        <v>4</v>
      </c>
      <c r="N83" t="s">
        <v>57</v>
      </c>
      <c r="O83" s="4">
        <v>136032</v>
      </c>
      <c r="P83" s="5">
        <v>0.18639731827805223</v>
      </c>
      <c r="Q83" s="5">
        <v>0.80453128675605745</v>
      </c>
      <c r="R83" s="6">
        <v>5.3865413433433726</v>
      </c>
    </row>
    <row r="84" spans="12:18">
      <c r="L84">
        <v>2024</v>
      </c>
      <c r="M84">
        <v>4</v>
      </c>
      <c r="N84" t="s">
        <v>59</v>
      </c>
      <c r="O84" s="4">
        <v>188924</v>
      </c>
      <c r="P84" s="5">
        <v>0.12103279625669582</v>
      </c>
      <c r="Q84" s="5">
        <v>0.87141390188647283</v>
      </c>
      <c r="R84" s="6">
        <v>-0.62443665765318912</v>
      </c>
    </row>
    <row r="85" spans="12:18">
      <c r="L85">
        <v>2024</v>
      </c>
      <c r="M85">
        <v>4</v>
      </c>
      <c r="N85" t="s">
        <v>61</v>
      </c>
      <c r="O85" s="4">
        <v>18652</v>
      </c>
      <c r="P85" s="5">
        <v>9.1035813853742223E-2</v>
      </c>
      <c r="Q85" s="5">
        <v>0.90070769890628355</v>
      </c>
      <c r="R85" s="6">
        <v>-2.2821386095794138</v>
      </c>
    </row>
    <row r="86" spans="12:18">
      <c r="L86">
        <v>2024</v>
      </c>
      <c r="M86">
        <v>5</v>
      </c>
      <c r="N86" t="s">
        <v>53</v>
      </c>
      <c r="O86" s="4">
        <v>146316</v>
      </c>
      <c r="P86" s="5">
        <v>0.34754914021706446</v>
      </c>
      <c r="Q86" s="5">
        <v>0.63228218376664203</v>
      </c>
      <c r="R86" s="6">
        <v>23.107927318383148</v>
      </c>
    </row>
    <row r="87" spans="12:18">
      <c r="L87">
        <v>2024</v>
      </c>
      <c r="M87">
        <v>5</v>
      </c>
      <c r="N87" t="s">
        <v>55</v>
      </c>
      <c r="O87" s="4">
        <v>103506</v>
      </c>
      <c r="P87" s="5">
        <v>0.36533147836840374</v>
      </c>
      <c r="Q87" s="5">
        <v>0.61311421560102797</v>
      </c>
      <c r="R87" s="6">
        <v>23.571434213774378</v>
      </c>
    </row>
    <row r="88" spans="12:18">
      <c r="L88">
        <v>2024</v>
      </c>
      <c r="M88">
        <v>5</v>
      </c>
      <c r="N88" t="s">
        <v>57</v>
      </c>
      <c r="O88" s="4">
        <v>142860</v>
      </c>
      <c r="P88" s="5">
        <v>0.25846983060338791</v>
      </c>
      <c r="Q88" s="5">
        <v>0.72470250594988095</v>
      </c>
      <c r="R88" s="6">
        <v>13.961468360198211</v>
      </c>
    </row>
    <row r="89" spans="12:18">
      <c r="L89">
        <v>2024</v>
      </c>
      <c r="M89">
        <v>5</v>
      </c>
      <c r="N89" t="s">
        <v>59</v>
      </c>
      <c r="O89" s="4">
        <v>198696</v>
      </c>
      <c r="P89" s="5">
        <v>0.15454261786850262</v>
      </c>
      <c r="Q89" s="5">
        <v>0.83242742682288517</v>
      </c>
      <c r="R89" s="6">
        <v>3.8566037928273849</v>
      </c>
    </row>
    <row r="90" spans="12:18">
      <c r="L90">
        <v>2024</v>
      </c>
      <c r="M90">
        <v>5</v>
      </c>
      <c r="N90" t="s">
        <v>61</v>
      </c>
      <c r="O90" s="4">
        <v>18365</v>
      </c>
      <c r="P90" s="5">
        <v>0.10770487340049006</v>
      </c>
      <c r="Q90" s="5">
        <v>0.87367274707323717</v>
      </c>
      <c r="R90" s="6">
        <v>7.9232092326471729E-2</v>
      </c>
    </row>
    <row r="91" spans="12:18">
      <c r="L91">
        <v>2024</v>
      </c>
      <c r="M91">
        <v>6</v>
      </c>
      <c r="N91" t="s">
        <v>53</v>
      </c>
      <c r="O91" s="4">
        <v>143452</v>
      </c>
      <c r="P91" s="5">
        <v>0.33695591556757659</v>
      </c>
      <c r="Q91" s="5">
        <v>0.64176867523631598</v>
      </c>
      <c r="R91" s="6">
        <v>21.017186609686611</v>
      </c>
    </row>
    <row r="92" spans="12:18">
      <c r="L92">
        <v>2024</v>
      </c>
      <c r="M92">
        <v>6</v>
      </c>
      <c r="N92" t="s">
        <v>55</v>
      </c>
      <c r="O92" s="4">
        <v>110086</v>
      </c>
      <c r="P92" s="5">
        <v>0.36114492306015294</v>
      </c>
      <c r="Q92" s="5">
        <v>0.61547335719346696</v>
      </c>
      <c r="R92" s="6">
        <v>22.583153508445569</v>
      </c>
    </row>
    <row r="93" spans="12:18">
      <c r="L93">
        <v>2024</v>
      </c>
      <c r="M93">
        <v>6</v>
      </c>
      <c r="N93" t="s">
        <v>57</v>
      </c>
      <c r="O93" s="4">
        <v>140746</v>
      </c>
      <c r="P93" s="5">
        <v>0.2336762678868316</v>
      </c>
      <c r="Q93" s="5">
        <v>0.75310843647421599</v>
      </c>
      <c r="R93" s="6">
        <v>10.188564722146221</v>
      </c>
    </row>
    <row r="94" spans="12:18">
      <c r="L94">
        <v>2024</v>
      </c>
      <c r="M94">
        <v>6</v>
      </c>
      <c r="N94" t="s">
        <v>59</v>
      </c>
      <c r="O94" s="4">
        <v>195912</v>
      </c>
      <c r="P94" s="5">
        <v>0.13748519743558332</v>
      </c>
      <c r="Q94" s="5">
        <v>0.85175486953325985</v>
      </c>
      <c r="R94" s="6">
        <v>1.7005582960104022</v>
      </c>
    </row>
    <row r="95" spans="12:18">
      <c r="L95">
        <v>2024</v>
      </c>
      <c r="M95">
        <v>6</v>
      </c>
      <c r="N95" t="s">
        <v>61</v>
      </c>
      <c r="O95" s="4">
        <v>20936</v>
      </c>
      <c r="P95" s="5">
        <v>9.6818876576232324E-2</v>
      </c>
      <c r="Q95" s="5">
        <v>0.89047573557508597</v>
      </c>
      <c r="R95" s="6">
        <v>-1.163473633284954</v>
      </c>
    </row>
    <row r="96" spans="12:18">
      <c r="L96">
        <v>2024</v>
      </c>
      <c r="M96">
        <v>7</v>
      </c>
      <c r="N96" t="s">
        <v>53</v>
      </c>
      <c r="O96" s="4">
        <v>147763</v>
      </c>
      <c r="P96" s="5">
        <v>0.39335963671555124</v>
      </c>
      <c r="Q96" s="5">
        <v>0.57224068271488804</v>
      </c>
      <c r="R96" s="6">
        <v>28.978728623493133</v>
      </c>
    </row>
    <row r="97" spans="12:18">
      <c r="L97">
        <v>2024</v>
      </c>
      <c r="M97">
        <v>7</v>
      </c>
      <c r="N97" t="s">
        <v>55</v>
      </c>
      <c r="O97" s="4">
        <v>113422</v>
      </c>
      <c r="P97" s="5">
        <v>0.42676024051771261</v>
      </c>
      <c r="Q97" s="5">
        <v>0.52788700604820937</v>
      </c>
      <c r="R97" s="6">
        <v>33.188884168529157</v>
      </c>
    </row>
    <row r="98" spans="12:18">
      <c r="L98">
        <v>2024</v>
      </c>
      <c r="M98">
        <v>7</v>
      </c>
      <c r="N98" t="s">
        <v>57</v>
      </c>
      <c r="O98" s="4">
        <v>146993</v>
      </c>
      <c r="P98" s="5">
        <v>0.26874749137714044</v>
      </c>
      <c r="Q98" s="5">
        <v>0.70384984318981181</v>
      </c>
      <c r="R98" s="6">
        <v>15.116790822928689</v>
      </c>
    </row>
    <row r="99" spans="12:18">
      <c r="L99">
        <v>2024</v>
      </c>
      <c r="M99">
        <v>7</v>
      </c>
      <c r="N99" t="s">
        <v>59</v>
      </c>
      <c r="O99" s="4">
        <v>204902</v>
      </c>
      <c r="P99" s="5">
        <v>0.16170169154034611</v>
      </c>
      <c r="Q99" s="5">
        <v>0.81047037120184284</v>
      </c>
      <c r="R99" s="6">
        <v>5.680612449799197</v>
      </c>
    </row>
    <row r="100" spans="12:18">
      <c r="L100">
        <v>2024</v>
      </c>
      <c r="M100">
        <v>7</v>
      </c>
      <c r="N100" t="s">
        <v>61</v>
      </c>
      <c r="O100" s="4">
        <v>21533</v>
      </c>
      <c r="P100" s="5">
        <v>0.12538893790925557</v>
      </c>
      <c r="Q100" s="5">
        <v>0.84126689267635724</v>
      </c>
      <c r="R100" s="6">
        <v>4.155897189526784</v>
      </c>
    </row>
    <row r="101" spans="12:18">
      <c r="L101">
        <v>2024</v>
      </c>
      <c r="M101">
        <v>8</v>
      </c>
      <c r="N101" t="s">
        <v>53</v>
      </c>
      <c r="O101" s="4">
        <v>147986</v>
      </c>
      <c r="P101" s="5">
        <v>0.31859094779235875</v>
      </c>
      <c r="Q101" s="5">
        <v>0.65018988282675383</v>
      </c>
      <c r="R101" s="6">
        <v>19.901796799799115</v>
      </c>
    </row>
    <row r="102" spans="12:18">
      <c r="L102">
        <v>2024</v>
      </c>
      <c r="M102">
        <v>8</v>
      </c>
      <c r="N102" t="s">
        <v>55</v>
      </c>
      <c r="O102" s="4">
        <v>101423</v>
      </c>
      <c r="P102" s="5">
        <v>0.33390848229691489</v>
      </c>
      <c r="Q102" s="5">
        <v>0.63106001597270833</v>
      </c>
      <c r="R102" s="6">
        <v>21.363236946970471</v>
      </c>
    </row>
    <row r="103" spans="12:18">
      <c r="L103">
        <v>2024</v>
      </c>
      <c r="M103">
        <v>8</v>
      </c>
      <c r="N103" t="s">
        <v>57</v>
      </c>
      <c r="O103" s="4">
        <v>148213</v>
      </c>
      <c r="P103" s="5">
        <v>0.21807803633959236</v>
      </c>
      <c r="Q103" s="5">
        <v>0.76272661642366057</v>
      </c>
      <c r="R103" s="6">
        <v>9.1057247812448399</v>
      </c>
    </row>
    <row r="104" spans="12:18">
      <c r="L104">
        <v>2024</v>
      </c>
      <c r="M104">
        <v>8</v>
      </c>
      <c r="N104" t="s">
        <v>59</v>
      </c>
      <c r="O104" s="4">
        <v>203144</v>
      </c>
      <c r="P104" s="5">
        <v>0.13148308588981214</v>
      </c>
      <c r="Q104" s="5">
        <v>0.8519326192257709</v>
      </c>
      <c r="R104" s="6">
        <v>0.71060943561506695</v>
      </c>
    </row>
    <row r="105" spans="12:18">
      <c r="L105">
        <v>2024</v>
      </c>
      <c r="M105">
        <v>8</v>
      </c>
      <c r="N105" t="s">
        <v>61</v>
      </c>
      <c r="O105" s="4">
        <v>18259</v>
      </c>
      <c r="P105" s="5">
        <v>9.6774193548387094E-2</v>
      </c>
      <c r="Q105" s="5">
        <v>0.88487868996111507</v>
      </c>
      <c r="R105" s="6">
        <v>-0.6471769694264673</v>
      </c>
    </row>
    <row r="106" spans="12:18">
      <c r="L106">
        <v>2024</v>
      </c>
      <c r="M106">
        <v>9</v>
      </c>
      <c r="N106" t="s">
        <v>53</v>
      </c>
      <c r="O106" s="4">
        <v>140939</v>
      </c>
      <c r="P106" s="5">
        <v>0.20999865189904851</v>
      </c>
      <c r="Q106" s="5">
        <v>0.78301250895777608</v>
      </c>
      <c r="R106" s="6">
        <v>5.3272718178830187</v>
      </c>
    </row>
    <row r="107" spans="12:18">
      <c r="L107">
        <v>2024</v>
      </c>
      <c r="M107">
        <v>9</v>
      </c>
      <c r="N107" t="s">
        <v>55</v>
      </c>
      <c r="O107" s="4">
        <v>89128</v>
      </c>
      <c r="P107" s="5">
        <v>0.20839691230589713</v>
      </c>
      <c r="Q107" s="5">
        <v>0.78321066331568079</v>
      </c>
      <c r="R107" s="6">
        <v>5.1113826657614849</v>
      </c>
    </row>
    <row r="108" spans="12:18">
      <c r="L108">
        <v>2024</v>
      </c>
      <c r="M108">
        <v>9</v>
      </c>
      <c r="N108" t="s">
        <v>57</v>
      </c>
      <c r="O108" s="4">
        <v>144426</v>
      </c>
      <c r="P108" s="5">
        <v>0.15113622200988741</v>
      </c>
      <c r="Q108" s="5">
        <v>0.84171132621550138</v>
      </c>
      <c r="R108" s="6">
        <v>1.0227835389454158</v>
      </c>
    </row>
    <row r="109" spans="12:18">
      <c r="L109">
        <v>2024</v>
      </c>
      <c r="M109">
        <v>9</v>
      </c>
      <c r="N109" t="s">
        <v>59</v>
      </c>
      <c r="O109" s="4">
        <v>192528</v>
      </c>
      <c r="P109" s="5">
        <v>9.6801504196792149E-2</v>
      </c>
      <c r="Q109" s="5">
        <v>0.89555804869940991</v>
      </c>
      <c r="R109" s="6">
        <v>-3.5365519190608037</v>
      </c>
    </row>
    <row r="110" spans="12:18">
      <c r="L110">
        <v>2024</v>
      </c>
      <c r="M110">
        <v>9</v>
      </c>
      <c r="N110" t="s">
        <v>61</v>
      </c>
      <c r="O110" s="4">
        <v>15601</v>
      </c>
      <c r="P110" s="5">
        <v>6.6790590346772649E-2</v>
      </c>
      <c r="Q110" s="5">
        <v>0.92532529966027821</v>
      </c>
      <c r="R110" s="6">
        <v>-5.9372657966145495</v>
      </c>
    </row>
    <row r="111" spans="12:18">
      <c r="L111">
        <v>2024</v>
      </c>
      <c r="M111">
        <v>10</v>
      </c>
      <c r="N111" t="s">
        <v>53</v>
      </c>
      <c r="O111" s="4">
        <v>148555</v>
      </c>
      <c r="P111" s="5">
        <v>0.17061021170610211</v>
      </c>
      <c r="Q111" s="5">
        <v>0.81785197401635756</v>
      </c>
      <c r="R111" s="6">
        <v>1.8534945961958853</v>
      </c>
    </row>
    <row r="112" spans="12:18">
      <c r="L112">
        <v>2024</v>
      </c>
      <c r="M112">
        <v>10</v>
      </c>
      <c r="N112" t="s">
        <v>55</v>
      </c>
      <c r="O112" s="4">
        <v>97706</v>
      </c>
      <c r="P112" s="5">
        <v>0.17263013530387081</v>
      </c>
      <c r="Q112" s="5">
        <v>0.81581479131271362</v>
      </c>
      <c r="R112" s="6">
        <v>2.0909636870062229</v>
      </c>
    </row>
    <row r="113" spans="12:18">
      <c r="L113">
        <v>2024</v>
      </c>
      <c r="M113">
        <v>10</v>
      </c>
      <c r="N113" t="s">
        <v>57</v>
      </c>
      <c r="O113" s="4">
        <v>149899</v>
      </c>
      <c r="P113" s="5">
        <v>0.12872000480323417</v>
      </c>
      <c r="Q113" s="5">
        <v>0.860492731772727</v>
      </c>
      <c r="R113" s="6">
        <v>-1.1979606425594476</v>
      </c>
    </row>
    <row r="114" spans="12:18">
      <c r="L114">
        <v>2024</v>
      </c>
      <c r="M114">
        <v>10</v>
      </c>
      <c r="N114" t="s">
        <v>59</v>
      </c>
      <c r="O114" s="4">
        <v>201506</v>
      </c>
      <c r="P114" s="5">
        <v>8.7620219745317751E-2</v>
      </c>
      <c r="Q114" s="5">
        <v>0.90063323176481103</v>
      </c>
      <c r="R114" s="6">
        <v>-4.8828155208171173</v>
      </c>
    </row>
    <row r="115" spans="12:18">
      <c r="L115">
        <v>2024</v>
      </c>
      <c r="M115">
        <v>10</v>
      </c>
      <c r="N115" t="s">
        <v>61</v>
      </c>
      <c r="O115" s="4">
        <v>17831</v>
      </c>
      <c r="P115" s="5">
        <v>6.6176882956648531E-2</v>
      </c>
      <c r="Q115" s="5">
        <v>0.92507430878806574</v>
      </c>
      <c r="R115" s="6">
        <v>-5.9222630834512024</v>
      </c>
    </row>
    <row r="116" spans="12:18">
      <c r="L116">
        <v>2024</v>
      </c>
      <c r="M116">
        <v>11</v>
      </c>
      <c r="N116" t="s">
        <v>53</v>
      </c>
      <c r="O116" s="4">
        <v>137309</v>
      </c>
      <c r="P116" s="5">
        <v>0.1843724737635552</v>
      </c>
      <c r="Q116" s="5">
        <v>0.80782760052145164</v>
      </c>
      <c r="R116" s="6">
        <v>3.4108912344573468</v>
      </c>
    </row>
    <row r="117" spans="12:18">
      <c r="L117">
        <v>2024</v>
      </c>
      <c r="M117">
        <v>11</v>
      </c>
      <c r="N117" t="s">
        <v>55</v>
      </c>
      <c r="O117" s="4">
        <v>91268</v>
      </c>
      <c r="P117" s="5">
        <v>0.18643993513608276</v>
      </c>
      <c r="Q117" s="5">
        <v>0.80633957137222245</v>
      </c>
      <c r="R117" s="6">
        <v>2.9536690615722501</v>
      </c>
    </row>
    <row r="118" spans="12:18">
      <c r="L118">
        <v>2024</v>
      </c>
      <c r="M118">
        <v>11</v>
      </c>
      <c r="N118" t="s">
        <v>57</v>
      </c>
      <c r="O118" s="4">
        <v>141000</v>
      </c>
      <c r="P118" s="5">
        <v>0.14467375886524822</v>
      </c>
      <c r="Q118" s="5">
        <v>0.84917730496453903</v>
      </c>
      <c r="R118" s="6">
        <v>-0.13108975045135693</v>
      </c>
    </row>
    <row r="119" spans="12:18">
      <c r="L119">
        <v>2024</v>
      </c>
      <c r="M119">
        <v>11</v>
      </c>
      <c r="N119" t="s">
        <v>59</v>
      </c>
      <c r="O119" s="4">
        <v>187585</v>
      </c>
      <c r="P119" s="5">
        <v>0.10539755310925714</v>
      </c>
      <c r="Q119" s="5">
        <v>0.89043900098621953</v>
      </c>
      <c r="R119" s="6">
        <v>-4.1679139632984308</v>
      </c>
    </row>
    <row r="120" spans="12:18">
      <c r="L120">
        <v>2024</v>
      </c>
      <c r="M120">
        <v>11</v>
      </c>
      <c r="N120" t="s">
        <v>61</v>
      </c>
      <c r="O120" s="4">
        <v>18242</v>
      </c>
      <c r="P120" s="5">
        <v>7.6636333735336043E-2</v>
      </c>
      <c r="Q120" s="5">
        <v>0.91826554105909441</v>
      </c>
      <c r="R120" s="6">
        <v>-6.668411482726321</v>
      </c>
    </row>
    <row r="121" spans="12:18">
      <c r="L121">
        <v>2024</v>
      </c>
      <c r="M121">
        <v>12</v>
      </c>
      <c r="N121" t="s">
        <v>53</v>
      </c>
      <c r="O121" s="4">
        <v>141116</v>
      </c>
      <c r="P121" s="5">
        <v>0.25610136341733042</v>
      </c>
      <c r="Q121" s="5">
        <v>0.73422574336007251</v>
      </c>
      <c r="R121" s="6">
        <v>11.147977474222008</v>
      </c>
    </row>
    <row r="122" spans="12:18">
      <c r="L122">
        <v>2024</v>
      </c>
      <c r="M122">
        <v>12</v>
      </c>
      <c r="N122" t="s">
        <v>55</v>
      </c>
      <c r="O122" s="4">
        <v>95274</v>
      </c>
      <c r="P122" s="5">
        <v>0.26756512794676407</v>
      </c>
      <c r="Q122" s="5">
        <v>0.72023847009677355</v>
      </c>
      <c r="R122" s="6">
        <v>11.865936331179871</v>
      </c>
    </row>
    <row r="123" spans="12:18">
      <c r="L123">
        <v>2024</v>
      </c>
      <c r="M123">
        <v>12</v>
      </c>
      <c r="N123" t="s">
        <v>57</v>
      </c>
      <c r="O123" s="4">
        <v>143214</v>
      </c>
      <c r="P123" s="5">
        <v>0.20767522728224894</v>
      </c>
      <c r="Q123" s="5">
        <v>0.78390380828689932</v>
      </c>
      <c r="R123" s="6">
        <v>7.3422976170356602</v>
      </c>
    </row>
    <row r="124" spans="12:18">
      <c r="L124">
        <v>2024</v>
      </c>
      <c r="M124">
        <v>12</v>
      </c>
      <c r="N124" t="s">
        <v>59</v>
      </c>
      <c r="O124" s="4">
        <v>191288</v>
      </c>
      <c r="P124" s="5">
        <v>0.1569309104596211</v>
      </c>
      <c r="Q124" s="5">
        <v>0.83364351135460668</v>
      </c>
      <c r="R124" s="6">
        <v>2.3224001899886533</v>
      </c>
    </row>
    <row r="125" spans="12:18">
      <c r="L125">
        <v>2024</v>
      </c>
      <c r="M125">
        <v>12</v>
      </c>
      <c r="N125" t="s">
        <v>61</v>
      </c>
      <c r="O125" s="4">
        <v>19689</v>
      </c>
      <c r="P125" s="5">
        <v>0.11823861039158921</v>
      </c>
      <c r="Q125" s="5">
        <v>0.87094316623495349</v>
      </c>
      <c r="R125" s="6">
        <v>0.23254261655370712</v>
      </c>
    </row>
    <row r="126" spans="12:18">
      <c r="L126">
        <v>2025</v>
      </c>
      <c r="M126">
        <v>1</v>
      </c>
      <c r="N126" t="s">
        <v>53</v>
      </c>
      <c r="O126" s="4">
        <v>132095</v>
      </c>
      <c r="P126" s="5">
        <v>0.21323290056398803</v>
      </c>
      <c r="Q126" s="5">
        <v>0.7556682690487907</v>
      </c>
      <c r="R126" s="6">
        <v>6.7707657808996222</v>
      </c>
    </row>
    <row r="127" spans="12:18">
      <c r="L127">
        <v>2025</v>
      </c>
      <c r="M127">
        <v>1</v>
      </c>
      <c r="N127" t="s">
        <v>55</v>
      </c>
      <c r="O127" s="4">
        <v>79589</v>
      </c>
      <c r="P127" s="5">
        <v>0.21696465591978792</v>
      </c>
      <c r="Q127" s="5">
        <v>0.74367060774730176</v>
      </c>
      <c r="R127" s="6">
        <v>6.8282410798367685</v>
      </c>
    </row>
    <row r="128" spans="12:18">
      <c r="L128">
        <v>2025</v>
      </c>
      <c r="M128">
        <v>1</v>
      </c>
      <c r="N128" t="s">
        <v>57</v>
      </c>
      <c r="O128" s="4">
        <v>134301</v>
      </c>
      <c r="P128" s="5">
        <v>0.18460026358701723</v>
      </c>
      <c r="Q128" s="5">
        <v>0.78747738289364932</v>
      </c>
      <c r="R128" s="6">
        <v>4.0029260595476099</v>
      </c>
    </row>
    <row r="129" spans="12:18">
      <c r="L129">
        <v>2025</v>
      </c>
      <c r="M129">
        <v>1</v>
      </c>
      <c r="N129" t="s">
        <v>59</v>
      </c>
      <c r="O129" s="4">
        <v>178694</v>
      </c>
      <c r="P129" s="5">
        <v>0.14601497532093971</v>
      </c>
      <c r="Q129" s="5">
        <v>0.8212530918777351</v>
      </c>
      <c r="R129" s="6">
        <v>0.18778674534987996</v>
      </c>
    </row>
    <row r="130" spans="12:18">
      <c r="L130">
        <v>2025</v>
      </c>
      <c r="M130">
        <v>1</v>
      </c>
      <c r="N130" t="s">
        <v>61</v>
      </c>
      <c r="O130" s="4">
        <v>15068</v>
      </c>
      <c r="P130" s="5">
        <v>0.12018847889567295</v>
      </c>
      <c r="Q130" s="5">
        <v>0.83747013538624904</v>
      </c>
      <c r="R130" s="6">
        <v>1.2674289674289674</v>
      </c>
    </row>
    <row r="131" spans="12:18">
      <c r="L131">
        <v>2025</v>
      </c>
      <c r="M131">
        <v>2</v>
      </c>
      <c r="N131" t="s">
        <v>53</v>
      </c>
      <c r="O131" s="4">
        <v>122251</v>
      </c>
      <c r="P131" s="5">
        <v>0.24785073332733473</v>
      </c>
      <c r="Q131" s="5">
        <v>0.73522506973358093</v>
      </c>
      <c r="R131" s="6">
        <v>10.418365479023482</v>
      </c>
    </row>
    <row r="132" spans="12:18">
      <c r="L132">
        <v>2025</v>
      </c>
      <c r="M132">
        <v>2</v>
      </c>
      <c r="N132" t="s">
        <v>55</v>
      </c>
      <c r="O132" s="4">
        <v>78033</v>
      </c>
      <c r="P132" s="5">
        <v>0.24948419258518831</v>
      </c>
      <c r="Q132" s="5">
        <v>0.72806376789307092</v>
      </c>
      <c r="R132" s="6">
        <v>10.441197677010003</v>
      </c>
    </row>
    <row r="133" spans="12:18">
      <c r="L133">
        <v>2025</v>
      </c>
      <c r="M133">
        <v>2</v>
      </c>
      <c r="N133" t="s">
        <v>57</v>
      </c>
      <c r="O133" s="4">
        <v>123842</v>
      </c>
      <c r="P133" s="5">
        <v>0.20946044153033705</v>
      </c>
      <c r="Q133" s="5">
        <v>0.77612603155633797</v>
      </c>
      <c r="R133" s="6">
        <v>6.1032140721138486</v>
      </c>
    </row>
    <row r="134" spans="12:18">
      <c r="L134">
        <v>2025</v>
      </c>
      <c r="M134">
        <v>2</v>
      </c>
      <c r="N134" t="s">
        <v>59</v>
      </c>
      <c r="O134" s="4">
        <v>166143</v>
      </c>
      <c r="P134" s="5">
        <v>0.15416237819228015</v>
      </c>
      <c r="Q134" s="5">
        <v>0.83097692951252833</v>
      </c>
      <c r="R134" s="6">
        <v>0.36933172037098133</v>
      </c>
    </row>
    <row r="135" spans="12:18">
      <c r="L135">
        <v>2025</v>
      </c>
      <c r="M135">
        <v>2</v>
      </c>
      <c r="N135" t="s">
        <v>61</v>
      </c>
      <c r="O135" s="4">
        <v>14615</v>
      </c>
      <c r="P135" s="5">
        <v>0.12186110160793705</v>
      </c>
      <c r="Q135" s="5">
        <v>0.85535408826548065</v>
      </c>
      <c r="R135" s="6">
        <v>-1.0253465901134295</v>
      </c>
    </row>
    <row r="136" spans="12:18">
      <c r="L136">
        <v>2025</v>
      </c>
      <c r="M136">
        <v>3</v>
      </c>
      <c r="N136" t="s">
        <v>53</v>
      </c>
      <c r="O136" s="4">
        <v>141342</v>
      </c>
      <c r="P136" s="5">
        <v>0.25308825402215901</v>
      </c>
      <c r="Q136" s="5">
        <v>0.72909680066788363</v>
      </c>
      <c r="R136" s="6">
        <v>11.754732611075895</v>
      </c>
    </row>
    <row r="137" spans="12:18">
      <c r="L137">
        <v>2025</v>
      </c>
      <c r="M137">
        <v>3</v>
      </c>
      <c r="N137" t="s">
        <v>55</v>
      </c>
      <c r="O137" s="4">
        <v>103962</v>
      </c>
      <c r="P137" s="5">
        <v>0.25680537119332064</v>
      </c>
      <c r="Q137" s="5">
        <v>0.72636155518362477</v>
      </c>
      <c r="R137" s="6">
        <v>11.414941494149415</v>
      </c>
    </row>
    <row r="138" spans="12:18">
      <c r="L138">
        <v>2025</v>
      </c>
      <c r="M138">
        <v>3</v>
      </c>
      <c r="N138" t="s">
        <v>57</v>
      </c>
      <c r="O138" s="4">
        <v>141647</v>
      </c>
      <c r="P138" s="5">
        <v>0.19630489879771545</v>
      </c>
      <c r="Q138" s="5">
        <v>0.78922250382994341</v>
      </c>
      <c r="R138" s="6">
        <v>5.8413003144766718</v>
      </c>
    </row>
    <row r="139" spans="12:18">
      <c r="L139">
        <v>2025</v>
      </c>
      <c r="M139">
        <v>3</v>
      </c>
      <c r="N139" t="s">
        <v>59</v>
      </c>
      <c r="O139" s="4">
        <v>193696</v>
      </c>
      <c r="P139" s="5">
        <v>0.12403973236411697</v>
      </c>
      <c r="Q139" s="5">
        <v>0.86554704278869987</v>
      </c>
      <c r="R139" s="6">
        <v>-1.5797192180677069</v>
      </c>
    </row>
    <row r="140" spans="12:18">
      <c r="L140">
        <v>2025</v>
      </c>
      <c r="M140">
        <v>3</v>
      </c>
      <c r="N140" t="s">
        <v>61</v>
      </c>
      <c r="O140" s="4">
        <v>20225</v>
      </c>
      <c r="P140" s="5">
        <v>8.563658838071693E-2</v>
      </c>
      <c r="Q140" s="5">
        <v>0.90269468479604453</v>
      </c>
      <c r="R140" s="6">
        <v>-4.1151633398369105</v>
      </c>
    </row>
    <row r="141" spans="12:18">
      <c r="L141">
        <v>2025</v>
      </c>
      <c r="M141">
        <v>4</v>
      </c>
      <c r="N141" t="s">
        <v>53</v>
      </c>
      <c r="O141" s="4">
        <v>138536</v>
      </c>
      <c r="P141" s="5">
        <v>0.25485072472137205</v>
      </c>
      <c r="Q141" s="5">
        <v>0.73445891320667556</v>
      </c>
      <c r="R141" s="6">
        <v>11.22288862135639</v>
      </c>
    </row>
    <row r="142" spans="12:18">
      <c r="L142">
        <v>2025</v>
      </c>
      <c r="M142">
        <v>4</v>
      </c>
      <c r="N142" t="s">
        <v>55</v>
      </c>
      <c r="O142" s="4">
        <v>98198</v>
      </c>
      <c r="P142" s="5">
        <v>0.25542271736695249</v>
      </c>
      <c r="Q142" s="5">
        <v>0.73275423124707229</v>
      </c>
      <c r="R142" s="6">
        <v>10.376876861403382</v>
      </c>
    </row>
    <row r="143" spans="12:18">
      <c r="L143">
        <v>2025</v>
      </c>
      <c r="M143">
        <v>4</v>
      </c>
      <c r="N143" t="s">
        <v>57</v>
      </c>
      <c r="O143" s="4">
        <v>137696</v>
      </c>
      <c r="P143" s="5">
        <v>0.19550313734603764</v>
      </c>
      <c r="Q143" s="5">
        <v>0.79432953753195445</v>
      </c>
      <c r="R143" s="6">
        <v>5.8468773845160529</v>
      </c>
    </row>
    <row r="144" spans="12:18">
      <c r="L144">
        <v>2025</v>
      </c>
      <c r="M144">
        <v>4</v>
      </c>
      <c r="N144" t="s">
        <v>59</v>
      </c>
      <c r="O144" s="4">
        <v>189922</v>
      </c>
      <c r="P144" s="5">
        <v>0.12819473257442529</v>
      </c>
      <c r="Q144" s="5">
        <v>0.86166426217078596</v>
      </c>
      <c r="R144" s="6">
        <v>-0.17961552373454753</v>
      </c>
    </row>
    <row r="145" spans="12:18">
      <c r="L145">
        <v>2025</v>
      </c>
      <c r="M145">
        <v>4</v>
      </c>
      <c r="N145" t="s">
        <v>61</v>
      </c>
      <c r="O145" s="4">
        <v>19598</v>
      </c>
      <c r="P145" s="5">
        <v>9.9448923359526487E-2</v>
      </c>
      <c r="Q145" s="5">
        <v>0.88769262169609142</v>
      </c>
      <c r="R145" s="6">
        <v>-1.8511837072263</v>
      </c>
    </row>
    <row r="146" spans="12:18">
      <c r="L146">
        <v>2025</v>
      </c>
      <c r="M146">
        <v>5</v>
      </c>
      <c r="N146" t="s">
        <v>53</v>
      </c>
      <c r="O146" s="4">
        <v>144175</v>
      </c>
      <c r="P146" s="5">
        <v>0.32672793480145657</v>
      </c>
      <c r="Q146" s="5">
        <v>0.65571701057742326</v>
      </c>
      <c r="R146" s="6">
        <v>19.787205952952473</v>
      </c>
    </row>
    <row r="147" spans="12:18">
      <c r="L147">
        <v>2025</v>
      </c>
      <c r="M147">
        <v>5</v>
      </c>
      <c r="N147" t="s">
        <v>55</v>
      </c>
      <c r="O147" s="4">
        <v>100555</v>
      </c>
      <c r="P147" s="5">
        <v>0.32419074138531151</v>
      </c>
      <c r="Q147" s="5">
        <v>0.65725225001243104</v>
      </c>
      <c r="R147" s="6">
        <v>19.009474206851827</v>
      </c>
    </row>
    <row r="148" spans="12:18">
      <c r="L148">
        <v>2025</v>
      </c>
      <c r="M148">
        <v>5</v>
      </c>
      <c r="N148" t="s">
        <v>57</v>
      </c>
      <c r="O148" s="4">
        <v>143664</v>
      </c>
      <c r="P148" s="5">
        <v>0.22743345584140773</v>
      </c>
      <c r="Q148" s="5">
        <v>0.76075425993985968</v>
      </c>
      <c r="R148" s="6">
        <v>9.410926482915043</v>
      </c>
    </row>
    <row r="149" spans="12:18">
      <c r="L149">
        <v>2025</v>
      </c>
      <c r="M149">
        <v>5</v>
      </c>
      <c r="N149" t="s">
        <v>59</v>
      </c>
      <c r="O149" s="4">
        <v>197692</v>
      </c>
      <c r="P149" s="5">
        <v>0.1365912631770633</v>
      </c>
      <c r="Q149" s="5">
        <v>0.85466280881371026</v>
      </c>
      <c r="R149" s="6">
        <v>0.63674265039828948</v>
      </c>
    </row>
    <row r="150" spans="12:18">
      <c r="L150">
        <v>2025</v>
      </c>
      <c r="M150">
        <v>5</v>
      </c>
      <c r="N150" t="s">
        <v>61</v>
      </c>
      <c r="O150" s="4">
        <v>19562</v>
      </c>
      <c r="P150" s="5">
        <v>8.4653920866987017E-2</v>
      </c>
      <c r="Q150" s="5">
        <v>0.90251508025764238</v>
      </c>
      <c r="R150" s="6">
        <v>-2.651856454870281</v>
      </c>
    </row>
    <row r="151" spans="12:18">
      <c r="L151">
        <v>2025</v>
      </c>
      <c r="M151">
        <v>6</v>
      </c>
      <c r="N151" t="s">
        <v>53</v>
      </c>
      <c r="O151" s="4">
        <v>142565</v>
      </c>
      <c r="P151" s="5">
        <v>0.4012836250131519</v>
      </c>
      <c r="Q151" s="5">
        <v>0.57309998947848351</v>
      </c>
      <c r="R151" s="6">
        <v>29.083692670952324</v>
      </c>
    </row>
    <row r="152" spans="12:18">
      <c r="L152">
        <v>2025</v>
      </c>
      <c r="M152">
        <v>6</v>
      </c>
      <c r="N152" t="s">
        <v>55</v>
      </c>
      <c r="O152" s="4">
        <v>109425</v>
      </c>
      <c r="P152" s="5">
        <v>0.40245830477496003</v>
      </c>
      <c r="Q152" s="5">
        <v>0.5663331048663468</v>
      </c>
      <c r="R152" s="6">
        <v>28.255041977171963</v>
      </c>
    </row>
    <row r="153" spans="12:18">
      <c r="L153">
        <v>2025</v>
      </c>
      <c r="M153">
        <v>6</v>
      </c>
      <c r="N153" t="s">
        <v>57</v>
      </c>
      <c r="O153" s="4">
        <v>141518</v>
      </c>
      <c r="P153" s="5">
        <v>0.2705097584759536</v>
      </c>
      <c r="Q153" s="5">
        <v>0.71386678726381092</v>
      </c>
      <c r="R153" s="6">
        <v>14.078840259283453</v>
      </c>
    </row>
    <row r="154" spans="12:18">
      <c r="L154">
        <v>2025</v>
      </c>
      <c r="M154">
        <v>6</v>
      </c>
      <c r="N154" t="s">
        <v>59</v>
      </c>
      <c r="O154" s="4">
        <v>197036</v>
      </c>
      <c r="P154" s="5">
        <v>0.14162894090420025</v>
      </c>
      <c r="Q154" s="5">
        <v>0.8460636634929658</v>
      </c>
      <c r="R154" s="6">
        <v>1.8564366865182338</v>
      </c>
    </row>
    <row r="155" spans="12:18">
      <c r="L155">
        <v>2025</v>
      </c>
      <c r="M155">
        <v>6</v>
      </c>
      <c r="N155" t="s">
        <v>61</v>
      </c>
      <c r="O155" s="4">
        <v>21031</v>
      </c>
      <c r="P155" s="5">
        <v>9.3623698350054685E-2</v>
      </c>
      <c r="Q155" s="5">
        <v>0.88735675906994438</v>
      </c>
      <c r="R155" s="6">
        <v>-0.52256313314914449</v>
      </c>
    </row>
    <row r="156" spans="12:18">
      <c r="L156">
        <v>2025</v>
      </c>
      <c r="M156">
        <v>7</v>
      </c>
      <c r="N156" t="s">
        <v>53</v>
      </c>
      <c r="O156" s="4">
        <v>146468</v>
      </c>
      <c r="P156" s="5">
        <v>0.40824616981183603</v>
      </c>
      <c r="Q156" s="5">
        <v>0.55120572411721336</v>
      </c>
      <c r="R156" s="6">
        <v>33.063837357413774</v>
      </c>
    </row>
    <row r="157" spans="12:18">
      <c r="L157">
        <v>2025</v>
      </c>
      <c r="M157">
        <v>7</v>
      </c>
      <c r="N157" t="s">
        <v>55</v>
      </c>
      <c r="O157" s="4">
        <v>111769</v>
      </c>
      <c r="P157" s="5">
        <v>0.40809168910878685</v>
      </c>
      <c r="Q157" s="5">
        <v>0.54307545025901638</v>
      </c>
      <c r="R157" s="6">
        <v>31.453104570552437</v>
      </c>
    </row>
    <row r="158" spans="12:18">
      <c r="L158">
        <v>2025</v>
      </c>
      <c r="M158">
        <v>7</v>
      </c>
      <c r="N158" t="s">
        <v>57</v>
      </c>
      <c r="O158" s="4">
        <v>146746</v>
      </c>
      <c r="P158" s="5">
        <v>0.27338394232210761</v>
      </c>
      <c r="Q158" s="5">
        <v>0.70458479277118291</v>
      </c>
      <c r="R158" s="6">
        <v>15.281584246723293</v>
      </c>
    </row>
    <row r="159" spans="12:18">
      <c r="L159">
        <v>2025</v>
      </c>
      <c r="M159">
        <v>7</v>
      </c>
      <c r="N159" t="s">
        <v>59</v>
      </c>
      <c r="O159" s="4">
        <v>204926</v>
      </c>
      <c r="P159" s="5">
        <v>0.14403735982744992</v>
      </c>
      <c r="Q159" s="5">
        <v>0.83874666952948873</v>
      </c>
      <c r="R159" s="6">
        <v>2.3292237261541824</v>
      </c>
    </row>
    <row r="160" spans="12:18">
      <c r="L160">
        <v>2025</v>
      </c>
      <c r="M160">
        <v>7</v>
      </c>
      <c r="N160" t="s">
        <v>61</v>
      </c>
      <c r="O160" s="4">
        <v>21518</v>
      </c>
      <c r="P160" s="5">
        <v>9.150478669021285E-2</v>
      </c>
      <c r="Q160" s="5">
        <v>0.88716423459429317</v>
      </c>
      <c r="R160" s="6">
        <v>-1.1413172515314118</v>
      </c>
    </row>
    <row r="161" spans="12:18">
      <c r="L161">
        <v>2025</v>
      </c>
      <c r="M161">
        <v>7</v>
      </c>
      <c r="N161" t="s">
        <v>63</v>
      </c>
      <c r="O161" s="4">
        <v>1</v>
      </c>
      <c r="P161" s="5">
        <v>1</v>
      </c>
      <c r="Q161" s="5">
        <v>0</v>
      </c>
      <c r="R161" s="6">
        <v>1451</v>
      </c>
    </row>
    <row r="162" spans="12:18">
      <c r="L162">
        <v>2025</v>
      </c>
      <c r="M162">
        <v>8</v>
      </c>
      <c r="N162" t="s">
        <v>53</v>
      </c>
      <c r="O162" s="4">
        <v>143525</v>
      </c>
      <c r="P162" s="5">
        <v>0.31597282703361784</v>
      </c>
      <c r="Q162" s="5">
        <v>0.66577948092666783</v>
      </c>
      <c r="R162" s="6">
        <v>18.694704270932395</v>
      </c>
    </row>
    <row r="163" spans="12:18">
      <c r="L163">
        <v>2025</v>
      </c>
      <c r="M163">
        <v>8</v>
      </c>
      <c r="N163" t="s">
        <v>55</v>
      </c>
      <c r="O163" s="4">
        <v>96517</v>
      </c>
      <c r="P163" s="5">
        <v>0.31006972864883908</v>
      </c>
      <c r="Q163" s="5">
        <v>0.67231679393267507</v>
      </c>
      <c r="R163" s="6">
        <v>17.2506618011538</v>
      </c>
    </row>
    <row r="164" spans="12:18">
      <c r="L164">
        <v>2025</v>
      </c>
      <c r="M164">
        <v>8</v>
      </c>
      <c r="N164" t="s">
        <v>57</v>
      </c>
      <c r="O164" s="4">
        <v>144479</v>
      </c>
      <c r="P164" s="5">
        <v>0.21661971636016306</v>
      </c>
      <c r="Q164" s="5">
        <v>0.77022266211698587</v>
      </c>
      <c r="R164" s="6">
        <v>8.2590862545413746</v>
      </c>
    </row>
    <row r="165" spans="12:18">
      <c r="L165">
        <v>2025</v>
      </c>
      <c r="M165">
        <v>8</v>
      </c>
      <c r="N165" t="s">
        <v>59</v>
      </c>
      <c r="O165" s="4">
        <v>201137</v>
      </c>
      <c r="P165" s="5">
        <v>0.12886738889413682</v>
      </c>
      <c r="Q165" s="5">
        <v>0.86019479260404597</v>
      </c>
      <c r="R165" s="6">
        <v>0.41349774049070809</v>
      </c>
    </row>
    <row r="166" spans="12:18">
      <c r="L166">
        <v>2025</v>
      </c>
      <c r="M166">
        <v>8</v>
      </c>
      <c r="N166" t="s">
        <v>61</v>
      </c>
      <c r="O166" s="4">
        <v>16720</v>
      </c>
      <c r="P166" s="5">
        <v>8.5287081339712925E-2</v>
      </c>
      <c r="Q166" s="5">
        <v>0.90125598086124403</v>
      </c>
      <c r="R166" s="6">
        <v>-2.5626553501060929</v>
      </c>
    </row>
    <row r="167" spans="12:18">
      <c r="L167">
        <v>2025</v>
      </c>
      <c r="M167">
        <v>9</v>
      </c>
      <c r="N167" t="s">
        <v>53</v>
      </c>
      <c r="O167" s="4">
        <v>135610</v>
      </c>
      <c r="P167" s="5">
        <v>0.24111791165843227</v>
      </c>
      <c r="Q167" s="5">
        <v>0.74928840056043067</v>
      </c>
      <c r="R167" s="6">
        <v>9.0109746926862684</v>
      </c>
    </row>
    <row r="168" spans="12:18">
      <c r="L168">
        <v>2025</v>
      </c>
      <c r="M168">
        <v>9</v>
      </c>
      <c r="N168" t="s">
        <v>55</v>
      </c>
      <c r="O168" s="4">
        <v>84654</v>
      </c>
      <c r="P168" s="5">
        <v>0.21985966404422708</v>
      </c>
      <c r="Q168" s="5">
        <v>0.77091454627070188</v>
      </c>
      <c r="R168" s="6">
        <v>6.2142644235928133</v>
      </c>
    </row>
    <row r="169" spans="12:18">
      <c r="L169">
        <v>2025</v>
      </c>
      <c r="M169">
        <v>9</v>
      </c>
      <c r="N169" t="s">
        <v>57</v>
      </c>
      <c r="O169" s="4">
        <v>137275</v>
      </c>
      <c r="P169" s="5">
        <v>0.16219996357676197</v>
      </c>
      <c r="Q169" s="5">
        <v>0.83037698051356768</v>
      </c>
      <c r="R169" s="6">
        <v>2.4313970129536533</v>
      </c>
    </row>
    <row r="170" spans="12:18">
      <c r="L170">
        <v>2025</v>
      </c>
      <c r="M170">
        <v>9</v>
      </c>
      <c r="N170" t="s">
        <v>59</v>
      </c>
      <c r="O170" s="4">
        <v>190678</v>
      </c>
      <c r="P170" s="5">
        <v>9.6807182789834176E-2</v>
      </c>
      <c r="Q170" s="5">
        <v>0.89824206253474448</v>
      </c>
      <c r="R170" s="6">
        <v>-3.568174391516544</v>
      </c>
    </row>
    <row r="171" spans="12:18">
      <c r="L171">
        <v>2025</v>
      </c>
      <c r="M171">
        <v>9</v>
      </c>
      <c r="N171" t="s">
        <v>61</v>
      </c>
      <c r="O171" s="4">
        <v>14222</v>
      </c>
      <c r="P171" s="5">
        <v>5.7938405287582616E-2</v>
      </c>
      <c r="Q171" s="5">
        <v>0.93749121080016873</v>
      </c>
      <c r="R171" s="6">
        <v>-6.5355654446563536</v>
      </c>
    </row>
    <row r="172" spans="12:18">
      <c r="L172">
        <v>2025</v>
      </c>
      <c r="M172">
        <v>10</v>
      </c>
      <c r="N172" t="s">
        <v>53</v>
      </c>
      <c r="O172" s="4">
        <v>145144</v>
      </c>
      <c r="P172" s="5">
        <v>0.27746238218596703</v>
      </c>
      <c r="Q172" s="5">
        <v>0.71315383343438243</v>
      </c>
      <c r="R172" s="6">
        <v>12.129216452685315</v>
      </c>
    </row>
    <row r="173" spans="12:18">
      <c r="L173">
        <v>2025</v>
      </c>
      <c r="M173">
        <v>10</v>
      </c>
      <c r="N173" t="s">
        <v>55</v>
      </c>
      <c r="O173" s="4">
        <v>95997</v>
      </c>
      <c r="P173" s="5">
        <v>0.27302936550100526</v>
      </c>
      <c r="Q173" s="5">
        <v>0.71748075460691485</v>
      </c>
      <c r="R173" s="6">
        <v>11.258250425930211</v>
      </c>
    </row>
    <row r="174" spans="12:18">
      <c r="L174">
        <v>2025</v>
      </c>
      <c r="M174">
        <v>10</v>
      </c>
      <c r="N174" t="s">
        <v>57</v>
      </c>
      <c r="O174" s="4">
        <v>145529</v>
      </c>
      <c r="P174" s="5">
        <v>0.20449532395605</v>
      </c>
      <c r="Q174" s="5">
        <v>0.78918291199692159</v>
      </c>
      <c r="R174" s="6">
        <v>6.0802301378199139</v>
      </c>
    </row>
    <row r="175" spans="12:18">
      <c r="L175">
        <v>2025</v>
      </c>
      <c r="M175">
        <v>10</v>
      </c>
      <c r="N175" t="s">
        <v>59</v>
      </c>
      <c r="O175" s="4">
        <v>202652</v>
      </c>
      <c r="P175" s="5">
        <v>0.12274243530781832</v>
      </c>
      <c r="Q175" s="5">
        <v>0.87226378224739953</v>
      </c>
      <c r="R175" s="6">
        <v>-1.2217714739139061</v>
      </c>
    </row>
    <row r="176" spans="12:18">
      <c r="L176">
        <v>2025</v>
      </c>
      <c r="M176">
        <v>10</v>
      </c>
      <c r="N176" t="s">
        <v>61</v>
      </c>
      <c r="O176" s="4">
        <v>16522</v>
      </c>
      <c r="P176" s="5">
        <v>6.8696283742888276E-2</v>
      </c>
      <c r="Q176" s="5">
        <v>0.92712746640842514</v>
      </c>
      <c r="R176" s="6">
        <v>-5.3039567252172857</v>
      </c>
    </row>
    <row r="177" spans="12:18">
      <c r="L177">
        <v>2025</v>
      </c>
      <c r="M177">
        <v>11</v>
      </c>
      <c r="N177" t="s">
        <v>53</v>
      </c>
      <c r="O177" s="4">
        <v>135414</v>
      </c>
      <c r="P177" s="5">
        <v>0.26229193436424592</v>
      </c>
      <c r="Q177" s="5">
        <v>0.7064262188547713</v>
      </c>
      <c r="R177" s="6">
        <v>13.144208632545091</v>
      </c>
    </row>
    <row r="178" spans="12:18">
      <c r="L178">
        <v>2025</v>
      </c>
      <c r="M178">
        <v>11</v>
      </c>
      <c r="N178" t="s">
        <v>55</v>
      </c>
      <c r="O178" s="4">
        <v>90349</v>
      </c>
      <c r="P178" s="5">
        <v>0.26387674462362615</v>
      </c>
      <c r="Q178" s="5">
        <v>0.70444609237512312</v>
      </c>
      <c r="R178" s="6">
        <v>12.130705133334095</v>
      </c>
    </row>
    <row r="179" spans="12:18">
      <c r="L179">
        <v>2025</v>
      </c>
      <c r="M179">
        <v>11</v>
      </c>
      <c r="N179" t="s">
        <v>57</v>
      </c>
      <c r="O179" s="4">
        <v>137649</v>
      </c>
      <c r="P179" s="5">
        <v>0.2031907242333762</v>
      </c>
      <c r="Q179" s="5">
        <v>0.77316943820877737</v>
      </c>
      <c r="R179" s="6">
        <v>6.939067673648573</v>
      </c>
    </row>
    <row r="180" spans="12:18">
      <c r="L180">
        <v>2025</v>
      </c>
      <c r="M180">
        <v>11</v>
      </c>
      <c r="N180" t="s">
        <v>59</v>
      </c>
      <c r="O180" s="4">
        <v>189731</v>
      </c>
      <c r="P180" s="5">
        <v>0.13376833516926595</v>
      </c>
      <c r="Q180" s="5">
        <v>0.84206060158856488</v>
      </c>
      <c r="R180" s="6">
        <v>-0.53568824434902373</v>
      </c>
    </row>
    <row r="181" spans="12:18">
      <c r="L181">
        <v>2025</v>
      </c>
      <c r="M181">
        <v>11</v>
      </c>
      <c r="N181" t="s">
        <v>61</v>
      </c>
      <c r="O181" s="4">
        <v>17407</v>
      </c>
      <c r="P181" s="5">
        <v>8.3989199747228127E-2</v>
      </c>
      <c r="Q181" s="5">
        <v>0.8978571838915379</v>
      </c>
      <c r="R181" s="6">
        <v>-4.686267626236031</v>
      </c>
    </row>
    <row r="182" spans="12:18">
      <c r="L182">
        <v>2025</v>
      </c>
      <c r="M182">
        <v>12</v>
      </c>
      <c r="N182" t="s">
        <v>53</v>
      </c>
      <c r="O182" s="4">
        <v>138480</v>
      </c>
      <c r="P182" s="5">
        <v>0.32422732524552283</v>
      </c>
      <c r="Q182" s="5">
        <v>0.6570768341998845</v>
      </c>
      <c r="R182" s="6">
        <v>18.777983825271725</v>
      </c>
    </row>
    <row r="183" spans="12:18">
      <c r="L183">
        <v>2025</v>
      </c>
      <c r="M183">
        <v>12</v>
      </c>
      <c r="N183" t="s">
        <v>55</v>
      </c>
      <c r="O183" s="4">
        <v>93091</v>
      </c>
      <c r="P183" s="5">
        <v>0.33047233352311178</v>
      </c>
      <c r="Q183" s="5">
        <v>0.64643198590626372</v>
      </c>
      <c r="R183" s="6">
        <v>19.390835816628364</v>
      </c>
    </row>
    <row r="184" spans="12:18">
      <c r="L184">
        <v>2025</v>
      </c>
      <c r="M184">
        <v>12</v>
      </c>
      <c r="N184" t="s">
        <v>57</v>
      </c>
      <c r="O184" s="4">
        <v>139368</v>
      </c>
      <c r="P184" s="5">
        <v>0.27082257046093794</v>
      </c>
      <c r="Q184" s="5">
        <v>0.71395872797198778</v>
      </c>
      <c r="R184" s="6">
        <v>13.587859843931016</v>
      </c>
    </row>
    <row r="185" spans="12:18">
      <c r="L185">
        <v>2025</v>
      </c>
      <c r="M185">
        <v>12</v>
      </c>
      <c r="N185" t="s">
        <v>59</v>
      </c>
      <c r="O185" s="4">
        <v>192566</v>
      </c>
      <c r="P185" s="5">
        <v>0.19374655962111692</v>
      </c>
      <c r="Q185" s="5">
        <v>0.78960979612184912</v>
      </c>
      <c r="R185" s="6">
        <v>6.5659349073990949</v>
      </c>
    </row>
    <row r="186" spans="12:18">
      <c r="L186">
        <v>2025</v>
      </c>
      <c r="M186">
        <v>12</v>
      </c>
      <c r="N186" t="s">
        <v>61</v>
      </c>
      <c r="O186" s="4">
        <v>18799</v>
      </c>
      <c r="P186" s="5">
        <v>0.12750678227565296</v>
      </c>
      <c r="Q186" s="5">
        <v>0.8557370072876217</v>
      </c>
      <c r="R186" s="6">
        <v>1.9239883142177019</v>
      </c>
    </row>
  </sheetData>
  <mergeCells count="2">
    <mergeCell ref="A1:U1"/>
    <mergeCell ref="A2:U2"/>
  </mergeCells>
  <pageMargins left="0.7" right="0.7" top="0.75" bottom="0.75" header="0.3" footer="0.3"/>
  <drawing r:id="rId1"/>
  <tableParts count="2">
    <tablePart r:id="rId2"/>
    <tablePart r:id="rId3"/>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P220"/>
  <sheetViews>
    <sheetView showGridLines="0" topLeftCell="A24" workbookViewId="0">
      <selection activeCell="H9" sqref="H9"/>
    </sheetView>
  </sheetViews>
  <sheetFormatPr defaultRowHeight="14.25"/>
  <cols>
    <col min="1" max="1" width="12" customWidth="1"/>
    <col min="2" max="2" width="24" customWidth="1"/>
    <col min="3" max="3" width="8" customWidth="1"/>
    <col min="4" max="4" width="14" customWidth="1"/>
    <col min="5" max="5" width="13" customWidth="1"/>
    <col min="6" max="6" width="16" customWidth="1"/>
    <col min="7" max="7" width="14" customWidth="1"/>
    <col min="8" max="8" width="20" customWidth="1"/>
    <col min="10" max="16" width="12" customWidth="1"/>
  </cols>
  <sheetData>
    <row r="1" spans="1:16" ht="30" customHeight="1">
      <c r="A1" s="57" t="s">
        <v>64</v>
      </c>
      <c r="B1" s="57"/>
      <c r="C1" s="57"/>
      <c r="D1" s="57"/>
      <c r="E1" s="57"/>
      <c r="F1" s="57"/>
      <c r="G1" s="57"/>
      <c r="H1" s="57"/>
      <c r="I1" s="57"/>
      <c r="J1" s="57"/>
      <c r="K1" s="57"/>
      <c r="L1" s="57"/>
      <c r="M1" s="57"/>
      <c r="N1" s="57"/>
      <c r="O1" s="57"/>
      <c r="P1" s="57"/>
    </row>
    <row r="2" spans="1:16" ht="30" customHeight="1">
      <c r="A2" s="58" t="s">
        <v>65</v>
      </c>
      <c r="B2" s="58"/>
      <c r="C2" s="58"/>
      <c r="D2" s="58"/>
      <c r="E2" s="58"/>
      <c r="F2" s="58"/>
      <c r="G2" s="58"/>
      <c r="H2" s="58"/>
      <c r="I2" s="58"/>
      <c r="J2" s="58"/>
      <c r="K2" s="58"/>
      <c r="L2" s="58"/>
      <c r="M2" s="58"/>
      <c r="N2" s="58"/>
      <c r="O2" s="58"/>
      <c r="P2" s="58"/>
    </row>
    <row r="4" spans="1:16" ht="15">
      <c r="A4" s="105" t="s">
        <v>66</v>
      </c>
      <c r="B4" s="105"/>
    </row>
    <row r="5" spans="1:16" ht="15">
      <c r="A5" s="34" t="s">
        <v>67</v>
      </c>
      <c r="B5" s="37" t="s">
        <v>68</v>
      </c>
    </row>
    <row r="6" spans="1:16" ht="15">
      <c r="A6" s="35" t="s">
        <v>69</v>
      </c>
      <c r="B6" s="38" t="str">
        <f>IFERROR(_xlfn.SINGLE(_xlfn.XLOOKUP($B$5, $A$15:$A$220, $B$15:$B$220)), "Not found")</f>
        <v>Evansville, IN</v>
      </c>
    </row>
    <row r="7" spans="1:16" ht="15">
      <c r="A7" s="35" t="s">
        <v>70</v>
      </c>
      <c r="B7" s="39">
        <f>IFERROR(_xlfn.SINGLE(_xlfn.XLOOKUP($B$5, $A$15:$A$220, $D$15:$D$220)), 0)</f>
        <v>5943</v>
      </c>
    </row>
    <row r="8" spans="1:16" ht="15">
      <c r="A8" s="35" t="s">
        <v>71</v>
      </c>
      <c r="B8" s="40">
        <f>IFERROR(_xlfn.SINGLE(_xlfn.XLOOKUP($B$5, $A$15:$A$220, $E$15:$E$220)), 0)</f>
        <v>0.19552414605418139</v>
      </c>
    </row>
    <row r="9" spans="1:16" ht="15">
      <c r="A9" s="35" t="s">
        <v>72</v>
      </c>
      <c r="B9" s="40">
        <f>IFERROR(_xlfn.SINGLE(_xlfn.XLOOKUP($B$5, $A$15:$A$220, $F$15:$F$220)), 0)</f>
        <v>1.4470805990240618E-2</v>
      </c>
    </row>
    <row r="10" spans="1:16" ht="15">
      <c r="A10" s="36" t="s">
        <v>73</v>
      </c>
      <c r="B10" s="41">
        <f>IFERROR(_xlfn.SINGLE(_xlfn.XLOOKUP($B$5, $A$15:$A$220, $H$15:$H$220)), 0)</f>
        <v>6.4262941378128211</v>
      </c>
    </row>
    <row r="14" spans="1:16" ht="26.1" customHeight="1">
      <c r="A14" s="1" t="s">
        <v>74</v>
      </c>
      <c r="B14" s="2" t="s">
        <v>69</v>
      </c>
      <c r="C14" s="2" t="s">
        <v>75</v>
      </c>
      <c r="D14" s="2" t="s">
        <v>70</v>
      </c>
      <c r="E14" s="2" t="s">
        <v>50</v>
      </c>
      <c r="F14" s="2" t="s">
        <v>5</v>
      </c>
      <c r="G14" s="2" t="s">
        <v>76</v>
      </c>
      <c r="H14" s="3" t="s">
        <v>51</v>
      </c>
    </row>
    <row r="15" spans="1:16">
      <c r="A15" t="s">
        <v>77</v>
      </c>
      <c r="B15" t="s">
        <v>78</v>
      </c>
      <c r="C15" t="s">
        <v>79</v>
      </c>
      <c r="D15" s="4">
        <v>22164</v>
      </c>
      <c r="E15" s="5">
        <v>0.2927269445948385</v>
      </c>
      <c r="F15" s="5">
        <v>6.6143295434037172E-2</v>
      </c>
      <c r="G15" s="5">
        <v>6.4067857787402996E-3</v>
      </c>
      <c r="H15" s="6">
        <v>21.663650515664525</v>
      </c>
    </row>
    <row r="16" spans="1:16">
      <c r="A16" t="s">
        <v>80</v>
      </c>
      <c r="B16" t="s">
        <v>81</v>
      </c>
      <c r="C16" t="s">
        <v>82</v>
      </c>
      <c r="D16" s="4">
        <v>269310</v>
      </c>
      <c r="E16" s="5">
        <v>0.26827447922468528</v>
      </c>
      <c r="F16" s="5">
        <v>1.5736511826519625E-2</v>
      </c>
      <c r="G16" s="5">
        <v>2.9705543797111135E-3</v>
      </c>
      <c r="H16" s="6">
        <v>13.318032178967124</v>
      </c>
    </row>
    <row r="17" spans="1:16">
      <c r="A17" t="s">
        <v>83</v>
      </c>
      <c r="B17" t="s">
        <v>84</v>
      </c>
      <c r="C17" t="s">
        <v>79</v>
      </c>
      <c r="D17" s="4">
        <v>10664</v>
      </c>
      <c r="E17" s="5">
        <v>0.26594148537134282</v>
      </c>
      <c r="F17" s="5">
        <v>1.4066016504126031E-2</v>
      </c>
      <c r="G17" s="5">
        <v>6.9392348087021754E-3</v>
      </c>
      <c r="H17" s="6">
        <v>16.399999999999999</v>
      </c>
    </row>
    <row r="18" spans="1:16">
      <c r="A18" t="s">
        <v>85</v>
      </c>
      <c r="B18" t="s">
        <v>86</v>
      </c>
      <c r="C18" t="s">
        <v>82</v>
      </c>
      <c r="D18" s="4">
        <v>324386</v>
      </c>
      <c r="E18" s="5">
        <v>0.26580678574291122</v>
      </c>
      <c r="F18" s="5">
        <v>1.3443860092605724E-2</v>
      </c>
      <c r="G18" s="5">
        <v>3.0858298446912011E-3</v>
      </c>
      <c r="H18" s="6">
        <v>13.491220096293695</v>
      </c>
    </row>
    <row r="19" spans="1:16">
      <c r="A19" t="s">
        <v>87</v>
      </c>
      <c r="B19" t="s">
        <v>88</v>
      </c>
      <c r="C19" t="s">
        <v>82</v>
      </c>
      <c r="D19" s="4">
        <v>29096</v>
      </c>
      <c r="E19" s="5">
        <v>0.2654660434423976</v>
      </c>
      <c r="F19" s="5">
        <v>8.3172944734671433E-3</v>
      </c>
      <c r="G19" s="5">
        <v>2.7495188342040143E-3</v>
      </c>
      <c r="H19" s="6">
        <v>13.508966428025301</v>
      </c>
    </row>
    <row r="20" spans="1:16">
      <c r="A20" t="s">
        <v>89</v>
      </c>
      <c r="B20" t="s">
        <v>90</v>
      </c>
      <c r="C20" t="s">
        <v>91</v>
      </c>
      <c r="D20" s="4">
        <v>914680</v>
      </c>
      <c r="E20" s="5">
        <v>0.26033913499803207</v>
      </c>
      <c r="F20" s="5">
        <v>2.0725280972580574E-2</v>
      </c>
      <c r="G20" s="5">
        <v>2.8917216950190231E-3</v>
      </c>
      <c r="H20" s="6">
        <v>13.440981638781832</v>
      </c>
    </row>
    <row r="21" spans="1:16">
      <c r="A21" t="s">
        <v>92</v>
      </c>
      <c r="B21" t="s">
        <v>93</v>
      </c>
      <c r="C21" t="s">
        <v>79</v>
      </c>
      <c r="D21" s="4">
        <v>7183</v>
      </c>
      <c r="E21" s="5">
        <v>0.25490742029792568</v>
      </c>
      <c r="F21" s="5">
        <v>1.7123764443825698E-2</v>
      </c>
      <c r="G21" s="5">
        <v>2.5059167478769318E-3</v>
      </c>
      <c r="H21" s="6">
        <v>12.560068162453849</v>
      </c>
      <c r="J21" s="106" t="s">
        <v>94</v>
      </c>
      <c r="K21" s="107"/>
      <c r="L21" s="107"/>
      <c r="M21" s="107"/>
      <c r="N21" s="107"/>
      <c r="O21" s="107"/>
      <c r="P21" s="108"/>
    </row>
    <row r="22" spans="1:16">
      <c r="A22" t="s">
        <v>95</v>
      </c>
      <c r="B22" t="s">
        <v>96</v>
      </c>
      <c r="C22" t="s">
        <v>82</v>
      </c>
      <c r="D22" s="4">
        <v>483970</v>
      </c>
      <c r="E22" s="5">
        <v>0.25477198999938011</v>
      </c>
      <c r="F22" s="5">
        <v>1.3878959439634688E-2</v>
      </c>
      <c r="G22" s="5">
        <v>2.4774262867533112E-3</v>
      </c>
      <c r="H22" s="6">
        <v>12.490230099946645</v>
      </c>
      <c r="J22" s="109"/>
      <c r="K22" s="110"/>
      <c r="L22" s="110"/>
      <c r="M22" s="110"/>
      <c r="N22" s="110"/>
      <c r="O22" s="110"/>
      <c r="P22" s="111"/>
    </row>
    <row r="23" spans="1:16">
      <c r="A23" t="s">
        <v>97</v>
      </c>
      <c r="B23" t="s">
        <v>98</v>
      </c>
      <c r="C23" t="s">
        <v>99</v>
      </c>
      <c r="D23" s="4">
        <v>7641</v>
      </c>
      <c r="E23" s="5">
        <v>0.25022902761418664</v>
      </c>
      <c r="F23" s="5">
        <v>1.7013479911006414E-2</v>
      </c>
      <c r="G23" s="5">
        <v>3.9261876717707105E-3</v>
      </c>
      <c r="H23" s="6">
        <v>11.728244887047186</v>
      </c>
      <c r="J23" s="112"/>
      <c r="K23" s="113"/>
      <c r="L23" s="113"/>
      <c r="M23" s="113"/>
      <c r="N23" s="113"/>
      <c r="O23" s="113"/>
      <c r="P23" s="114"/>
    </row>
    <row r="24" spans="1:16">
      <c r="A24" t="s">
        <v>100</v>
      </c>
      <c r="B24" t="s">
        <v>101</v>
      </c>
      <c r="C24" t="s">
        <v>102</v>
      </c>
      <c r="D24" s="4">
        <v>608080</v>
      </c>
      <c r="E24" s="5">
        <v>0.24520293382449679</v>
      </c>
      <c r="F24" s="5">
        <v>1.3317326667543745E-2</v>
      </c>
      <c r="G24" s="5">
        <v>2.3121957637153006E-3</v>
      </c>
      <c r="H24" s="6">
        <v>11.459164751009061</v>
      </c>
    </row>
    <row r="25" spans="1:16">
      <c r="A25" t="s">
        <v>103</v>
      </c>
      <c r="B25" t="s">
        <v>104</v>
      </c>
      <c r="C25" t="s">
        <v>79</v>
      </c>
      <c r="D25" s="4">
        <v>915316</v>
      </c>
      <c r="E25" s="5">
        <v>0.24369398109505352</v>
      </c>
      <c r="F25" s="5">
        <v>1.0876025328957432E-2</v>
      </c>
      <c r="G25" s="5">
        <v>2.7935707449667658E-3</v>
      </c>
      <c r="H25" s="6">
        <v>9.7447474756425532</v>
      </c>
    </row>
    <row r="26" spans="1:16">
      <c r="A26" t="s">
        <v>105</v>
      </c>
      <c r="B26" t="s">
        <v>106</v>
      </c>
      <c r="C26" t="s">
        <v>99</v>
      </c>
      <c r="D26" s="4">
        <v>103721</v>
      </c>
      <c r="E26" s="5">
        <v>0.24225566664417042</v>
      </c>
      <c r="F26" s="5">
        <v>1.0952459000588116E-2</v>
      </c>
      <c r="G26" s="5">
        <v>4.5988758303525806E-3</v>
      </c>
      <c r="H26" s="6">
        <v>12.291945782896541</v>
      </c>
    </row>
    <row r="27" spans="1:16">
      <c r="A27" t="s">
        <v>107</v>
      </c>
      <c r="B27" t="s">
        <v>108</v>
      </c>
      <c r="C27" t="s">
        <v>109</v>
      </c>
      <c r="D27" s="4">
        <v>13233</v>
      </c>
      <c r="E27" s="5">
        <v>0.24204639915363108</v>
      </c>
      <c r="F27" s="5">
        <v>1.6398397944532607E-2</v>
      </c>
      <c r="G27" s="5">
        <v>2.4181969319126426E-3</v>
      </c>
      <c r="H27" s="6">
        <v>13.5788662969809</v>
      </c>
    </row>
    <row r="28" spans="1:16">
      <c r="A28" t="s">
        <v>110</v>
      </c>
      <c r="B28" t="s">
        <v>111</v>
      </c>
      <c r="C28" t="s">
        <v>112</v>
      </c>
      <c r="D28" s="4">
        <v>17223</v>
      </c>
      <c r="E28" s="5">
        <v>0.23991174592115194</v>
      </c>
      <c r="F28" s="5">
        <v>1.4050978342913545E-2</v>
      </c>
      <c r="G28" s="5">
        <v>8.1867270510364056E-3</v>
      </c>
      <c r="H28" s="6">
        <v>15.502019002375297</v>
      </c>
    </row>
    <row r="29" spans="1:16">
      <c r="A29" t="s">
        <v>113</v>
      </c>
      <c r="B29" t="s">
        <v>114</v>
      </c>
      <c r="C29" t="s">
        <v>109</v>
      </c>
      <c r="D29" s="4">
        <v>7598</v>
      </c>
      <c r="E29" s="5">
        <v>0.239799947354567</v>
      </c>
      <c r="F29" s="5">
        <v>1.1318768096867597E-2</v>
      </c>
      <c r="G29" s="5">
        <v>2.237430902869176E-3</v>
      </c>
      <c r="H29" s="6">
        <v>11.910340226817878</v>
      </c>
    </row>
    <row r="30" spans="1:16">
      <c r="A30" t="s">
        <v>115</v>
      </c>
      <c r="B30" t="s">
        <v>116</v>
      </c>
      <c r="C30" t="s">
        <v>117</v>
      </c>
      <c r="D30" s="4">
        <v>290943</v>
      </c>
      <c r="E30" s="5">
        <v>0.239679249887435</v>
      </c>
      <c r="F30" s="5">
        <v>1.1827058908445985E-2</v>
      </c>
      <c r="G30" s="5">
        <v>2.0931935121312421E-3</v>
      </c>
      <c r="H30" s="6">
        <v>8.4720156992328146</v>
      </c>
    </row>
    <row r="31" spans="1:16">
      <c r="A31" t="s">
        <v>118</v>
      </c>
      <c r="B31" t="s">
        <v>119</v>
      </c>
      <c r="C31" t="s">
        <v>120</v>
      </c>
      <c r="D31" s="4">
        <v>865947</v>
      </c>
      <c r="E31" s="5">
        <v>0.23831943525412064</v>
      </c>
      <c r="F31" s="5">
        <v>1.4542460450812809E-2</v>
      </c>
      <c r="G31" s="5">
        <v>2.7253400034875112E-3</v>
      </c>
      <c r="H31" s="6">
        <v>10.225714869905076</v>
      </c>
    </row>
    <row r="32" spans="1:16">
      <c r="A32" t="s">
        <v>121</v>
      </c>
      <c r="B32" t="s">
        <v>122</v>
      </c>
      <c r="C32" t="s">
        <v>82</v>
      </c>
      <c r="D32" s="4">
        <v>87356</v>
      </c>
      <c r="E32" s="5">
        <v>0.23652639772883374</v>
      </c>
      <c r="F32" s="5">
        <v>1.6003480012821099E-2</v>
      </c>
      <c r="G32" s="5">
        <v>3.514355052887037E-3</v>
      </c>
      <c r="H32" s="6">
        <v>12.394753126058072</v>
      </c>
    </row>
    <row r="33" spans="1:8">
      <c r="A33" t="s">
        <v>123</v>
      </c>
      <c r="B33" t="s">
        <v>124</v>
      </c>
      <c r="C33" t="s">
        <v>125</v>
      </c>
      <c r="D33" s="4">
        <v>15597</v>
      </c>
      <c r="E33" s="5">
        <v>0.23318586907738667</v>
      </c>
      <c r="F33" s="5">
        <v>1.3912931974097582E-2</v>
      </c>
      <c r="G33" s="5">
        <v>2.3081361800346219E-3</v>
      </c>
      <c r="H33" s="6">
        <v>12.676942127215851</v>
      </c>
    </row>
    <row r="34" spans="1:8">
      <c r="A34" t="s">
        <v>126</v>
      </c>
      <c r="B34" t="s">
        <v>127</v>
      </c>
      <c r="C34" t="s">
        <v>128</v>
      </c>
      <c r="D34" s="4">
        <v>5142</v>
      </c>
      <c r="E34" s="5">
        <v>0.23317775184753015</v>
      </c>
      <c r="F34" s="5">
        <v>3.2672112018669777E-2</v>
      </c>
      <c r="G34" s="5">
        <v>3.6950602878257489E-3</v>
      </c>
      <c r="H34" s="6">
        <v>9.6347124117053475</v>
      </c>
    </row>
    <row r="35" spans="1:8">
      <c r="A35" t="s">
        <v>129</v>
      </c>
      <c r="B35" t="s">
        <v>130</v>
      </c>
      <c r="C35" t="s">
        <v>82</v>
      </c>
      <c r="D35" s="4">
        <v>22604</v>
      </c>
      <c r="E35" s="5">
        <v>0.23252521677579188</v>
      </c>
      <c r="F35" s="5">
        <v>1.6943903733852416E-2</v>
      </c>
      <c r="G35" s="5">
        <v>1.0396390019465582E-2</v>
      </c>
      <c r="H35" s="6">
        <v>13.689666151187119</v>
      </c>
    </row>
    <row r="36" spans="1:8">
      <c r="A36" t="s">
        <v>131</v>
      </c>
      <c r="B36" t="s">
        <v>132</v>
      </c>
      <c r="C36" t="s">
        <v>133</v>
      </c>
      <c r="D36" s="4">
        <v>563932</v>
      </c>
      <c r="E36" s="5">
        <v>0.22887511260222865</v>
      </c>
      <c r="F36" s="5">
        <v>9.4053893022563E-3</v>
      </c>
      <c r="G36" s="5">
        <v>2.9578034231077504E-3</v>
      </c>
      <c r="H36" s="6">
        <v>7.2721649669635164</v>
      </c>
    </row>
    <row r="37" spans="1:8">
      <c r="A37" t="s">
        <v>134</v>
      </c>
      <c r="B37" t="s">
        <v>135</v>
      </c>
      <c r="C37" t="s">
        <v>91</v>
      </c>
      <c r="D37" s="4">
        <v>345091</v>
      </c>
      <c r="E37" s="5">
        <v>0.22873966576931881</v>
      </c>
      <c r="F37" s="5">
        <v>1.4683083592443733E-2</v>
      </c>
      <c r="G37" s="5">
        <v>2.8398306533638953E-3</v>
      </c>
      <c r="H37" s="6">
        <v>10.733397435141162</v>
      </c>
    </row>
    <row r="38" spans="1:8">
      <c r="A38" t="s">
        <v>136</v>
      </c>
      <c r="B38" t="s">
        <v>119</v>
      </c>
      <c r="C38" t="s">
        <v>120</v>
      </c>
      <c r="D38" s="4">
        <v>238746</v>
      </c>
      <c r="E38" s="5">
        <v>0.22846037211094636</v>
      </c>
      <c r="F38" s="5">
        <v>1.2280834024444388E-2</v>
      </c>
      <c r="G38" s="5">
        <v>2.5675822841010948E-3</v>
      </c>
      <c r="H38" s="6">
        <v>6.9545495129697574</v>
      </c>
    </row>
    <row r="39" spans="1:8">
      <c r="A39" t="s">
        <v>137</v>
      </c>
      <c r="B39" t="s">
        <v>138</v>
      </c>
      <c r="C39" t="s">
        <v>139</v>
      </c>
      <c r="D39" s="4">
        <v>288225</v>
      </c>
      <c r="E39" s="5">
        <v>0.22774568479486512</v>
      </c>
      <c r="F39" s="5">
        <v>1.6955503512880561E-2</v>
      </c>
      <c r="G39" s="5">
        <v>2.5084569346864429E-3</v>
      </c>
      <c r="H39" s="6">
        <v>9.4345735364364955</v>
      </c>
    </row>
    <row r="40" spans="1:8">
      <c r="A40" t="s">
        <v>140</v>
      </c>
      <c r="B40" t="s">
        <v>141</v>
      </c>
      <c r="C40" t="s">
        <v>128</v>
      </c>
      <c r="D40" s="4">
        <v>387843</v>
      </c>
      <c r="E40" s="5">
        <v>0.22763334648298408</v>
      </c>
      <c r="F40" s="5">
        <v>2.6080140675479511E-2</v>
      </c>
      <c r="G40" s="5">
        <v>2.4803851042818873E-3</v>
      </c>
      <c r="H40" s="6">
        <v>8.025989606280822</v>
      </c>
    </row>
    <row r="41" spans="1:8">
      <c r="A41" t="s">
        <v>142</v>
      </c>
      <c r="B41" t="s">
        <v>143</v>
      </c>
      <c r="C41" t="s">
        <v>120</v>
      </c>
      <c r="D41" s="4">
        <v>12457</v>
      </c>
      <c r="E41" s="5">
        <v>0.22694067592518263</v>
      </c>
      <c r="F41" s="5">
        <v>1.7660752990286587E-2</v>
      </c>
      <c r="G41" s="5">
        <v>1.9266275989403548E-3</v>
      </c>
      <c r="H41" s="6">
        <v>12.555473675591582</v>
      </c>
    </row>
    <row r="42" spans="1:8">
      <c r="A42" t="s">
        <v>144</v>
      </c>
      <c r="B42" t="s">
        <v>145</v>
      </c>
      <c r="C42" t="s">
        <v>102</v>
      </c>
      <c r="D42" s="4">
        <v>33536</v>
      </c>
      <c r="E42" s="5">
        <v>0.22635376908396945</v>
      </c>
      <c r="F42" s="5">
        <v>2.0127624045801526E-2</v>
      </c>
      <c r="G42" s="5">
        <v>3.3695133587786259E-3</v>
      </c>
      <c r="H42" s="6">
        <v>10.824050323683888</v>
      </c>
    </row>
    <row r="43" spans="1:8">
      <c r="A43" t="s">
        <v>146</v>
      </c>
      <c r="B43" t="s">
        <v>147</v>
      </c>
      <c r="C43" t="s">
        <v>148</v>
      </c>
      <c r="D43" s="4">
        <v>9813</v>
      </c>
      <c r="E43" s="5">
        <v>0.22409049220421889</v>
      </c>
      <c r="F43" s="5">
        <v>1.834301436869459E-2</v>
      </c>
      <c r="G43" s="5">
        <v>2.0381127076327323E-3</v>
      </c>
      <c r="H43" s="6">
        <v>13.007697909081452</v>
      </c>
    </row>
    <row r="44" spans="1:8">
      <c r="A44" t="s">
        <v>149</v>
      </c>
      <c r="B44" t="s">
        <v>150</v>
      </c>
      <c r="C44" t="s">
        <v>151</v>
      </c>
      <c r="D44" s="4">
        <v>361156</v>
      </c>
      <c r="E44" s="5">
        <v>0.22398631062477156</v>
      </c>
      <c r="F44" s="5">
        <v>2.066696939826557E-2</v>
      </c>
      <c r="G44" s="5">
        <v>2.5778334016325357E-3</v>
      </c>
      <c r="H44" s="6">
        <v>5.8783904070756323</v>
      </c>
    </row>
    <row r="45" spans="1:8">
      <c r="A45" t="s">
        <v>152</v>
      </c>
      <c r="B45" t="s">
        <v>153</v>
      </c>
      <c r="C45" t="s">
        <v>154</v>
      </c>
      <c r="D45" s="4">
        <v>5687</v>
      </c>
      <c r="E45" s="5">
        <v>0.2231404958677686</v>
      </c>
      <c r="F45" s="5">
        <v>2.4265869526991383E-2</v>
      </c>
      <c r="G45" s="5">
        <v>2.8134341480569721E-3</v>
      </c>
      <c r="H45" s="6">
        <v>11.078980661485632</v>
      </c>
    </row>
    <row r="46" spans="1:8">
      <c r="A46" t="s">
        <v>155</v>
      </c>
      <c r="B46" t="s">
        <v>156</v>
      </c>
      <c r="C46" t="s">
        <v>157</v>
      </c>
      <c r="D46" s="4">
        <v>11738</v>
      </c>
      <c r="E46" s="5">
        <v>0.22303629238371103</v>
      </c>
      <c r="F46" s="5">
        <v>1.0052819901175668E-2</v>
      </c>
      <c r="G46" s="5">
        <v>2.1298347248253535E-3</v>
      </c>
      <c r="H46" s="6">
        <v>10.632427770590771</v>
      </c>
    </row>
    <row r="47" spans="1:8">
      <c r="A47" t="s">
        <v>158</v>
      </c>
      <c r="B47" t="s">
        <v>159</v>
      </c>
      <c r="C47" t="s">
        <v>154</v>
      </c>
      <c r="D47" s="4">
        <v>25852</v>
      </c>
      <c r="E47" s="5">
        <v>0.22253597400587963</v>
      </c>
      <c r="F47" s="5">
        <v>1.2223425653721183E-2</v>
      </c>
      <c r="G47" s="5">
        <v>2.3209036051369332E-3</v>
      </c>
      <c r="H47" s="6">
        <v>12.187431307897629</v>
      </c>
    </row>
    <row r="48" spans="1:8">
      <c r="A48" t="s">
        <v>160</v>
      </c>
      <c r="B48" t="s">
        <v>161</v>
      </c>
      <c r="C48" t="s">
        <v>91</v>
      </c>
      <c r="D48" s="4">
        <v>218797</v>
      </c>
      <c r="E48" s="5">
        <v>0.22227909889075262</v>
      </c>
      <c r="F48" s="5">
        <v>1.3533092318450436E-2</v>
      </c>
      <c r="G48" s="5">
        <v>2.2212370370708924E-3</v>
      </c>
      <c r="H48" s="6">
        <v>7.370364522869747</v>
      </c>
    </row>
    <row r="49" spans="1:8">
      <c r="A49" t="s">
        <v>162</v>
      </c>
      <c r="B49" t="s">
        <v>163</v>
      </c>
      <c r="C49" t="s">
        <v>164</v>
      </c>
      <c r="D49" s="4">
        <v>426866</v>
      </c>
      <c r="E49" s="5">
        <v>0.21945762838923691</v>
      </c>
      <c r="F49" s="5">
        <v>1.6422015339708478E-2</v>
      </c>
      <c r="G49" s="5">
        <v>2.7104524604911143E-3</v>
      </c>
      <c r="H49" s="6">
        <v>6.3328906923589496</v>
      </c>
    </row>
    <row r="50" spans="1:8">
      <c r="A50" t="s">
        <v>165</v>
      </c>
      <c r="B50" t="s">
        <v>166</v>
      </c>
      <c r="C50" t="s">
        <v>151</v>
      </c>
      <c r="D50" s="4">
        <v>14758</v>
      </c>
      <c r="E50" s="5">
        <v>0.21825450603062746</v>
      </c>
      <c r="F50" s="5">
        <v>1.4974928852147988E-2</v>
      </c>
      <c r="G50" s="5">
        <v>3.1169535167366851E-3</v>
      </c>
      <c r="H50" s="6">
        <v>8.2448416258367256</v>
      </c>
    </row>
    <row r="51" spans="1:8">
      <c r="A51" t="s">
        <v>167</v>
      </c>
      <c r="B51" t="s">
        <v>168</v>
      </c>
      <c r="C51" t="s">
        <v>157</v>
      </c>
      <c r="D51" s="4">
        <v>5387</v>
      </c>
      <c r="E51" s="5">
        <v>0.21811769073695936</v>
      </c>
      <c r="F51" s="5">
        <v>1.6149990718396137E-2</v>
      </c>
      <c r="G51" s="5">
        <v>3.1557453127900501E-3</v>
      </c>
      <c r="H51" s="6">
        <v>15.269922392579973</v>
      </c>
    </row>
    <row r="52" spans="1:8">
      <c r="A52" t="s">
        <v>169</v>
      </c>
      <c r="B52" t="s">
        <v>170</v>
      </c>
      <c r="C52" t="s">
        <v>171</v>
      </c>
      <c r="D52" s="4">
        <v>7070</v>
      </c>
      <c r="E52" s="5">
        <v>0.21782178217821782</v>
      </c>
      <c r="F52" s="5">
        <v>2.2065063649222064E-2</v>
      </c>
      <c r="G52" s="5">
        <v>2.9702970297029703E-3</v>
      </c>
      <c r="H52" s="6">
        <v>13.972435804439286</v>
      </c>
    </row>
    <row r="53" spans="1:8">
      <c r="A53" t="s">
        <v>172</v>
      </c>
      <c r="B53" t="s">
        <v>173</v>
      </c>
      <c r="C53" t="s">
        <v>174</v>
      </c>
      <c r="D53" s="4">
        <v>15270</v>
      </c>
      <c r="E53" s="5">
        <v>0.21755075311067454</v>
      </c>
      <c r="F53" s="5">
        <v>8.9063523248199081E-3</v>
      </c>
      <c r="G53" s="5">
        <v>1.6240995415848069E-2</v>
      </c>
      <c r="H53" s="6">
        <v>9.0836356307940349</v>
      </c>
    </row>
    <row r="54" spans="1:8">
      <c r="A54" t="s">
        <v>175</v>
      </c>
      <c r="B54" t="s">
        <v>176</v>
      </c>
      <c r="C54" t="s">
        <v>177</v>
      </c>
      <c r="D54" s="4">
        <v>6035</v>
      </c>
      <c r="E54" s="5">
        <v>0.21706710853355426</v>
      </c>
      <c r="F54" s="5">
        <v>1.6238608119304061E-2</v>
      </c>
      <c r="G54" s="5">
        <v>5.4681027340513673E-3</v>
      </c>
      <c r="H54" s="6">
        <v>13.330962059620596</v>
      </c>
    </row>
    <row r="55" spans="1:8">
      <c r="A55" t="s">
        <v>178</v>
      </c>
      <c r="B55" t="s">
        <v>179</v>
      </c>
      <c r="C55" t="s">
        <v>125</v>
      </c>
      <c r="D55" s="4">
        <v>20352</v>
      </c>
      <c r="E55" s="5">
        <v>0.21624410377358491</v>
      </c>
      <c r="F55" s="5">
        <v>1.4937106918238994E-2</v>
      </c>
      <c r="G55" s="5">
        <v>2.8989779874213834E-3</v>
      </c>
      <c r="H55" s="6">
        <v>10.714392916103858</v>
      </c>
    </row>
    <row r="56" spans="1:8">
      <c r="A56" t="s">
        <v>180</v>
      </c>
      <c r="B56" t="s">
        <v>181</v>
      </c>
      <c r="C56" t="s">
        <v>82</v>
      </c>
      <c r="D56" s="4">
        <v>25423</v>
      </c>
      <c r="E56" s="5">
        <v>0.21567084923101129</v>
      </c>
      <c r="F56" s="5">
        <v>1.1485662588994219E-2</v>
      </c>
      <c r="G56" s="5">
        <v>2.9500845690909805E-3</v>
      </c>
      <c r="H56" s="6">
        <v>7.5939096424010213</v>
      </c>
    </row>
    <row r="57" spans="1:8">
      <c r="A57" t="s">
        <v>182</v>
      </c>
      <c r="B57" t="s">
        <v>183</v>
      </c>
      <c r="C57" t="s">
        <v>157</v>
      </c>
      <c r="D57" s="4">
        <v>282525</v>
      </c>
      <c r="E57" s="5">
        <v>0.21504999557561277</v>
      </c>
      <c r="F57" s="5">
        <v>1.1421998053269622E-2</v>
      </c>
      <c r="G57" s="5">
        <v>3.1572427218830193E-3</v>
      </c>
      <c r="H57" s="6">
        <v>6.8854227279584492</v>
      </c>
    </row>
    <row r="58" spans="1:8">
      <c r="A58" t="s">
        <v>184</v>
      </c>
      <c r="B58" t="s">
        <v>185</v>
      </c>
      <c r="C58" t="s">
        <v>186</v>
      </c>
      <c r="D58" s="4">
        <v>7193</v>
      </c>
      <c r="E58" s="5">
        <v>0.21395801473654943</v>
      </c>
      <c r="F58" s="5">
        <v>9.0365633254553043E-3</v>
      </c>
      <c r="G58" s="5">
        <v>4.0316974836646742E-3</v>
      </c>
      <c r="H58" s="6">
        <v>13.291308635019016</v>
      </c>
    </row>
    <row r="59" spans="1:8">
      <c r="A59" t="s">
        <v>187</v>
      </c>
      <c r="B59" t="s">
        <v>188</v>
      </c>
      <c r="C59" t="s">
        <v>79</v>
      </c>
      <c r="D59" s="4">
        <v>7966</v>
      </c>
      <c r="E59" s="5">
        <v>0.21328144614612102</v>
      </c>
      <c r="F59" s="5">
        <v>1.1423550087873463E-2</v>
      </c>
      <c r="G59" s="5">
        <v>3.7660055234747677E-3</v>
      </c>
      <c r="H59" s="6">
        <v>10.086934353091142</v>
      </c>
    </row>
    <row r="60" spans="1:8">
      <c r="A60" t="s">
        <v>189</v>
      </c>
      <c r="B60" t="s">
        <v>190</v>
      </c>
      <c r="C60" t="s">
        <v>91</v>
      </c>
      <c r="D60" s="4">
        <v>264888</v>
      </c>
      <c r="E60" s="5">
        <v>0.21285222433632328</v>
      </c>
      <c r="F60" s="5">
        <v>1.0819667180091209E-2</v>
      </c>
      <c r="G60" s="5">
        <v>2.1631783999275164E-3</v>
      </c>
      <c r="H60" s="6">
        <v>8.7212955490363324</v>
      </c>
    </row>
    <row r="61" spans="1:8">
      <c r="A61" t="s">
        <v>191</v>
      </c>
      <c r="B61" t="s">
        <v>192</v>
      </c>
      <c r="C61" t="s">
        <v>193</v>
      </c>
      <c r="D61" s="4">
        <v>8370</v>
      </c>
      <c r="E61" s="5">
        <v>0.2127837514934289</v>
      </c>
      <c r="F61" s="5">
        <v>1.5292712066905615E-2</v>
      </c>
      <c r="G61" s="5">
        <v>2.7479091995221026E-3</v>
      </c>
      <c r="H61" s="6">
        <v>9.165835259763961</v>
      </c>
    </row>
    <row r="62" spans="1:8">
      <c r="A62" t="s">
        <v>194</v>
      </c>
      <c r="B62" t="s">
        <v>195</v>
      </c>
      <c r="C62" t="s">
        <v>196</v>
      </c>
      <c r="D62" s="4">
        <v>11010</v>
      </c>
      <c r="E62" s="5">
        <v>0.21207992733878292</v>
      </c>
      <c r="F62" s="5">
        <v>1.2988192552225249E-2</v>
      </c>
      <c r="G62" s="5">
        <v>2.4523160762942781E-3</v>
      </c>
      <c r="H62" s="6">
        <v>10.999446494464944</v>
      </c>
    </row>
    <row r="63" spans="1:8">
      <c r="A63" t="s">
        <v>197</v>
      </c>
      <c r="B63" t="s">
        <v>198</v>
      </c>
      <c r="C63" t="s">
        <v>199</v>
      </c>
      <c r="D63" s="4">
        <v>21256</v>
      </c>
      <c r="E63" s="5">
        <v>0.21198720361309747</v>
      </c>
      <c r="F63" s="5">
        <v>1.4442980805419647E-2</v>
      </c>
      <c r="G63" s="5">
        <v>2.2111403838916072E-3</v>
      </c>
      <c r="H63" s="6">
        <v>9.2982011290785564</v>
      </c>
    </row>
    <row r="64" spans="1:8">
      <c r="A64" t="s">
        <v>200</v>
      </c>
      <c r="B64" t="s">
        <v>201</v>
      </c>
      <c r="C64" t="s">
        <v>82</v>
      </c>
      <c r="D64" s="4">
        <v>20000</v>
      </c>
      <c r="E64" s="5">
        <v>0.21149999999999999</v>
      </c>
      <c r="F64" s="5">
        <v>8.8500000000000002E-3</v>
      </c>
      <c r="G64" s="5">
        <v>2.65E-3</v>
      </c>
      <c r="H64" s="6">
        <v>7.863277693474962</v>
      </c>
    </row>
    <row r="65" spans="1:8">
      <c r="A65" t="s">
        <v>202</v>
      </c>
      <c r="B65" t="s">
        <v>203</v>
      </c>
      <c r="C65" t="s">
        <v>82</v>
      </c>
      <c r="D65" s="4">
        <v>236613</v>
      </c>
      <c r="E65" s="5">
        <v>0.21136623938667781</v>
      </c>
      <c r="F65" s="5">
        <v>1.7475793806764634E-2</v>
      </c>
      <c r="G65" s="5">
        <v>2.4723916268336904E-3</v>
      </c>
      <c r="H65" s="6">
        <v>8.7388321337858414</v>
      </c>
    </row>
    <row r="66" spans="1:8">
      <c r="A66" t="s">
        <v>204</v>
      </c>
      <c r="B66" t="s">
        <v>205</v>
      </c>
      <c r="C66" t="s">
        <v>206</v>
      </c>
      <c r="D66" s="4">
        <v>422527</v>
      </c>
      <c r="E66" s="5">
        <v>0.21103266773484297</v>
      </c>
      <c r="F66" s="5">
        <v>2.3288452572261656E-2</v>
      </c>
      <c r="G66" s="5">
        <v>2.3548790964837748E-3</v>
      </c>
      <c r="H66" s="6">
        <v>7.1946576566948108</v>
      </c>
    </row>
    <row r="67" spans="1:8">
      <c r="A67" t="s">
        <v>207</v>
      </c>
      <c r="B67" t="s">
        <v>208</v>
      </c>
      <c r="C67" t="s">
        <v>209</v>
      </c>
      <c r="D67" s="4">
        <v>18574</v>
      </c>
      <c r="E67" s="5">
        <v>0.21007860450091526</v>
      </c>
      <c r="F67" s="5">
        <v>1.3836545709055669E-2</v>
      </c>
      <c r="G67" s="5">
        <v>1.6151609777107785E-3</v>
      </c>
      <c r="H67" s="6">
        <v>9.8695794826926235</v>
      </c>
    </row>
    <row r="68" spans="1:8">
      <c r="A68" t="s">
        <v>210</v>
      </c>
      <c r="B68" t="s">
        <v>211</v>
      </c>
      <c r="C68" t="s">
        <v>212</v>
      </c>
      <c r="D68" s="4">
        <v>5594</v>
      </c>
      <c r="E68" s="5">
        <v>0.20968895244905256</v>
      </c>
      <c r="F68" s="5">
        <v>1.1619592420450483E-2</v>
      </c>
      <c r="G68" s="5">
        <v>4.4690740078655701E-3</v>
      </c>
      <c r="H68" s="6">
        <v>11.128997093023257</v>
      </c>
    </row>
    <row r="69" spans="1:8">
      <c r="A69" t="s">
        <v>213</v>
      </c>
      <c r="B69" t="s">
        <v>214</v>
      </c>
      <c r="C69" t="s">
        <v>206</v>
      </c>
      <c r="D69" s="4">
        <v>7496</v>
      </c>
      <c r="E69" s="5">
        <v>0.20917822838847386</v>
      </c>
      <c r="F69" s="5">
        <v>2.1878335112059766E-2</v>
      </c>
      <c r="G69" s="5">
        <v>1.4674493062966916E-3</v>
      </c>
      <c r="H69" s="6">
        <v>11.934708373173065</v>
      </c>
    </row>
    <row r="70" spans="1:8">
      <c r="A70" t="s">
        <v>215</v>
      </c>
      <c r="B70" t="s">
        <v>216</v>
      </c>
      <c r="C70" t="s">
        <v>217</v>
      </c>
      <c r="D70" s="4">
        <v>492371</v>
      </c>
      <c r="E70" s="5">
        <v>0.20821291262076766</v>
      </c>
      <c r="F70" s="5">
        <v>8.422510667768817E-3</v>
      </c>
      <c r="G70" s="5">
        <v>2.6260685539968845E-3</v>
      </c>
      <c r="H70" s="6">
        <v>4.7094085198929623</v>
      </c>
    </row>
    <row r="71" spans="1:8">
      <c r="A71" t="s">
        <v>218</v>
      </c>
      <c r="B71" t="s">
        <v>219</v>
      </c>
      <c r="C71" t="s">
        <v>220</v>
      </c>
      <c r="D71" s="4">
        <v>992806</v>
      </c>
      <c r="E71" s="5">
        <v>0.20736478224345944</v>
      </c>
      <c r="F71" s="5">
        <v>1.0791635022350792E-2</v>
      </c>
      <c r="G71" s="5">
        <v>2.4486153387469453E-3</v>
      </c>
      <c r="H71" s="6">
        <v>7.6739576241169143</v>
      </c>
    </row>
    <row r="72" spans="1:8">
      <c r="A72" t="s">
        <v>221</v>
      </c>
      <c r="B72" t="s">
        <v>222</v>
      </c>
      <c r="C72" t="s">
        <v>223</v>
      </c>
      <c r="D72" s="4">
        <v>150913</v>
      </c>
      <c r="E72" s="5">
        <v>0.20668862192123938</v>
      </c>
      <c r="F72" s="5">
        <v>1.4365892931689118E-2</v>
      </c>
      <c r="G72" s="5">
        <v>2.4517437198915931E-3</v>
      </c>
      <c r="H72" s="6">
        <v>8.279177759056445</v>
      </c>
    </row>
    <row r="73" spans="1:8">
      <c r="A73" t="s">
        <v>224</v>
      </c>
      <c r="B73" t="s">
        <v>225</v>
      </c>
      <c r="C73" t="s">
        <v>151</v>
      </c>
      <c r="D73" s="4">
        <v>36041</v>
      </c>
      <c r="E73" s="5">
        <v>0.2062928331622319</v>
      </c>
      <c r="F73" s="5">
        <v>1.8950639549402071E-2</v>
      </c>
      <c r="G73" s="5">
        <v>4.3284037623817322E-3</v>
      </c>
      <c r="H73" s="6">
        <v>8.7186239418214875</v>
      </c>
    </row>
    <row r="74" spans="1:8">
      <c r="A74" t="s">
        <v>226</v>
      </c>
      <c r="B74" t="s">
        <v>227</v>
      </c>
      <c r="C74" t="s">
        <v>157</v>
      </c>
      <c r="D74" s="4">
        <v>415178</v>
      </c>
      <c r="E74" s="5">
        <v>0.20516501356044878</v>
      </c>
      <c r="F74" s="5">
        <v>1.0434078877011787E-2</v>
      </c>
      <c r="G74" s="5">
        <v>2.6542832230994897E-3</v>
      </c>
      <c r="H74" s="6">
        <v>6.0282200593541333</v>
      </c>
    </row>
    <row r="75" spans="1:8">
      <c r="A75" t="s">
        <v>228</v>
      </c>
      <c r="B75" t="s">
        <v>229</v>
      </c>
      <c r="C75" t="s">
        <v>230</v>
      </c>
      <c r="D75" s="4">
        <v>30796</v>
      </c>
      <c r="E75" s="5">
        <v>0.20444213534225225</v>
      </c>
      <c r="F75" s="5">
        <v>8.1504091440446815E-3</v>
      </c>
      <c r="G75" s="5">
        <v>3.6368359527211326E-3</v>
      </c>
      <c r="H75" s="6">
        <v>8.0062432228173357</v>
      </c>
    </row>
    <row r="76" spans="1:8">
      <c r="A76" t="s">
        <v>231</v>
      </c>
      <c r="B76" t="s">
        <v>232</v>
      </c>
      <c r="C76" t="s">
        <v>220</v>
      </c>
      <c r="D76" s="4">
        <v>9962</v>
      </c>
      <c r="E76" s="5">
        <v>0.20427624974904637</v>
      </c>
      <c r="F76" s="5">
        <v>1.7265609315398514E-2</v>
      </c>
      <c r="G76" s="5">
        <v>1.2045773940975708E-3</v>
      </c>
      <c r="H76" s="6">
        <v>10.043874002863571</v>
      </c>
    </row>
    <row r="77" spans="1:8">
      <c r="A77" t="s">
        <v>233</v>
      </c>
      <c r="B77" t="s">
        <v>234</v>
      </c>
      <c r="C77" t="s">
        <v>235</v>
      </c>
      <c r="D77" s="4">
        <v>301950</v>
      </c>
      <c r="E77" s="5">
        <v>0.20373902964066898</v>
      </c>
      <c r="F77" s="5">
        <v>1.2425898327537672E-2</v>
      </c>
      <c r="G77" s="5">
        <v>2.301705580394105E-3</v>
      </c>
      <c r="H77" s="6">
        <v>6.8143716197819852</v>
      </c>
    </row>
    <row r="78" spans="1:8">
      <c r="A78" t="s">
        <v>236</v>
      </c>
      <c r="B78" t="s">
        <v>237</v>
      </c>
      <c r="C78" t="s">
        <v>154</v>
      </c>
      <c r="D78" s="4">
        <v>191684</v>
      </c>
      <c r="E78" s="5">
        <v>0.20308945973581519</v>
      </c>
      <c r="F78" s="5">
        <v>1.129984766595021E-2</v>
      </c>
      <c r="G78" s="5">
        <v>2.133720080966591E-3</v>
      </c>
      <c r="H78" s="6">
        <v>6.8370304956400805</v>
      </c>
    </row>
    <row r="79" spans="1:8">
      <c r="A79" t="s">
        <v>238</v>
      </c>
      <c r="B79" t="s">
        <v>239</v>
      </c>
      <c r="C79" t="s">
        <v>223</v>
      </c>
      <c r="D79" s="4">
        <v>14242</v>
      </c>
      <c r="E79" s="5">
        <v>0.20306136778542339</v>
      </c>
      <c r="F79" s="5">
        <v>1.951973037494734E-2</v>
      </c>
      <c r="G79" s="5">
        <v>1.9660160089875018E-3</v>
      </c>
      <c r="H79" s="6">
        <v>11.726033295063147</v>
      </c>
    </row>
    <row r="80" spans="1:8">
      <c r="A80" t="s">
        <v>240</v>
      </c>
      <c r="B80" t="s">
        <v>241</v>
      </c>
      <c r="C80" t="s">
        <v>242</v>
      </c>
      <c r="D80" s="4">
        <v>67068</v>
      </c>
      <c r="E80" s="5">
        <v>0.20292837120534382</v>
      </c>
      <c r="F80" s="5">
        <v>1.3583228961650862E-2</v>
      </c>
      <c r="G80" s="5">
        <v>3.1013299934394942E-3</v>
      </c>
      <c r="H80" s="6">
        <v>7.2804136529742678</v>
      </c>
    </row>
    <row r="81" spans="1:8">
      <c r="A81" t="s">
        <v>243</v>
      </c>
      <c r="B81" t="s">
        <v>244</v>
      </c>
      <c r="C81" t="s">
        <v>109</v>
      </c>
      <c r="D81" s="4">
        <v>6121</v>
      </c>
      <c r="E81" s="5">
        <v>0.20176441757882699</v>
      </c>
      <c r="F81" s="5">
        <v>1.4540107825518706E-2</v>
      </c>
      <c r="G81" s="5">
        <v>1.1436039862767521E-3</v>
      </c>
      <c r="H81" s="6">
        <v>11.416265560165975</v>
      </c>
    </row>
    <row r="82" spans="1:8">
      <c r="A82" t="s">
        <v>245</v>
      </c>
      <c r="B82" t="s">
        <v>246</v>
      </c>
      <c r="C82" t="s">
        <v>247</v>
      </c>
      <c r="D82" s="4">
        <v>23258</v>
      </c>
      <c r="E82" s="5">
        <v>0.20156505288502879</v>
      </c>
      <c r="F82" s="5">
        <v>1.9563161062860091E-2</v>
      </c>
      <c r="G82" s="5">
        <v>1.9348181270960529E-3</v>
      </c>
      <c r="H82" s="6">
        <v>10.600140609895421</v>
      </c>
    </row>
    <row r="83" spans="1:8">
      <c r="A83" t="s">
        <v>248</v>
      </c>
      <c r="B83" t="s">
        <v>249</v>
      </c>
      <c r="C83" t="s">
        <v>199</v>
      </c>
      <c r="D83" s="4">
        <v>14592</v>
      </c>
      <c r="E83" s="5">
        <v>0.20079495614035087</v>
      </c>
      <c r="F83" s="5">
        <v>1.6104714912280702E-2</v>
      </c>
      <c r="G83" s="5">
        <v>3.7691885964912281E-3</v>
      </c>
      <c r="H83" s="6">
        <v>8.2812194098727456</v>
      </c>
    </row>
    <row r="84" spans="1:8">
      <c r="A84" t="s">
        <v>250</v>
      </c>
      <c r="B84" t="s">
        <v>251</v>
      </c>
      <c r="C84" t="s">
        <v>171</v>
      </c>
      <c r="D84" s="4">
        <v>25332</v>
      </c>
      <c r="E84" s="5">
        <v>0.20073424917100899</v>
      </c>
      <c r="F84" s="5">
        <v>1.7882520132638559E-2</v>
      </c>
      <c r="G84" s="5">
        <v>2.8817306174009159E-3</v>
      </c>
      <c r="H84" s="6">
        <v>9.096186406514553</v>
      </c>
    </row>
    <row r="85" spans="1:8">
      <c r="A85" t="s">
        <v>252</v>
      </c>
      <c r="B85" t="s">
        <v>253</v>
      </c>
      <c r="C85" t="s">
        <v>102</v>
      </c>
      <c r="D85" s="4">
        <v>176115</v>
      </c>
      <c r="E85" s="5">
        <v>0.20064730431820119</v>
      </c>
      <c r="F85" s="5">
        <v>1.5682934446242511E-2</v>
      </c>
      <c r="G85" s="5">
        <v>2.0725094398546403E-3</v>
      </c>
      <c r="H85" s="6">
        <v>7.632697065692418</v>
      </c>
    </row>
    <row r="86" spans="1:8">
      <c r="A86" t="s">
        <v>254</v>
      </c>
      <c r="B86" t="s">
        <v>255</v>
      </c>
      <c r="C86" t="s">
        <v>82</v>
      </c>
      <c r="D86" s="4">
        <v>103163</v>
      </c>
      <c r="E86" s="5">
        <v>0.20053701423960141</v>
      </c>
      <c r="F86" s="5">
        <v>1.6711417853300117E-2</v>
      </c>
      <c r="G86" s="5">
        <v>2.7432315849674786E-3</v>
      </c>
      <c r="H86" s="6">
        <v>8.1630748546799001</v>
      </c>
    </row>
    <row r="87" spans="1:8">
      <c r="A87" t="s">
        <v>256</v>
      </c>
      <c r="B87" t="s">
        <v>257</v>
      </c>
      <c r="C87" t="s">
        <v>258</v>
      </c>
      <c r="D87" s="4">
        <v>13007</v>
      </c>
      <c r="E87" s="5">
        <v>0.20043053740293687</v>
      </c>
      <c r="F87" s="5">
        <v>3.5826862458676098E-2</v>
      </c>
      <c r="G87" s="5">
        <v>2.6139770892596296E-3</v>
      </c>
      <c r="H87" s="6">
        <v>7.643639561845367</v>
      </c>
    </row>
    <row r="88" spans="1:8">
      <c r="A88" t="s">
        <v>259</v>
      </c>
      <c r="B88" t="s">
        <v>150</v>
      </c>
      <c r="C88" t="s">
        <v>151</v>
      </c>
      <c r="D88" s="4">
        <v>461883</v>
      </c>
      <c r="E88" s="5">
        <v>0.20024335167131069</v>
      </c>
      <c r="F88" s="5">
        <v>2.6967868486175071E-2</v>
      </c>
      <c r="G88" s="5">
        <v>2.8080704420816527E-3</v>
      </c>
      <c r="H88" s="6">
        <v>4.2009042039234235</v>
      </c>
    </row>
    <row r="89" spans="1:8">
      <c r="A89" t="s">
        <v>260</v>
      </c>
      <c r="B89" t="s">
        <v>261</v>
      </c>
      <c r="C89" t="s">
        <v>262</v>
      </c>
      <c r="D89" s="4">
        <v>5861</v>
      </c>
      <c r="E89" s="5">
        <v>0.20013649547858728</v>
      </c>
      <c r="F89" s="5">
        <v>2.1327418529261219E-2</v>
      </c>
      <c r="G89" s="5">
        <v>8.7015867599385763E-3</v>
      </c>
      <c r="H89" s="6">
        <v>7.2960422163588392</v>
      </c>
    </row>
    <row r="90" spans="1:8">
      <c r="A90" t="s">
        <v>263</v>
      </c>
      <c r="B90" t="s">
        <v>264</v>
      </c>
      <c r="C90" t="s">
        <v>265</v>
      </c>
      <c r="D90" s="4">
        <v>37096</v>
      </c>
      <c r="E90" s="5">
        <v>0.19932068147509166</v>
      </c>
      <c r="F90" s="5">
        <v>1.3478542160879878E-2</v>
      </c>
      <c r="G90" s="5">
        <v>2.0756954927755012E-3</v>
      </c>
      <c r="H90" s="6">
        <v>8.3784331443905913</v>
      </c>
    </row>
    <row r="91" spans="1:8">
      <c r="A91" t="s">
        <v>266</v>
      </c>
      <c r="B91" t="s">
        <v>267</v>
      </c>
      <c r="C91" t="s">
        <v>112</v>
      </c>
      <c r="D91" s="4">
        <v>5537</v>
      </c>
      <c r="E91" s="5">
        <v>0.19920534585515623</v>
      </c>
      <c r="F91" s="5">
        <v>1.4267653964240564E-2</v>
      </c>
      <c r="G91" s="5">
        <v>2.8896514357955572E-3</v>
      </c>
      <c r="H91" s="6">
        <v>6.5123116501286296</v>
      </c>
    </row>
    <row r="92" spans="1:8">
      <c r="A92" t="s">
        <v>268</v>
      </c>
      <c r="B92" t="s">
        <v>135</v>
      </c>
      <c r="C92" t="s">
        <v>91</v>
      </c>
      <c r="D92" s="4">
        <v>167513</v>
      </c>
      <c r="E92" s="5">
        <v>0.19879651131553969</v>
      </c>
      <c r="F92" s="5">
        <v>1.0542465360897363E-2</v>
      </c>
      <c r="G92" s="5">
        <v>1.8446329538602975E-3</v>
      </c>
      <c r="H92" s="6">
        <v>5.2338217338217339</v>
      </c>
    </row>
    <row r="93" spans="1:8">
      <c r="A93" t="s">
        <v>269</v>
      </c>
      <c r="B93" t="s">
        <v>270</v>
      </c>
      <c r="C93" t="s">
        <v>206</v>
      </c>
      <c r="D93" s="4">
        <v>54932</v>
      </c>
      <c r="E93" s="5">
        <v>0.19866380251947863</v>
      </c>
      <c r="F93" s="5">
        <v>1.6893613922668027E-2</v>
      </c>
      <c r="G93" s="5">
        <v>2.2391320177674217E-3</v>
      </c>
      <c r="H93" s="6">
        <v>7.2378946196247282</v>
      </c>
    </row>
    <row r="94" spans="1:8">
      <c r="A94" t="s">
        <v>271</v>
      </c>
      <c r="B94" t="s">
        <v>272</v>
      </c>
      <c r="C94" t="s">
        <v>79</v>
      </c>
      <c r="D94" s="4">
        <v>11475</v>
      </c>
      <c r="E94" s="5">
        <v>0.19808278867102397</v>
      </c>
      <c r="F94" s="5">
        <v>1.429193899782135E-2</v>
      </c>
      <c r="G94" s="5">
        <v>2.7886710239651414E-3</v>
      </c>
      <c r="H94" s="6">
        <v>8.7731181842361909</v>
      </c>
    </row>
    <row r="95" spans="1:8">
      <c r="A95" t="s">
        <v>273</v>
      </c>
      <c r="B95" t="s">
        <v>274</v>
      </c>
      <c r="C95" t="s">
        <v>275</v>
      </c>
      <c r="D95" s="4">
        <v>22485</v>
      </c>
      <c r="E95" s="5">
        <v>0.19733155436957972</v>
      </c>
      <c r="F95" s="5">
        <v>2.5661552145875028E-2</v>
      </c>
      <c r="G95" s="5">
        <v>2.8018679119412942E-3</v>
      </c>
      <c r="H95" s="6">
        <v>8.7946440833142603</v>
      </c>
    </row>
    <row r="96" spans="1:8">
      <c r="A96" t="s">
        <v>276</v>
      </c>
      <c r="B96" t="s">
        <v>277</v>
      </c>
      <c r="C96" t="s">
        <v>91</v>
      </c>
      <c r="D96" s="4">
        <v>12562</v>
      </c>
      <c r="E96" s="5">
        <v>0.19710237223372074</v>
      </c>
      <c r="F96" s="5">
        <v>1.7513134851138354E-2</v>
      </c>
      <c r="G96" s="5">
        <v>1.9901289603566313E-3</v>
      </c>
      <c r="H96" s="6">
        <v>11.504668344564424</v>
      </c>
    </row>
    <row r="97" spans="1:8">
      <c r="A97" t="s">
        <v>278</v>
      </c>
      <c r="B97" t="s">
        <v>279</v>
      </c>
      <c r="C97" t="s">
        <v>157</v>
      </c>
      <c r="D97" s="4">
        <v>15488</v>
      </c>
      <c r="E97" s="5">
        <v>0.19699121900826447</v>
      </c>
      <c r="F97" s="5">
        <v>1.1040805785123967E-2</v>
      </c>
      <c r="G97" s="5">
        <v>2.5180785123966941E-3</v>
      </c>
      <c r="H97" s="6">
        <v>10.557140987040189</v>
      </c>
    </row>
    <row r="98" spans="1:8">
      <c r="A98" t="s">
        <v>280</v>
      </c>
      <c r="B98" t="s">
        <v>281</v>
      </c>
      <c r="C98" t="s">
        <v>139</v>
      </c>
      <c r="D98" s="4">
        <v>5169</v>
      </c>
      <c r="E98" s="5">
        <v>0.19694331592184175</v>
      </c>
      <c r="F98" s="5">
        <v>1.644418649642097E-2</v>
      </c>
      <c r="G98" s="5">
        <v>2.901915264074289E-3</v>
      </c>
      <c r="H98" s="6">
        <v>9.4833300453738403</v>
      </c>
    </row>
    <row r="99" spans="1:8">
      <c r="A99" t="s">
        <v>282</v>
      </c>
      <c r="B99" t="s">
        <v>283</v>
      </c>
      <c r="C99" t="s">
        <v>82</v>
      </c>
      <c r="D99" s="4">
        <v>87003</v>
      </c>
      <c r="E99" s="5">
        <v>0.19668287300437917</v>
      </c>
      <c r="F99" s="5">
        <v>1.5620151029274852E-2</v>
      </c>
      <c r="G99" s="5">
        <v>2.5516361504775696E-3</v>
      </c>
      <c r="H99" s="6">
        <v>9.0529254758727262</v>
      </c>
    </row>
    <row r="100" spans="1:8">
      <c r="A100" t="s">
        <v>284</v>
      </c>
      <c r="B100" t="s">
        <v>285</v>
      </c>
      <c r="C100" t="s">
        <v>91</v>
      </c>
      <c r="D100" s="4">
        <v>5189</v>
      </c>
      <c r="E100" s="5">
        <v>0.19599152052418578</v>
      </c>
      <c r="F100" s="5">
        <v>2.5052996723838889E-2</v>
      </c>
      <c r="G100" s="5">
        <v>1.1562921564848719E-3</v>
      </c>
      <c r="H100" s="6">
        <v>6.5772808232733029</v>
      </c>
    </row>
    <row r="101" spans="1:8">
      <c r="A101" t="s">
        <v>286</v>
      </c>
      <c r="B101" t="s">
        <v>287</v>
      </c>
      <c r="C101" t="s">
        <v>235</v>
      </c>
      <c r="D101" s="4">
        <v>17818</v>
      </c>
      <c r="E101" s="5">
        <v>0.19570097654057694</v>
      </c>
      <c r="F101" s="5">
        <v>1.4591985632506453E-2</v>
      </c>
      <c r="G101" s="5">
        <v>1.8520597148950499E-3</v>
      </c>
      <c r="H101" s="6">
        <v>8.7845363766048497</v>
      </c>
    </row>
    <row r="102" spans="1:8">
      <c r="A102" t="s">
        <v>288</v>
      </c>
      <c r="B102" t="s">
        <v>289</v>
      </c>
      <c r="C102" t="s">
        <v>151</v>
      </c>
      <c r="D102" s="4">
        <v>63669</v>
      </c>
      <c r="E102" s="5">
        <v>0.19560539666085536</v>
      </c>
      <c r="F102" s="5">
        <v>2.1517536006533791E-2</v>
      </c>
      <c r="G102" s="5">
        <v>2.0732224473448617E-3</v>
      </c>
      <c r="H102" s="6">
        <v>7.2143741856612031</v>
      </c>
    </row>
    <row r="103" spans="1:8">
      <c r="A103" t="s">
        <v>68</v>
      </c>
      <c r="B103" t="s">
        <v>290</v>
      </c>
      <c r="C103" t="s">
        <v>125</v>
      </c>
      <c r="D103" s="4">
        <v>5943</v>
      </c>
      <c r="E103" s="5">
        <v>0.19552414605418139</v>
      </c>
      <c r="F103" s="5">
        <v>1.4470805990240618E-2</v>
      </c>
      <c r="G103" s="5">
        <v>3.8700992764597003E-3</v>
      </c>
      <c r="H103" s="6">
        <v>6.4262941378128211</v>
      </c>
    </row>
    <row r="104" spans="1:8">
      <c r="A104" t="s">
        <v>291</v>
      </c>
      <c r="B104" t="s">
        <v>292</v>
      </c>
      <c r="C104" t="s">
        <v>79</v>
      </c>
      <c r="D104" s="4">
        <v>37596</v>
      </c>
      <c r="E104" s="5">
        <v>0.19480795829343547</v>
      </c>
      <c r="F104" s="5">
        <v>1.2953505692094905E-2</v>
      </c>
      <c r="G104" s="5">
        <v>2.4470688371103309E-3</v>
      </c>
      <c r="H104" s="6">
        <v>7.5270551368290244</v>
      </c>
    </row>
    <row r="105" spans="1:8">
      <c r="A105" t="s">
        <v>293</v>
      </c>
      <c r="B105" t="s">
        <v>294</v>
      </c>
      <c r="C105" t="s">
        <v>151</v>
      </c>
      <c r="D105" s="4">
        <v>36528</v>
      </c>
      <c r="E105" s="5">
        <v>0.19461782742006131</v>
      </c>
      <c r="F105" s="5">
        <v>1.6042487954445905E-2</v>
      </c>
      <c r="G105" s="5">
        <v>3.148269820411739E-3</v>
      </c>
      <c r="H105" s="6">
        <v>7.0149607837664334</v>
      </c>
    </row>
    <row r="106" spans="1:8">
      <c r="A106" t="s">
        <v>295</v>
      </c>
      <c r="B106" t="s">
        <v>296</v>
      </c>
      <c r="C106" t="s">
        <v>230</v>
      </c>
      <c r="D106" s="4">
        <v>12490</v>
      </c>
      <c r="E106" s="5">
        <v>0.19423538831064852</v>
      </c>
      <c r="F106" s="5">
        <v>8.2465972778222579E-3</v>
      </c>
      <c r="G106" s="5">
        <v>3.5228182546036828E-3</v>
      </c>
      <c r="H106" s="6">
        <v>9.1117232439439366</v>
      </c>
    </row>
    <row r="107" spans="1:8">
      <c r="A107" t="s">
        <v>297</v>
      </c>
      <c r="B107" t="s">
        <v>298</v>
      </c>
      <c r="C107" t="s">
        <v>206</v>
      </c>
      <c r="D107" s="4">
        <v>62201</v>
      </c>
      <c r="E107" s="5">
        <v>0.1940965579331522</v>
      </c>
      <c r="F107" s="5">
        <v>2.0610601115737689E-2</v>
      </c>
      <c r="G107" s="5">
        <v>2.0096139933441586E-3</v>
      </c>
      <c r="H107" s="6">
        <v>8.1869756883903015</v>
      </c>
    </row>
    <row r="108" spans="1:8">
      <c r="A108" t="s">
        <v>299</v>
      </c>
      <c r="B108" t="s">
        <v>300</v>
      </c>
      <c r="C108" t="s">
        <v>109</v>
      </c>
      <c r="D108" s="4">
        <v>53387</v>
      </c>
      <c r="E108" s="5">
        <v>0.19341787326502707</v>
      </c>
      <c r="F108" s="5">
        <v>1.4666491842583401E-2</v>
      </c>
      <c r="G108" s="5">
        <v>1.8169217225167174E-3</v>
      </c>
      <c r="H108" s="6">
        <v>6.0716475898451634</v>
      </c>
    </row>
    <row r="109" spans="1:8">
      <c r="A109" t="s">
        <v>301</v>
      </c>
      <c r="B109" t="s">
        <v>302</v>
      </c>
      <c r="C109" t="s">
        <v>151</v>
      </c>
      <c r="D109" s="4">
        <v>37063</v>
      </c>
      <c r="E109" s="5">
        <v>0.19304967217980196</v>
      </c>
      <c r="F109" s="5">
        <v>1.8805817122197338E-2</v>
      </c>
      <c r="G109" s="5">
        <v>1.9156571243558265E-3</v>
      </c>
      <c r="H109" s="6">
        <v>5.9818432290949168</v>
      </c>
    </row>
    <row r="110" spans="1:8">
      <c r="A110" t="s">
        <v>303</v>
      </c>
      <c r="B110" t="s">
        <v>304</v>
      </c>
      <c r="C110" t="s">
        <v>223</v>
      </c>
      <c r="D110" s="4">
        <v>8855</v>
      </c>
      <c r="E110" s="5">
        <v>0.19288537549407114</v>
      </c>
      <c r="F110" s="5">
        <v>2.168266516092603E-2</v>
      </c>
      <c r="G110" s="5">
        <v>2.7103331451157537E-3</v>
      </c>
      <c r="H110" s="6">
        <v>10.55619863410117</v>
      </c>
    </row>
    <row r="111" spans="1:8">
      <c r="A111" t="s">
        <v>305</v>
      </c>
      <c r="B111" t="s">
        <v>306</v>
      </c>
      <c r="C111" t="s">
        <v>265</v>
      </c>
      <c r="D111" s="4">
        <v>38288</v>
      </c>
      <c r="E111" s="5">
        <v>0.19251462599247807</v>
      </c>
      <c r="F111" s="5">
        <v>1.2275386544086921E-2</v>
      </c>
      <c r="G111" s="5">
        <v>2.3506059339740912E-3</v>
      </c>
      <c r="H111" s="6">
        <v>7.9196352841391011</v>
      </c>
    </row>
    <row r="112" spans="1:8">
      <c r="A112" t="s">
        <v>307</v>
      </c>
      <c r="B112" t="s">
        <v>308</v>
      </c>
      <c r="C112" t="s">
        <v>120</v>
      </c>
      <c r="D112" s="4">
        <v>11725</v>
      </c>
      <c r="E112" s="5">
        <v>0.19232409381663113</v>
      </c>
      <c r="F112" s="5">
        <v>1.8763326226012792E-2</v>
      </c>
      <c r="G112" s="5">
        <v>2.5586353944562902E-3</v>
      </c>
      <c r="H112" s="6">
        <v>8.0634422657952065</v>
      </c>
    </row>
    <row r="113" spans="1:8">
      <c r="A113" t="s">
        <v>309</v>
      </c>
      <c r="B113" t="s">
        <v>310</v>
      </c>
      <c r="C113" t="s">
        <v>177</v>
      </c>
      <c r="D113" s="4">
        <v>11741</v>
      </c>
      <c r="E113" s="5">
        <v>0.19180649007750616</v>
      </c>
      <c r="F113" s="5">
        <v>1.0390937739545183E-2</v>
      </c>
      <c r="G113" s="5">
        <v>3.8327229367174859E-3</v>
      </c>
      <c r="H113" s="6">
        <v>7.1411785035424229</v>
      </c>
    </row>
    <row r="114" spans="1:8">
      <c r="A114" t="s">
        <v>311</v>
      </c>
      <c r="B114" t="s">
        <v>312</v>
      </c>
      <c r="C114" t="s">
        <v>177</v>
      </c>
      <c r="D114" s="4">
        <v>19988</v>
      </c>
      <c r="E114" s="5">
        <v>0.19176505903542126</v>
      </c>
      <c r="F114" s="5">
        <v>1.265759455673404E-2</v>
      </c>
      <c r="G114" s="5">
        <v>2.0512307384430661E-3</v>
      </c>
      <c r="H114" s="6">
        <v>6.8564537422565248</v>
      </c>
    </row>
    <row r="115" spans="1:8">
      <c r="A115" t="s">
        <v>313</v>
      </c>
      <c r="B115" t="s">
        <v>314</v>
      </c>
      <c r="C115" t="s">
        <v>82</v>
      </c>
      <c r="D115" s="4">
        <v>24145</v>
      </c>
      <c r="E115" s="5">
        <v>0.19150962932284116</v>
      </c>
      <c r="F115" s="5">
        <v>1.1555187409401533E-2</v>
      </c>
      <c r="G115" s="5">
        <v>2.5264029819838476E-3</v>
      </c>
      <c r="H115" s="6">
        <v>7.3383322831337958</v>
      </c>
    </row>
    <row r="116" spans="1:8">
      <c r="A116" t="s">
        <v>315</v>
      </c>
      <c r="B116" t="s">
        <v>316</v>
      </c>
      <c r="C116" t="s">
        <v>177</v>
      </c>
      <c r="D116" s="4">
        <v>7244</v>
      </c>
      <c r="E116" s="5">
        <v>0.19133075648812811</v>
      </c>
      <c r="F116" s="5">
        <v>1.4632799558255107E-2</v>
      </c>
      <c r="G116" s="5">
        <v>4.4174489232468254E-3</v>
      </c>
      <c r="H116" s="6">
        <v>7.6635237827188289</v>
      </c>
    </row>
    <row r="117" spans="1:8">
      <c r="A117" t="s">
        <v>317</v>
      </c>
      <c r="B117" t="s">
        <v>318</v>
      </c>
      <c r="C117" t="s">
        <v>82</v>
      </c>
      <c r="D117" s="4">
        <v>49036</v>
      </c>
      <c r="E117" s="5">
        <v>0.19051309242189413</v>
      </c>
      <c r="F117" s="5">
        <v>1.9169589689207928E-2</v>
      </c>
      <c r="G117" s="5">
        <v>2.6918998286972837E-3</v>
      </c>
      <c r="H117" s="6">
        <v>8.1247810858143605</v>
      </c>
    </row>
    <row r="118" spans="1:8">
      <c r="A118" t="s">
        <v>319</v>
      </c>
      <c r="B118" t="s">
        <v>320</v>
      </c>
      <c r="C118" t="s">
        <v>321</v>
      </c>
      <c r="D118" s="4">
        <v>44751</v>
      </c>
      <c r="E118" s="5">
        <v>0.19038680699872629</v>
      </c>
      <c r="F118" s="5">
        <v>1.5798529641795712E-2</v>
      </c>
      <c r="G118" s="5">
        <v>2.4356997608991978E-3</v>
      </c>
      <c r="H118" s="6">
        <v>6.5831796972800731</v>
      </c>
    </row>
    <row r="119" spans="1:8">
      <c r="A119" t="s">
        <v>322</v>
      </c>
      <c r="B119" t="s">
        <v>323</v>
      </c>
      <c r="C119" t="s">
        <v>109</v>
      </c>
      <c r="D119" s="4">
        <v>379972</v>
      </c>
      <c r="E119" s="5">
        <v>0.19014032612929374</v>
      </c>
      <c r="F119" s="5">
        <v>1.1019232996115503E-2</v>
      </c>
      <c r="G119" s="5">
        <v>2.1922667986062133E-3</v>
      </c>
      <c r="H119" s="6">
        <v>5.2800065074996265</v>
      </c>
    </row>
    <row r="120" spans="1:8">
      <c r="A120" t="s">
        <v>324</v>
      </c>
      <c r="B120" t="s">
        <v>325</v>
      </c>
      <c r="C120" t="s">
        <v>247</v>
      </c>
      <c r="D120" s="4">
        <v>44690</v>
      </c>
      <c r="E120" s="5">
        <v>0.18999776236294472</v>
      </c>
      <c r="F120" s="5">
        <v>1.5909599462967106E-2</v>
      </c>
      <c r="G120" s="5">
        <v>2.170507943611546E-3</v>
      </c>
      <c r="H120" s="6">
        <v>8.0180256141470299</v>
      </c>
    </row>
    <row r="121" spans="1:8">
      <c r="A121" t="s">
        <v>326</v>
      </c>
      <c r="B121" t="s">
        <v>327</v>
      </c>
      <c r="C121" t="s">
        <v>328</v>
      </c>
      <c r="D121" s="4">
        <v>566998</v>
      </c>
      <c r="E121" s="5">
        <v>0.18981548435796952</v>
      </c>
      <c r="F121" s="5">
        <v>6.5749791004553809E-3</v>
      </c>
      <c r="G121" s="5">
        <v>2.5008906556989621E-3</v>
      </c>
      <c r="H121" s="6">
        <v>5.1557812377636818</v>
      </c>
    </row>
    <row r="122" spans="1:8">
      <c r="A122" t="s">
        <v>329</v>
      </c>
      <c r="B122" t="s">
        <v>330</v>
      </c>
      <c r="C122" t="s">
        <v>258</v>
      </c>
      <c r="D122" s="4">
        <v>33396</v>
      </c>
      <c r="E122" s="5">
        <v>0.18954365792310457</v>
      </c>
      <c r="F122" s="5">
        <v>2.320637202060127E-2</v>
      </c>
      <c r="G122" s="5">
        <v>2.5751587016409152E-3</v>
      </c>
      <c r="H122" s="6">
        <v>7.7445212847702471</v>
      </c>
    </row>
    <row r="123" spans="1:8">
      <c r="A123" t="s">
        <v>331</v>
      </c>
      <c r="B123" t="s">
        <v>332</v>
      </c>
      <c r="C123" t="s">
        <v>333</v>
      </c>
      <c r="D123" s="4">
        <v>114461</v>
      </c>
      <c r="E123" s="5">
        <v>0.18914739518263862</v>
      </c>
      <c r="F123" s="5">
        <v>1.4598859000008737E-2</v>
      </c>
      <c r="G123" s="5">
        <v>2.45498466726658E-3</v>
      </c>
      <c r="H123" s="6">
        <v>6.248504564079318</v>
      </c>
    </row>
    <row r="124" spans="1:8">
      <c r="A124" t="s">
        <v>334</v>
      </c>
      <c r="B124" t="s">
        <v>335</v>
      </c>
      <c r="C124" t="s">
        <v>333</v>
      </c>
      <c r="D124" s="4">
        <v>26436</v>
      </c>
      <c r="E124" s="5">
        <v>0.18864427296111363</v>
      </c>
      <c r="F124" s="5">
        <v>1.4941746103797851E-2</v>
      </c>
      <c r="G124" s="5">
        <v>2.3452867302163716E-3</v>
      </c>
      <c r="H124" s="6">
        <v>6.1876900573540166</v>
      </c>
    </row>
    <row r="125" spans="1:8">
      <c r="A125" t="s">
        <v>336</v>
      </c>
      <c r="B125" t="s">
        <v>337</v>
      </c>
      <c r="C125" t="s">
        <v>220</v>
      </c>
      <c r="D125" s="4">
        <v>55876</v>
      </c>
      <c r="E125" s="5">
        <v>0.18859617724962416</v>
      </c>
      <c r="F125" s="5">
        <v>1.716300379411554E-2</v>
      </c>
      <c r="G125" s="5">
        <v>2.3623738277614719E-3</v>
      </c>
      <c r="H125" s="6">
        <v>7.6493930820480056</v>
      </c>
    </row>
    <row r="126" spans="1:8">
      <c r="A126" t="s">
        <v>338</v>
      </c>
      <c r="B126" t="s">
        <v>339</v>
      </c>
      <c r="C126" t="s">
        <v>206</v>
      </c>
      <c r="D126" s="4">
        <v>7605</v>
      </c>
      <c r="E126" s="5">
        <v>0.18856015779092702</v>
      </c>
      <c r="F126" s="5">
        <v>2.5904010519395136E-2</v>
      </c>
      <c r="G126" s="5">
        <v>2.10387902695595E-3</v>
      </c>
      <c r="H126" s="6">
        <v>7.9107142857142856</v>
      </c>
    </row>
    <row r="127" spans="1:8">
      <c r="A127" t="s">
        <v>340</v>
      </c>
      <c r="B127" t="s">
        <v>341</v>
      </c>
      <c r="C127" t="s">
        <v>235</v>
      </c>
      <c r="D127" s="4">
        <v>43501</v>
      </c>
      <c r="E127" s="5">
        <v>0.18852440173789109</v>
      </c>
      <c r="F127" s="5">
        <v>1.4965173214408864E-2</v>
      </c>
      <c r="G127" s="5">
        <v>3.2183168203029815E-3</v>
      </c>
      <c r="H127" s="6">
        <v>6.9123624443924143</v>
      </c>
    </row>
    <row r="128" spans="1:8">
      <c r="A128" t="s">
        <v>342</v>
      </c>
      <c r="B128" t="s">
        <v>343</v>
      </c>
      <c r="C128" t="s">
        <v>262</v>
      </c>
      <c r="D128" s="4">
        <v>74947</v>
      </c>
      <c r="E128" s="5">
        <v>0.18811960452052784</v>
      </c>
      <c r="F128" s="5">
        <v>1.8012728995156577E-2</v>
      </c>
      <c r="G128" s="5">
        <v>2.4817537726660173E-3</v>
      </c>
      <c r="H128" s="6">
        <v>7.7379139366035066</v>
      </c>
    </row>
    <row r="129" spans="1:8">
      <c r="A129" t="s">
        <v>344</v>
      </c>
      <c r="B129" t="s">
        <v>345</v>
      </c>
      <c r="C129" t="s">
        <v>82</v>
      </c>
      <c r="D129" s="4">
        <v>38693</v>
      </c>
      <c r="E129" s="5">
        <v>0.18788928229912388</v>
      </c>
      <c r="F129" s="5">
        <v>1.6721370790582276E-2</v>
      </c>
      <c r="G129" s="5">
        <v>2.6619802031375185E-3</v>
      </c>
      <c r="H129" s="6">
        <v>10.091716522151648</v>
      </c>
    </row>
    <row r="130" spans="1:8">
      <c r="A130" t="s">
        <v>346</v>
      </c>
      <c r="B130" t="s">
        <v>205</v>
      </c>
      <c r="C130" t="s">
        <v>206</v>
      </c>
      <c r="D130" s="4">
        <v>160252</v>
      </c>
      <c r="E130" s="5">
        <v>0.18785412974565061</v>
      </c>
      <c r="F130" s="5">
        <v>1.1862566457828919E-2</v>
      </c>
      <c r="G130" s="5">
        <v>2.2152609639817288E-3</v>
      </c>
      <c r="H130" s="6">
        <v>5.1027114610496467</v>
      </c>
    </row>
    <row r="131" spans="1:8">
      <c r="A131" t="s">
        <v>347</v>
      </c>
      <c r="B131" t="s">
        <v>348</v>
      </c>
      <c r="C131" t="s">
        <v>151</v>
      </c>
      <c r="D131" s="4">
        <v>35072</v>
      </c>
      <c r="E131" s="5">
        <v>0.18715784671532848</v>
      </c>
      <c r="F131" s="5">
        <v>1.8219662408759125E-2</v>
      </c>
      <c r="G131" s="5">
        <v>1.625228102189781E-3</v>
      </c>
      <c r="H131" s="6">
        <v>6.5536711659297184</v>
      </c>
    </row>
    <row r="132" spans="1:8">
      <c r="A132" t="s">
        <v>349</v>
      </c>
      <c r="B132" t="s">
        <v>350</v>
      </c>
      <c r="C132" t="s">
        <v>351</v>
      </c>
      <c r="D132" s="4">
        <v>30035</v>
      </c>
      <c r="E132" s="5">
        <v>0.18704844348260363</v>
      </c>
      <c r="F132" s="5">
        <v>1.5781588147161643E-2</v>
      </c>
      <c r="G132" s="5">
        <v>1.997669385716664E-3</v>
      </c>
      <c r="H132" s="6">
        <v>8.119758652249077</v>
      </c>
    </row>
    <row r="133" spans="1:8">
      <c r="A133" t="s">
        <v>352</v>
      </c>
      <c r="B133" t="s">
        <v>353</v>
      </c>
      <c r="C133" t="s">
        <v>154</v>
      </c>
      <c r="D133" s="4">
        <v>146549</v>
      </c>
      <c r="E133" s="5">
        <v>0.18664746944707913</v>
      </c>
      <c r="F133" s="5">
        <v>1.2930828596578618E-2</v>
      </c>
      <c r="G133" s="5">
        <v>2.3746323755194508E-3</v>
      </c>
      <c r="H133" s="6">
        <v>6.1221778720219531</v>
      </c>
    </row>
    <row r="134" spans="1:8">
      <c r="A134" t="s">
        <v>354</v>
      </c>
      <c r="B134" t="s">
        <v>355</v>
      </c>
      <c r="C134" t="s">
        <v>139</v>
      </c>
      <c r="D134" s="4">
        <v>16004</v>
      </c>
      <c r="E134" s="5">
        <v>0.1866408397900525</v>
      </c>
      <c r="F134" s="5">
        <v>1.2559360159960011E-2</v>
      </c>
      <c r="G134" s="5">
        <v>2.124468882779305E-3</v>
      </c>
      <c r="H134" s="6">
        <v>6.9755215929989216</v>
      </c>
    </row>
    <row r="135" spans="1:8">
      <c r="A135" t="s">
        <v>356</v>
      </c>
      <c r="B135" t="s">
        <v>357</v>
      </c>
      <c r="C135" t="s">
        <v>82</v>
      </c>
      <c r="D135" s="4">
        <v>29661</v>
      </c>
      <c r="E135" s="5">
        <v>0.18556353460773406</v>
      </c>
      <c r="F135" s="5">
        <v>1.244057853747345E-2</v>
      </c>
      <c r="G135" s="5">
        <v>2.7645730083274331E-3</v>
      </c>
      <c r="H135" s="6">
        <v>8.6246833276275243</v>
      </c>
    </row>
    <row r="136" spans="1:8">
      <c r="A136" t="s">
        <v>358</v>
      </c>
      <c r="B136" t="s">
        <v>359</v>
      </c>
      <c r="C136" t="s">
        <v>196</v>
      </c>
      <c r="D136" s="4">
        <v>122733</v>
      </c>
      <c r="E136" s="5">
        <v>0.18485655854578639</v>
      </c>
      <c r="F136" s="5">
        <v>1.7387336739100322E-2</v>
      </c>
      <c r="G136" s="5">
        <v>1.8169522459322268E-3</v>
      </c>
      <c r="H136" s="6">
        <v>5.204459360669901</v>
      </c>
    </row>
    <row r="137" spans="1:8">
      <c r="A137" t="s">
        <v>360</v>
      </c>
      <c r="B137" t="s">
        <v>361</v>
      </c>
      <c r="C137" t="s">
        <v>209</v>
      </c>
      <c r="D137" s="4">
        <v>82529</v>
      </c>
      <c r="E137" s="5">
        <v>0.18485623235468746</v>
      </c>
      <c r="F137" s="5">
        <v>1.5218892752850512E-2</v>
      </c>
      <c r="G137" s="5">
        <v>2.1568176035090697E-3</v>
      </c>
      <c r="H137" s="6">
        <v>5.7224736420247861</v>
      </c>
    </row>
    <row r="138" spans="1:8">
      <c r="A138" t="s">
        <v>362</v>
      </c>
      <c r="B138" t="s">
        <v>363</v>
      </c>
      <c r="C138" t="s">
        <v>133</v>
      </c>
      <c r="D138" s="4">
        <v>61536</v>
      </c>
      <c r="E138" s="5">
        <v>0.18462363494539782</v>
      </c>
      <c r="F138" s="5">
        <v>1.0432917316692669E-2</v>
      </c>
      <c r="G138" s="5">
        <v>2.1288351534061362E-3</v>
      </c>
      <c r="H138" s="6">
        <v>5.7490084426377894</v>
      </c>
    </row>
    <row r="139" spans="1:8">
      <c r="A139" t="s">
        <v>364</v>
      </c>
      <c r="B139" t="s">
        <v>365</v>
      </c>
      <c r="C139" t="s">
        <v>79</v>
      </c>
      <c r="D139" s="4">
        <v>11820</v>
      </c>
      <c r="E139" s="5">
        <v>0.18392554991539764</v>
      </c>
      <c r="F139" s="5">
        <v>1.1336717428087987E-2</v>
      </c>
      <c r="G139" s="5">
        <v>2.9610829103214891E-3</v>
      </c>
      <c r="H139" s="6">
        <v>7.4888850742425541</v>
      </c>
    </row>
    <row r="140" spans="1:8">
      <c r="A140" t="s">
        <v>366</v>
      </c>
      <c r="B140" t="s">
        <v>367</v>
      </c>
      <c r="C140" t="s">
        <v>209</v>
      </c>
      <c r="D140" s="4">
        <v>35068</v>
      </c>
      <c r="E140" s="5">
        <v>0.18318695106649938</v>
      </c>
      <c r="F140" s="5">
        <v>1.4628721341393864E-2</v>
      </c>
      <c r="G140" s="5">
        <v>2.7090224706284934E-3</v>
      </c>
      <c r="H140" s="6">
        <v>7.4811375507835169</v>
      </c>
    </row>
    <row r="141" spans="1:8">
      <c r="A141" t="s">
        <v>368</v>
      </c>
      <c r="B141" t="s">
        <v>369</v>
      </c>
      <c r="C141" t="s">
        <v>262</v>
      </c>
      <c r="D141" s="4">
        <v>44975</v>
      </c>
      <c r="E141" s="5">
        <v>0.18263479710950528</v>
      </c>
      <c r="F141" s="5">
        <v>1.9655364091161757E-2</v>
      </c>
      <c r="G141" s="5">
        <v>2.112284602556976E-3</v>
      </c>
      <c r="H141" s="6">
        <v>5.9529048095281389</v>
      </c>
    </row>
    <row r="142" spans="1:8">
      <c r="A142" t="s">
        <v>370</v>
      </c>
      <c r="B142" t="s">
        <v>371</v>
      </c>
      <c r="C142" t="s">
        <v>157</v>
      </c>
      <c r="D142" s="4">
        <v>578878</v>
      </c>
      <c r="E142" s="5">
        <v>0.18165658394342157</v>
      </c>
      <c r="F142" s="5">
        <v>7.7201068273453129E-3</v>
      </c>
      <c r="G142" s="5">
        <v>2.8814361575323299E-3</v>
      </c>
      <c r="H142" s="6">
        <v>3.7126257767472559</v>
      </c>
    </row>
    <row r="143" spans="1:8">
      <c r="A143" t="s">
        <v>372</v>
      </c>
      <c r="B143" t="s">
        <v>373</v>
      </c>
      <c r="C143" t="s">
        <v>235</v>
      </c>
      <c r="D143" s="4">
        <v>69693</v>
      </c>
      <c r="E143" s="5">
        <v>0.18152468684085921</v>
      </c>
      <c r="F143" s="5">
        <v>1.5008680929218142E-2</v>
      </c>
      <c r="G143" s="5">
        <v>2.4823152970886602E-3</v>
      </c>
      <c r="H143" s="6">
        <v>6.4127990186056021</v>
      </c>
    </row>
    <row r="144" spans="1:8">
      <c r="A144" t="s">
        <v>374</v>
      </c>
      <c r="B144" t="s">
        <v>375</v>
      </c>
      <c r="C144" t="s">
        <v>376</v>
      </c>
      <c r="D144" s="4">
        <v>68296</v>
      </c>
      <c r="E144" s="5">
        <v>0.18140154621061264</v>
      </c>
      <c r="F144" s="5">
        <v>1.1113388778259342E-2</v>
      </c>
      <c r="G144" s="5">
        <v>2.708797001288509E-3</v>
      </c>
      <c r="H144" s="6">
        <v>6.0884457774082437</v>
      </c>
    </row>
    <row r="145" spans="1:8">
      <c r="A145" t="s">
        <v>377</v>
      </c>
      <c r="B145" t="s">
        <v>378</v>
      </c>
      <c r="C145" t="s">
        <v>379</v>
      </c>
      <c r="D145" s="4">
        <v>361729</v>
      </c>
      <c r="E145" s="5">
        <v>0.1810001409895253</v>
      </c>
      <c r="F145" s="5">
        <v>9.7116902432483991E-3</v>
      </c>
      <c r="G145" s="5">
        <v>2.4106444327106759E-3</v>
      </c>
      <c r="H145" s="6">
        <v>3.2028857347541866</v>
      </c>
    </row>
    <row r="146" spans="1:8">
      <c r="A146" t="s">
        <v>380</v>
      </c>
      <c r="B146" t="s">
        <v>381</v>
      </c>
      <c r="C146" t="s">
        <v>223</v>
      </c>
      <c r="D146" s="4">
        <v>13790</v>
      </c>
      <c r="E146" s="5">
        <v>0.18042059463379259</v>
      </c>
      <c r="F146" s="5">
        <v>2.0449601160261059E-2</v>
      </c>
      <c r="G146" s="5">
        <v>2.320522117476432E-3</v>
      </c>
      <c r="H146" s="6">
        <v>8.6611754229741766</v>
      </c>
    </row>
    <row r="147" spans="1:8">
      <c r="A147" t="s">
        <v>382</v>
      </c>
      <c r="B147" t="s">
        <v>383</v>
      </c>
      <c r="C147" t="s">
        <v>91</v>
      </c>
      <c r="D147" s="4">
        <v>15593</v>
      </c>
      <c r="E147" s="5">
        <v>0.18014493683062913</v>
      </c>
      <c r="F147" s="5">
        <v>1.5391521836721605E-2</v>
      </c>
      <c r="G147" s="5">
        <v>2.8859103443853013E-3</v>
      </c>
      <c r="H147" s="6">
        <v>6.8232950091455447</v>
      </c>
    </row>
    <row r="148" spans="1:8">
      <c r="A148" t="s">
        <v>384</v>
      </c>
      <c r="B148" t="s">
        <v>385</v>
      </c>
      <c r="C148" t="s">
        <v>209</v>
      </c>
      <c r="D148" s="4">
        <v>12415</v>
      </c>
      <c r="E148" s="5">
        <v>0.18002416431735804</v>
      </c>
      <c r="F148" s="5">
        <v>1.4901329037454692E-2</v>
      </c>
      <c r="G148" s="5">
        <v>8.0547724526782122E-4</v>
      </c>
      <c r="H148" s="6">
        <v>7.0454173486088383</v>
      </c>
    </row>
    <row r="149" spans="1:8">
      <c r="A149" t="s">
        <v>386</v>
      </c>
      <c r="B149" t="s">
        <v>387</v>
      </c>
      <c r="C149" t="s">
        <v>230</v>
      </c>
      <c r="D149" s="4">
        <v>11689</v>
      </c>
      <c r="E149" s="5">
        <v>0.17948498588416459</v>
      </c>
      <c r="F149" s="5">
        <v>6.7584908888698777E-3</v>
      </c>
      <c r="G149" s="5">
        <v>2.4809650098383093E-3</v>
      </c>
      <c r="H149" s="6">
        <v>8.006130731370348</v>
      </c>
    </row>
    <row r="150" spans="1:8">
      <c r="A150" t="s">
        <v>388</v>
      </c>
      <c r="B150" t="s">
        <v>389</v>
      </c>
      <c r="C150" t="s">
        <v>171</v>
      </c>
      <c r="D150" s="4">
        <v>50019</v>
      </c>
      <c r="E150" s="5">
        <v>0.1792918690897459</v>
      </c>
      <c r="F150" s="5">
        <v>1.4134628841040405E-2</v>
      </c>
      <c r="G150" s="5">
        <v>2.9188908214878347E-3</v>
      </c>
      <c r="H150" s="6">
        <v>6.3836797787088635</v>
      </c>
    </row>
    <row r="151" spans="1:8">
      <c r="A151" t="s">
        <v>390</v>
      </c>
      <c r="B151" t="s">
        <v>391</v>
      </c>
      <c r="C151" t="s">
        <v>157</v>
      </c>
      <c r="D151" s="4">
        <v>133414</v>
      </c>
      <c r="E151" s="5">
        <v>0.17913412385506769</v>
      </c>
      <c r="F151" s="5">
        <v>1.0696028902513978E-2</v>
      </c>
      <c r="G151" s="5">
        <v>2.9756997016804833E-3</v>
      </c>
      <c r="H151" s="6">
        <v>5.0298578919370769</v>
      </c>
    </row>
    <row r="152" spans="1:8">
      <c r="A152" t="s">
        <v>392</v>
      </c>
      <c r="B152" t="s">
        <v>393</v>
      </c>
      <c r="C152" t="s">
        <v>394</v>
      </c>
      <c r="D152" s="4">
        <v>17904</v>
      </c>
      <c r="E152" s="5">
        <v>0.17901027703306524</v>
      </c>
      <c r="F152" s="5">
        <v>1.9660411081322611E-2</v>
      </c>
      <c r="G152" s="5">
        <v>3.1277926720285972E-3</v>
      </c>
      <c r="H152" s="6">
        <v>5.0292066758116141</v>
      </c>
    </row>
    <row r="153" spans="1:8">
      <c r="A153" t="s">
        <v>395</v>
      </c>
      <c r="B153" t="s">
        <v>396</v>
      </c>
      <c r="C153" t="s">
        <v>397</v>
      </c>
      <c r="D153" s="4">
        <v>11069</v>
      </c>
      <c r="E153" s="5">
        <v>0.1785165778299756</v>
      </c>
      <c r="F153" s="5">
        <v>7.9501309964766457E-3</v>
      </c>
      <c r="G153" s="5">
        <v>4.1557502936127927E-3</v>
      </c>
      <c r="H153" s="6">
        <v>8.6893461362597169</v>
      </c>
    </row>
    <row r="154" spans="1:8">
      <c r="A154" t="s">
        <v>398</v>
      </c>
      <c r="B154" t="s">
        <v>399</v>
      </c>
      <c r="C154" t="s">
        <v>157</v>
      </c>
      <c r="D154" s="4">
        <v>121915</v>
      </c>
      <c r="E154" s="5">
        <v>0.17787802977484313</v>
      </c>
      <c r="F154" s="5">
        <v>7.4314071279169914E-3</v>
      </c>
      <c r="G154" s="5">
        <v>1.4436287577410491E-3</v>
      </c>
      <c r="H154" s="6">
        <v>2.9758923472892338</v>
      </c>
    </row>
    <row r="155" spans="1:8">
      <c r="A155" t="s">
        <v>400</v>
      </c>
      <c r="B155" t="s">
        <v>401</v>
      </c>
      <c r="C155" t="s">
        <v>157</v>
      </c>
      <c r="D155" s="4">
        <v>22930</v>
      </c>
      <c r="E155" s="5">
        <v>0.1771478412559965</v>
      </c>
      <c r="F155" s="5">
        <v>1.3911905800261666E-2</v>
      </c>
      <c r="G155" s="5">
        <v>1.7008286088094199E-3</v>
      </c>
      <c r="H155" s="6">
        <v>6.1856282119440014</v>
      </c>
    </row>
    <row r="156" spans="1:8">
      <c r="A156" t="s">
        <v>402</v>
      </c>
      <c r="B156" t="s">
        <v>403</v>
      </c>
      <c r="C156" t="s">
        <v>128</v>
      </c>
      <c r="D156" s="4">
        <v>8756</v>
      </c>
      <c r="E156" s="5">
        <v>0.17713567839195979</v>
      </c>
      <c r="F156" s="5">
        <v>1.5532206486980357E-2</v>
      </c>
      <c r="G156" s="5">
        <v>2.9693924166285975E-3</v>
      </c>
      <c r="H156" s="6">
        <v>2.2947405166395161</v>
      </c>
    </row>
    <row r="157" spans="1:8">
      <c r="A157" t="s">
        <v>404</v>
      </c>
      <c r="B157" t="s">
        <v>405</v>
      </c>
      <c r="C157" t="s">
        <v>157</v>
      </c>
      <c r="D157" s="4">
        <v>42640</v>
      </c>
      <c r="E157" s="5">
        <v>0.17680581613508442</v>
      </c>
      <c r="F157" s="5">
        <v>8.2786116322701685E-3</v>
      </c>
      <c r="G157" s="5">
        <v>2.8611632270168857E-3</v>
      </c>
      <c r="H157" s="6">
        <v>4.24062611170402</v>
      </c>
    </row>
    <row r="158" spans="1:8">
      <c r="A158" t="s">
        <v>406</v>
      </c>
      <c r="B158" t="s">
        <v>407</v>
      </c>
      <c r="C158" t="s">
        <v>212</v>
      </c>
      <c r="D158" s="4">
        <v>70992</v>
      </c>
      <c r="E158" s="5">
        <v>0.17678048230786567</v>
      </c>
      <c r="F158" s="5">
        <v>1.1635113815641199E-2</v>
      </c>
      <c r="G158" s="5">
        <v>2.1692585080009016E-3</v>
      </c>
      <c r="H158" s="6">
        <v>5.1428469405244819</v>
      </c>
    </row>
    <row r="159" spans="1:8">
      <c r="A159" t="s">
        <v>408</v>
      </c>
      <c r="B159" t="s">
        <v>409</v>
      </c>
      <c r="C159" t="s">
        <v>125</v>
      </c>
      <c r="D159" s="4">
        <v>140066</v>
      </c>
      <c r="E159" s="5">
        <v>0.17630260020276156</v>
      </c>
      <c r="F159" s="5">
        <v>1.4343238187711507E-2</v>
      </c>
      <c r="G159" s="5">
        <v>2.2203818199991432E-3</v>
      </c>
      <c r="H159" s="6">
        <v>4.5282040857810752</v>
      </c>
    </row>
    <row r="160" spans="1:8">
      <c r="A160" t="s">
        <v>410</v>
      </c>
      <c r="B160" t="s">
        <v>411</v>
      </c>
      <c r="C160" t="s">
        <v>333</v>
      </c>
      <c r="D160" s="4">
        <v>70537</v>
      </c>
      <c r="E160" s="5">
        <v>0.17512794703488949</v>
      </c>
      <c r="F160" s="5">
        <v>1.4503026780271346E-2</v>
      </c>
      <c r="G160" s="5">
        <v>2.2824900406878661E-3</v>
      </c>
      <c r="H160" s="6">
        <v>5.3785993396103988</v>
      </c>
    </row>
    <row r="161" spans="1:8">
      <c r="A161" t="s">
        <v>412</v>
      </c>
      <c r="B161" t="s">
        <v>413</v>
      </c>
      <c r="C161" t="s">
        <v>157</v>
      </c>
      <c r="D161" s="4">
        <v>36300</v>
      </c>
      <c r="E161" s="5">
        <v>0.17484848484848484</v>
      </c>
      <c r="F161" s="5">
        <v>6.9696969696969695E-3</v>
      </c>
      <c r="G161" s="5">
        <v>2.3691460055096417E-3</v>
      </c>
      <c r="H161" s="6">
        <v>6.0480242484914211</v>
      </c>
    </row>
    <row r="162" spans="1:8">
      <c r="A162" t="s">
        <v>414</v>
      </c>
      <c r="B162" t="s">
        <v>415</v>
      </c>
      <c r="C162" t="s">
        <v>196</v>
      </c>
      <c r="D162" s="4">
        <v>128057</v>
      </c>
      <c r="E162" s="5">
        <v>0.17430519221908994</v>
      </c>
      <c r="F162" s="5">
        <v>1.3447136821884005E-2</v>
      </c>
      <c r="G162" s="5">
        <v>2.1318631546889278E-3</v>
      </c>
      <c r="H162" s="6">
        <v>3.909885611841792</v>
      </c>
    </row>
    <row r="163" spans="1:8">
      <c r="A163" t="s">
        <v>416</v>
      </c>
      <c r="B163" t="s">
        <v>417</v>
      </c>
      <c r="C163" t="s">
        <v>91</v>
      </c>
      <c r="D163" s="4">
        <v>122957</v>
      </c>
      <c r="E163" s="5">
        <v>0.17367860308888472</v>
      </c>
      <c r="F163" s="5">
        <v>1.1020112722333823E-2</v>
      </c>
      <c r="G163" s="5">
        <v>2.1714908463934548E-3</v>
      </c>
      <c r="H163" s="6">
        <v>5.3337042073597889</v>
      </c>
    </row>
    <row r="164" spans="1:8">
      <c r="A164" t="s">
        <v>418</v>
      </c>
      <c r="B164" t="s">
        <v>419</v>
      </c>
      <c r="C164" t="s">
        <v>157</v>
      </c>
      <c r="D164" s="4">
        <v>91078</v>
      </c>
      <c r="E164" s="5">
        <v>0.17321416807571532</v>
      </c>
      <c r="F164" s="5">
        <v>1.4174663475262961E-2</v>
      </c>
      <c r="G164" s="5">
        <v>2.4594303783570127E-3</v>
      </c>
      <c r="H164" s="6">
        <v>3.054107164789031</v>
      </c>
    </row>
    <row r="165" spans="1:8">
      <c r="A165" t="s">
        <v>420</v>
      </c>
      <c r="B165" t="s">
        <v>421</v>
      </c>
      <c r="C165" t="s">
        <v>262</v>
      </c>
      <c r="D165" s="4">
        <v>18451</v>
      </c>
      <c r="E165" s="5">
        <v>0.17272776543276788</v>
      </c>
      <c r="F165" s="5">
        <v>2.0432496883637744E-2</v>
      </c>
      <c r="G165" s="5">
        <v>2.3846945964988348E-3</v>
      </c>
      <c r="H165" s="6">
        <v>5.4995008319467553</v>
      </c>
    </row>
    <row r="166" spans="1:8">
      <c r="A166" t="s">
        <v>422</v>
      </c>
      <c r="B166" t="s">
        <v>423</v>
      </c>
      <c r="C166" t="s">
        <v>139</v>
      </c>
      <c r="D166" s="4">
        <v>129137</v>
      </c>
      <c r="E166" s="5">
        <v>0.17228989367880623</v>
      </c>
      <c r="F166" s="5">
        <v>1.407807212495257E-2</v>
      </c>
      <c r="G166" s="5">
        <v>1.7113608028682717E-3</v>
      </c>
      <c r="H166" s="6">
        <v>3.4870493634832962</v>
      </c>
    </row>
    <row r="167" spans="1:8">
      <c r="A167" t="s">
        <v>424</v>
      </c>
      <c r="B167" t="s">
        <v>425</v>
      </c>
      <c r="C167" t="s">
        <v>120</v>
      </c>
      <c r="D167" s="4">
        <v>5254</v>
      </c>
      <c r="E167" s="5">
        <v>0.17205938332698897</v>
      </c>
      <c r="F167" s="5">
        <v>1.3513513513513514E-2</v>
      </c>
      <c r="G167" s="5">
        <v>2.8549676437000381E-3</v>
      </c>
      <c r="H167" s="6">
        <v>4.2352941176470589</v>
      </c>
    </row>
    <row r="168" spans="1:8">
      <c r="A168" t="s">
        <v>426</v>
      </c>
      <c r="B168" t="s">
        <v>427</v>
      </c>
      <c r="C168" t="s">
        <v>196</v>
      </c>
      <c r="D168" s="4">
        <v>22629</v>
      </c>
      <c r="E168" s="5">
        <v>0.17181492774758053</v>
      </c>
      <c r="F168" s="5">
        <v>1.4848203632506961E-2</v>
      </c>
      <c r="G168" s="5">
        <v>2.695656016615847E-3</v>
      </c>
      <c r="H168" s="6">
        <v>4.7688916876574305</v>
      </c>
    </row>
    <row r="169" spans="1:8">
      <c r="A169" t="s">
        <v>428</v>
      </c>
      <c r="B169" t="s">
        <v>429</v>
      </c>
      <c r="C169" t="s">
        <v>102</v>
      </c>
      <c r="D169" s="4">
        <v>22942</v>
      </c>
      <c r="E169" s="5">
        <v>0.17147589573707611</v>
      </c>
      <c r="F169" s="5">
        <v>2.2927382093976115E-2</v>
      </c>
      <c r="G169" s="5">
        <v>2.0922325865225353E-3</v>
      </c>
      <c r="H169" s="6">
        <v>6.0080025035765381</v>
      </c>
    </row>
    <row r="170" spans="1:8">
      <c r="A170" t="s">
        <v>430</v>
      </c>
      <c r="B170" t="s">
        <v>431</v>
      </c>
      <c r="C170" t="s">
        <v>379</v>
      </c>
      <c r="D170" s="4">
        <v>6336</v>
      </c>
      <c r="E170" s="5">
        <v>0.17124368686868688</v>
      </c>
      <c r="F170" s="5">
        <v>1.452020202020202E-2</v>
      </c>
      <c r="G170" s="5">
        <v>7.8914141414141413E-4</v>
      </c>
      <c r="H170" s="6">
        <v>7.4454239461452154</v>
      </c>
    </row>
    <row r="171" spans="1:8">
      <c r="A171" t="s">
        <v>432</v>
      </c>
      <c r="B171" t="s">
        <v>433</v>
      </c>
      <c r="C171" t="s">
        <v>91</v>
      </c>
      <c r="D171" s="4">
        <v>18499</v>
      </c>
      <c r="E171" s="5">
        <v>0.17054975944645656</v>
      </c>
      <c r="F171" s="5">
        <v>1.5081896318719932E-2</v>
      </c>
      <c r="G171" s="5">
        <v>2.8109627547434997E-3</v>
      </c>
      <c r="H171" s="6">
        <v>5.8348194627917218</v>
      </c>
    </row>
    <row r="172" spans="1:8">
      <c r="A172" t="s">
        <v>434</v>
      </c>
      <c r="B172" t="s">
        <v>435</v>
      </c>
      <c r="C172" t="s">
        <v>193</v>
      </c>
      <c r="D172" s="4">
        <v>72820</v>
      </c>
      <c r="E172" s="5">
        <v>0.17033781928041747</v>
      </c>
      <c r="F172" s="5">
        <v>8.6789343586926668E-3</v>
      </c>
      <c r="G172" s="5">
        <v>2.3894534468552595E-3</v>
      </c>
      <c r="H172" s="6">
        <v>4.2397589357624907</v>
      </c>
    </row>
    <row r="173" spans="1:8">
      <c r="A173" t="s">
        <v>436</v>
      </c>
      <c r="B173" t="s">
        <v>437</v>
      </c>
      <c r="C173" t="s">
        <v>230</v>
      </c>
      <c r="D173" s="4">
        <v>12471</v>
      </c>
      <c r="E173" s="5">
        <v>0.17023494507256837</v>
      </c>
      <c r="F173" s="5">
        <v>9.4619517280089809E-3</v>
      </c>
      <c r="G173" s="5">
        <v>3.1272552321385616E-3</v>
      </c>
      <c r="H173" s="6">
        <v>4.770586324508689</v>
      </c>
    </row>
    <row r="174" spans="1:8">
      <c r="A174" t="s">
        <v>438</v>
      </c>
      <c r="B174" t="s">
        <v>439</v>
      </c>
      <c r="C174" t="s">
        <v>157</v>
      </c>
      <c r="D174" s="4">
        <v>13516</v>
      </c>
      <c r="E174" s="5">
        <v>0.17009470257472625</v>
      </c>
      <c r="F174" s="5">
        <v>9.6922166321396861E-3</v>
      </c>
      <c r="G174" s="5">
        <v>2.2935779816513763E-3</v>
      </c>
      <c r="H174" s="6">
        <v>7.6317208327093002</v>
      </c>
    </row>
    <row r="175" spans="1:8">
      <c r="A175" t="s">
        <v>440</v>
      </c>
      <c r="B175" t="s">
        <v>441</v>
      </c>
      <c r="C175" t="s">
        <v>442</v>
      </c>
      <c r="D175" s="4">
        <v>18024</v>
      </c>
      <c r="E175" s="5">
        <v>0.16849755881047493</v>
      </c>
      <c r="F175" s="5">
        <v>1.0707944962272526E-2</v>
      </c>
      <c r="G175" s="5">
        <v>2.1083000443852641E-3</v>
      </c>
      <c r="H175" s="6">
        <v>6.7829483504749062</v>
      </c>
    </row>
    <row r="176" spans="1:8">
      <c r="A176" t="s">
        <v>443</v>
      </c>
      <c r="B176" t="s">
        <v>444</v>
      </c>
      <c r="C176" t="s">
        <v>442</v>
      </c>
      <c r="D176" s="4">
        <v>22933</v>
      </c>
      <c r="E176" s="5">
        <v>0.16805476823791043</v>
      </c>
      <c r="F176" s="5">
        <v>9.4623468364365762E-3</v>
      </c>
      <c r="G176" s="5">
        <v>2.3546853878690099E-3</v>
      </c>
      <c r="H176" s="6">
        <v>6.2885005736475152</v>
      </c>
    </row>
    <row r="177" spans="1:8">
      <c r="A177" t="s">
        <v>445</v>
      </c>
      <c r="B177" t="s">
        <v>446</v>
      </c>
      <c r="C177" t="s">
        <v>82</v>
      </c>
      <c r="D177" s="4">
        <v>15538</v>
      </c>
      <c r="E177" s="5">
        <v>0.16700991118548075</v>
      </c>
      <c r="F177" s="5">
        <v>1.7248037070408031E-2</v>
      </c>
      <c r="G177" s="5">
        <v>1.6733170292186897E-3</v>
      </c>
      <c r="H177" s="6">
        <v>4.9156389399107843</v>
      </c>
    </row>
    <row r="178" spans="1:8">
      <c r="A178" t="s">
        <v>447</v>
      </c>
      <c r="B178" t="s">
        <v>448</v>
      </c>
      <c r="C178" t="s">
        <v>171</v>
      </c>
      <c r="D178" s="4">
        <v>6872</v>
      </c>
      <c r="E178" s="5">
        <v>0.16690919674039581</v>
      </c>
      <c r="F178" s="5">
        <v>1.8917345750873109E-2</v>
      </c>
      <c r="G178" s="5">
        <v>2.9103608847497091E-3</v>
      </c>
      <c r="H178" s="6">
        <v>4.6875929782802741</v>
      </c>
    </row>
    <row r="179" spans="1:8">
      <c r="A179" t="s">
        <v>449</v>
      </c>
      <c r="B179" t="s">
        <v>450</v>
      </c>
      <c r="C179" t="s">
        <v>442</v>
      </c>
      <c r="D179" s="4">
        <v>179425</v>
      </c>
      <c r="E179" s="5">
        <v>0.1665431238679114</v>
      </c>
      <c r="F179" s="5">
        <v>9.797965723840044E-3</v>
      </c>
      <c r="G179" s="5">
        <v>2.1959035808833773E-3</v>
      </c>
      <c r="H179" s="6">
        <v>3.4891212987877456</v>
      </c>
    </row>
    <row r="180" spans="1:8">
      <c r="A180" t="s">
        <v>451</v>
      </c>
      <c r="B180" t="s">
        <v>452</v>
      </c>
      <c r="C180" t="s">
        <v>91</v>
      </c>
      <c r="D180" s="4">
        <v>51528</v>
      </c>
      <c r="E180" s="5">
        <v>0.16627852817885422</v>
      </c>
      <c r="F180" s="5">
        <v>9.3735444806707039E-3</v>
      </c>
      <c r="G180" s="5">
        <v>2.872224809812141E-3</v>
      </c>
      <c r="H180" s="6">
        <v>4.9791146825942594</v>
      </c>
    </row>
    <row r="181" spans="1:8">
      <c r="A181" t="s">
        <v>453</v>
      </c>
      <c r="B181" t="s">
        <v>454</v>
      </c>
      <c r="C181" t="s">
        <v>262</v>
      </c>
      <c r="D181" s="4">
        <v>43958</v>
      </c>
      <c r="E181" s="5">
        <v>0.16606760999135539</v>
      </c>
      <c r="F181" s="5">
        <v>1.571955048000364E-2</v>
      </c>
      <c r="G181" s="5">
        <v>2.3658947176850632E-3</v>
      </c>
      <c r="H181" s="6">
        <v>3.8592544540462899</v>
      </c>
    </row>
    <row r="182" spans="1:8">
      <c r="A182" t="s">
        <v>455</v>
      </c>
      <c r="B182" t="s">
        <v>456</v>
      </c>
      <c r="C182" t="s">
        <v>157</v>
      </c>
      <c r="D182" s="4">
        <v>165920</v>
      </c>
      <c r="E182" s="5">
        <v>0.16604990356798457</v>
      </c>
      <c r="F182" s="5">
        <v>7.1600771456123433E-3</v>
      </c>
      <c r="G182" s="5">
        <v>2.0250723240115716E-3</v>
      </c>
      <c r="H182" s="6">
        <v>3.1477955668021118</v>
      </c>
    </row>
    <row r="183" spans="1:8">
      <c r="A183" t="s">
        <v>457</v>
      </c>
      <c r="B183" t="s">
        <v>458</v>
      </c>
      <c r="C183" t="s">
        <v>376</v>
      </c>
      <c r="D183" s="4">
        <v>51784</v>
      </c>
      <c r="E183" s="5">
        <v>0.16586204232967713</v>
      </c>
      <c r="F183" s="5">
        <v>1.262938359338792E-2</v>
      </c>
      <c r="G183" s="5">
        <v>2.1435192337401513E-3</v>
      </c>
      <c r="H183" s="6">
        <v>4.5643975773731356</v>
      </c>
    </row>
    <row r="184" spans="1:8">
      <c r="A184" t="s">
        <v>459</v>
      </c>
      <c r="B184" t="s">
        <v>460</v>
      </c>
      <c r="C184" t="s">
        <v>102</v>
      </c>
      <c r="D184" s="4">
        <v>33243</v>
      </c>
      <c r="E184" s="5">
        <v>0.16568901723671148</v>
      </c>
      <c r="F184" s="5">
        <v>1.9192010348043197E-2</v>
      </c>
      <c r="G184" s="5">
        <v>1.4439130042414945E-3</v>
      </c>
      <c r="H184" s="6">
        <v>3.4446662776054304</v>
      </c>
    </row>
    <row r="185" spans="1:8">
      <c r="A185" t="s">
        <v>461</v>
      </c>
      <c r="B185" t="s">
        <v>462</v>
      </c>
      <c r="C185" t="s">
        <v>186</v>
      </c>
      <c r="D185" s="4">
        <v>338822</v>
      </c>
      <c r="E185" s="5">
        <v>0.16555005283009958</v>
      </c>
      <c r="F185" s="5">
        <v>6.2540212855127474E-3</v>
      </c>
      <c r="G185" s="5">
        <v>2.7005330232393412E-3</v>
      </c>
      <c r="H185" s="6">
        <v>2.7573081825437478</v>
      </c>
    </row>
    <row r="186" spans="1:8">
      <c r="A186" t="s">
        <v>463</v>
      </c>
      <c r="B186" t="s">
        <v>464</v>
      </c>
      <c r="C186" t="s">
        <v>465</v>
      </c>
      <c r="D186" s="4">
        <v>55253</v>
      </c>
      <c r="E186" s="5">
        <v>0.16534848786491232</v>
      </c>
      <c r="F186" s="5">
        <v>1.2469911136046912E-2</v>
      </c>
      <c r="G186" s="5">
        <v>2.5880947640852079E-3</v>
      </c>
      <c r="H186" s="6">
        <v>1.8918799728046158</v>
      </c>
    </row>
    <row r="187" spans="1:8">
      <c r="A187" t="s">
        <v>466</v>
      </c>
      <c r="B187" t="s">
        <v>467</v>
      </c>
      <c r="C187" t="s">
        <v>157</v>
      </c>
      <c r="D187" s="4">
        <v>76661</v>
      </c>
      <c r="E187" s="5">
        <v>0.16407299669975606</v>
      </c>
      <c r="F187" s="5">
        <v>9.7181095994051739E-3</v>
      </c>
      <c r="G187" s="5">
        <v>1.8783997078044899E-3</v>
      </c>
      <c r="H187" s="6">
        <v>3.7744813387531013</v>
      </c>
    </row>
    <row r="188" spans="1:8">
      <c r="A188" t="s">
        <v>468</v>
      </c>
      <c r="B188" t="s">
        <v>469</v>
      </c>
      <c r="C188" t="s">
        <v>465</v>
      </c>
      <c r="D188" s="4">
        <v>10260</v>
      </c>
      <c r="E188" s="5">
        <v>0.16189083820662767</v>
      </c>
      <c r="F188" s="5">
        <v>8.8693957115009749E-3</v>
      </c>
      <c r="G188" s="5">
        <v>2.9239766081871346E-4</v>
      </c>
      <c r="H188" s="6">
        <v>1.1624040920716112</v>
      </c>
    </row>
    <row r="189" spans="1:8">
      <c r="A189" t="s">
        <v>470</v>
      </c>
      <c r="B189" t="s">
        <v>471</v>
      </c>
      <c r="C189" t="s">
        <v>139</v>
      </c>
      <c r="D189" s="4">
        <v>11783</v>
      </c>
      <c r="E189" s="5">
        <v>0.16133412543494866</v>
      </c>
      <c r="F189" s="5">
        <v>1.1457184078757532E-2</v>
      </c>
      <c r="G189" s="5">
        <v>4.4131375710769749E-3</v>
      </c>
      <c r="H189" s="6">
        <v>3.6703173508106244</v>
      </c>
    </row>
    <row r="190" spans="1:8">
      <c r="A190" t="s">
        <v>472</v>
      </c>
      <c r="B190" t="s">
        <v>473</v>
      </c>
      <c r="C190" t="s">
        <v>91</v>
      </c>
      <c r="D190" s="4">
        <v>27259</v>
      </c>
      <c r="E190" s="5">
        <v>0.16130452327671593</v>
      </c>
      <c r="F190" s="5">
        <v>1.3169962214314539E-2</v>
      </c>
      <c r="G190" s="5">
        <v>3.0081807843281116E-3</v>
      </c>
      <c r="H190" s="6">
        <v>4.8991349093892165</v>
      </c>
    </row>
    <row r="191" spans="1:8">
      <c r="A191" t="s">
        <v>474</v>
      </c>
      <c r="B191" t="s">
        <v>327</v>
      </c>
      <c r="C191" t="s">
        <v>328</v>
      </c>
      <c r="D191" s="4">
        <v>17856</v>
      </c>
      <c r="E191" s="5">
        <v>0.16078629032258066</v>
      </c>
      <c r="F191" s="5">
        <v>4.7603046594982077E-3</v>
      </c>
      <c r="G191" s="5">
        <v>2.9681899641577059E-3</v>
      </c>
      <c r="H191" s="6">
        <v>1.6173383000338639</v>
      </c>
    </row>
    <row r="192" spans="1:8">
      <c r="A192" t="s">
        <v>475</v>
      </c>
      <c r="B192" t="s">
        <v>476</v>
      </c>
      <c r="C192" t="s">
        <v>465</v>
      </c>
      <c r="D192" s="4">
        <v>7392</v>
      </c>
      <c r="E192" s="5">
        <v>0.16044372294372294</v>
      </c>
      <c r="F192" s="5">
        <v>1.9886363636363636E-2</v>
      </c>
      <c r="G192" s="5">
        <v>2.976190476190476E-3</v>
      </c>
      <c r="H192" s="6">
        <v>-0.37172919839401908</v>
      </c>
    </row>
    <row r="193" spans="1:8">
      <c r="A193" t="s">
        <v>477</v>
      </c>
      <c r="B193" t="s">
        <v>478</v>
      </c>
      <c r="C193" t="s">
        <v>328</v>
      </c>
      <c r="D193" s="4">
        <v>5233</v>
      </c>
      <c r="E193" s="5">
        <v>0.15803554366520162</v>
      </c>
      <c r="F193" s="5">
        <v>1.7007452703993883E-2</v>
      </c>
      <c r="G193" s="5">
        <v>2.1020447162239633E-3</v>
      </c>
      <c r="H193" s="6">
        <v>7.7952464445743228</v>
      </c>
    </row>
    <row r="194" spans="1:8">
      <c r="A194" t="s">
        <v>479</v>
      </c>
      <c r="B194" t="s">
        <v>480</v>
      </c>
      <c r="C194" t="s">
        <v>481</v>
      </c>
      <c r="D194" s="4">
        <v>20233</v>
      </c>
      <c r="E194" s="5">
        <v>0.15800919290268373</v>
      </c>
      <c r="F194" s="5">
        <v>1.448129293728068E-2</v>
      </c>
      <c r="G194" s="5">
        <v>1.6309988632432165E-3</v>
      </c>
      <c r="H194" s="6">
        <v>4.1210629426834782</v>
      </c>
    </row>
    <row r="195" spans="1:8">
      <c r="A195" t="s">
        <v>482</v>
      </c>
      <c r="B195" t="s">
        <v>483</v>
      </c>
      <c r="C195" t="s">
        <v>235</v>
      </c>
      <c r="D195" s="4">
        <v>6321</v>
      </c>
      <c r="E195" s="5">
        <v>0.15741180193007437</v>
      </c>
      <c r="F195" s="5">
        <v>9.4921689606074985E-3</v>
      </c>
      <c r="G195" s="5">
        <v>1.2656225280809998E-3</v>
      </c>
      <c r="H195" s="6">
        <v>2.1773548696625618</v>
      </c>
    </row>
    <row r="196" spans="1:8">
      <c r="A196" t="s">
        <v>484</v>
      </c>
      <c r="B196" t="s">
        <v>485</v>
      </c>
      <c r="C196" t="s">
        <v>397</v>
      </c>
      <c r="D196" s="4">
        <v>67517</v>
      </c>
      <c r="E196" s="5">
        <v>0.15723447428055157</v>
      </c>
      <c r="F196" s="5">
        <v>5.4356680539715922E-3</v>
      </c>
      <c r="G196" s="5">
        <v>1.8958188308129803E-3</v>
      </c>
      <c r="H196" s="6">
        <v>2.4899286801348812</v>
      </c>
    </row>
    <row r="197" spans="1:8">
      <c r="A197" t="s">
        <v>486</v>
      </c>
      <c r="B197" t="s">
        <v>487</v>
      </c>
      <c r="C197" t="s">
        <v>488</v>
      </c>
      <c r="D197" s="4">
        <v>82093</v>
      </c>
      <c r="E197" s="5">
        <v>0.15695613511505244</v>
      </c>
      <c r="F197" s="5">
        <v>1.0147028370262995E-2</v>
      </c>
      <c r="G197" s="5">
        <v>1.5713885471355658E-3</v>
      </c>
      <c r="H197" s="6">
        <v>2.1742367282543049</v>
      </c>
    </row>
    <row r="198" spans="1:8">
      <c r="A198" t="s">
        <v>489</v>
      </c>
      <c r="B198" t="s">
        <v>490</v>
      </c>
      <c r="C198" t="s">
        <v>157</v>
      </c>
      <c r="D198" s="4">
        <v>148322</v>
      </c>
      <c r="E198" s="5">
        <v>0.1561669880395356</v>
      </c>
      <c r="F198" s="5">
        <v>7.0117716859265655E-3</v>
      </c>
      <c r="G198" s="5">
        <v>1.7192324806839174E-3</v>
      </c>
      <c r="H198" s="6">
        <v>1.285206118604066</v>
      </c>
    </row>
    <row r="199" spans="1:8">
      <c r="A199" t="s">
        <v>491</v>
      </c>
      <c r="B199" t="s">
        <v>492</v>
      </c>
      <c r="C199" t="s">
        <v>157</v>
      </c>
      <c r="D199" s="4">
        <v>8352</v>
      </c>
      <c r="E199" s="5">
        <v>0.15613026819923373</v>
      </c>
      <c r="F199" s="5">
        <v>7.1839080459770114E-3</v>
      </c>
      <c r="G199" s="5">
        <v>3.1130268199233715E-3</v>
      </c>
      <c r="H199" s="6">
        <v>4.0215339946769904</v>
      </c>
    </row>
    <row r="200" spans="1:8">
      <c r="A200" t="s">
        <v>493</v>
      </c>
      <c r="B200" t="s">
        <v>494</v>
      </c>
      <c r="C200" t="s">
        <v>82</v>
      </c>
      <c r="D200" s="4">
        <v>8452</v>
      </c>
      <c r="E200" s="5">
        <v>0.15558447704685283</v>
      </c>
      <c r="F200" s="5">
        <v>1.407950780880265E-2</v>
      </c>
      <c r="G200" s="5">
        <v>2.0113582584003788E-3</v>
      </c>
      <c r="H200" s="6">
        <v>3.083934583934584</v>
      </c>
    </row>
    <row r="201" spans="1:8">
      <c r="A201" t="s">
        <v>495</v>
      </c>
      <c r="B201" t="s">
        <v>496</v>
      </c>
      <c r="C201" t="s">
        <v>488</v>
      </c>
      <c r="D201" s="4">
        <v>182189</v>
      </c>
      <c r="E201" s="5">
        <v>0.15446047785541389</v>
      </c>
      <c r="F201" s="5">
        <v>9.1498389035561973E-3</v>
      </c>
      <c r="G201" s="5">
        <v>1.1526491720136782E-3</v>
      </c>
      <c r="H201" s="6">
        <v>2.8704301433071566</v>
      </c>
    </row>
    <row r="202" spans="1:8">
      <c r="A202" t="s">
        <v>497</v>
      </c>
      <c r="B202" t="s">
        <v>498</v>
      </c>
      <c r="C202" t="s">
        <v>328</v>
      </c>
      <c r="D202" s="4">
        <v>56009</v>
      </c>
      <c r="E202" s="5">
        <v>0.15426092235176489</v>
      </c>
      <c r="F202" s="5">
        <v>7.5166491099644701E-3</v>
      </c>
      <c r="G202" s="5">
        <v>1.7854273420343158E-3</v>
      </c>
      <c r="H202" s="6">
        <v>3.6187824394463668</v>
      </c>
    </row>
    <row r="203" spans="1:8">
      <c r="A203" t="s">
        <v>499</v>
      </c>
      <c r="B203" t="s">
        <v>500</v>
      </c>
      <c r="C203" t="s">
        <v>91</v>
      </c>
      <c r="D203" s="4">
        <v>12392</v>
      </c>
      <c r="E203" s="5">
        <v>0.15421239509360879</v>
      </c>
      <c r="F203" s="5">
        <v>1.6865719819238217E-2</v>
      </c>
      <c r="G203" s="5">
        <v>1.856036152356359E-3</v>
      </c>
      <c r="H203" s="6">
        <v>2.4548519736842107</v>
      </c>
    </row>
    <row r="204" spans="1:8">
      <c r="A204" t="s">
        <v>501</v>
      </c>
      <c r="B204" t="s">
        <v>502</v>
      </c>
      <c r="C204" t="s">
        <v>217</v>
      </c>
      <c r="D204" s="4">
        <v>7578</v>
      </c>
      <c r="E204" s="5">
        <v>0.15175508049617314</v>
      </c>
      <c r="F204" s="5">
        <v>7.521773555027712E-3</v>
      </c>
      <c r="G204" s="5">
        <v>1.7154922143045659E-3</v>
      </c>
      <c r="H204" s="6">
        <v>3.0067927543953115</v>
      </c>
    </row>
    <row r="205" spans="1:8">
      <c r="A205" t="s">
        <v>503</v>
      </c>
      <c r="B205" t="s">
        <v>504</v>
      </c>
      <c r="C205" t="s">
        <v>157</v>
      </c>
      <c r="D205" s="4">
        <v>50876</v>
      </c>
      <c r="E205" s="5">
        <v>0.15170217784417014</v>
      </c>
      <c r="F205" s="5">
        <v>6.0342794244830572E-3</v>
      </c>
      <c r="G205" s="5">
        <v>1.5724506643604056E-3</v>
      </c>
      <c r="H205" s="6">
        <v>0.68795183109192104</v>
      </c>
    </row>
    <row r="206" spans="1:8">
      <c r="A206" t="s">
        <v>505</v>
      </c>
      <c r="B206" t="s">
        <v>506</v>
      </c>
      <c r="C206" t="s">
        <v>91</v>
      </c>
      <c r="D206" s="4">
        <v>11543</v>
      </c>
      <c r="E206" s="5">
        <v>0.15169366715758467</v>
      </c>
      <c r="F206" s="5">
        <v>1.6546824915533224E-2</v>
      </c>
      <c r="G206" s="5">
        <v>1.4727540500736377E-3</v>
      </c>
      <c r="H206" s="6">
        <v>3.1054256726951919</v>
      </c>
    </row>
    <row r="207" spans="1:8">
      <c r="A207" t="s">
        <v>507</v>
      </c>
      <c r="B207" t="s">
        <v>508</v>
      </c>
      <c r="C207" t="s">
        <v>217</v>
      </c>
      <c r="D207" s="4">
        <v>52285</v>
      </c>
      <c r="E207" s="5">
        <v>0.15092282681457397</v>
      </c>
      <c r="F207" s="5">
        <v>6.0055465238596159E-3</v>
      </c>
      <c r="G207" s="5">
        <v>1.7404609352586783E-3</v>
      </c>
      <c r="H207" s="6">
        <v>2.2735929067077874</v>
      </c>
    </row>
    <row r="208" spans="1:8">
      <c r="A208" t="s">
        <v>509</v>
      </c>
      <c r="B208" t="s">
        <v>510</v>
      </c>
      <c r="C208" t="s">
        <v>481</v>
      </c>
      <c r="D208" s="4">
        <v>9641</v>
      </c>
      <c r="E208" s="5">
        <v>0.14915465200705322</v>
      </c>
      <c r="F208" s="5">
        <v>1.8877709781143035E-2</v>
      </c>
      <c r="G208" s="5">
        <v>2.2819209625557515E-3</v>
      </c>
      <c r="H208" s="6">
        <v>4.5069407650736464</v>
      </c>
    </row>
    <row r="209" spans="1:8">
      <c r="A209" t="s">
        <v>511</v>
      </c>
      <c r="B209" t="s">
        <v>512</v>
      </c>
      <c r="C209" t="s">
        <v>82</v>
      </c>
      <c r="D209" s="4">
        <v>8753</v>
      </c>
      <c r="E209" s="5">
        <v>0.14772078144636125</v>
      </c>
      <c r="F209" s="5">
        <v>1.5651776533759855E-2</v>
      </c>
      <c r="G209" s="5">
        <v>2.9704101450931109E-3</v>
      </c>
      <c r="H209" s="6">
        <v>3.1287543655413272</v>
      </c>
    </row>
    <row r="210" spans="1:8">
      <c r="A210" t="s">
        <v>513</v>
      </c>
      <c r="B210" t="s">
        <v>514</v>
      </c>
      <c r="C210" t="s">
        <v>465</v>
      </c>
      <c r="D210" s="4">
        <v>14148</v>
      </c>
      <c r="E210" s="5">
        <v>0.14708792762227876</v>
      </c>
      <c r="F210" s="5">
        <v>1.9154650834040148E-2</v>
      </c>
      <c r="G210" s="5">
        <v>4.8063330506078594E-3</v>
      </c>
      <c r="H210" s="6">
        <v>-0.16648562531682237</v>
      </c>
    </row>
    <row r="211" spans="1:8">
      <c r="A211" t="s">
        <v>515</v>
      </c>
      <c r="B211" t="s">
        <v>516</v>
      </c>
      <c r="C211" t="s">
        <v>488</v>
      </c>
      <c r="D211" s="4">
        <v>47770</v>
      </c>
      <c r="E211" s="5">
        <v>0.1456772032656479</v>
      </c>
      <c r="F211" s="5">
        <v>9.566673644546787E-3</v>
      </c>
      <c r="G211" s="5">
        <v>1.2560184216035169E-3</v>
      </c>
      <c r="H211" s="6">
        <v>1.3497132457198484</v>
      </c>
    </row>
    <row r="212" spans="1:8">
      <c r="A212" t="s">
        <v>517</v>
      </c>
      <c r="B212" t="s">
        <v>518</v>
      </c>
      <c r="C212" t="s">
        <v>82</v>
      </c>
      <c r="D212" s="4">
        <v>8570</v>
      </c>
      <c r="E212" s="5">
        <v>0.14527421236872812</v>
      </c>
      <c r="F212" s="5">
        <v>1.5519253208868145E-2</v>
      </c>
      <c r="G212" s="5">
        <v>2.2170361726954494E-3</v>
      </c>
      <c r="H212" s="6">
        <v>3.4370396768828702</v>
      </c>
    </row>
    <row r="213" spans="1:8">
      <c r="A213" t="s">
        <v>519</v>
      </c>
      <c r="B213" t="s">
        <v>520</v>
      </c>
      <c r="C213" t="s">
        <v>442</v>
      </c>
      <c r="D213" s="4">
        <v>13690</v>
      </c>
      <c r="E213" s="5">
        <v>0.14287801314828341</v>
      </c>
      <c r="F213" s="5">
        <v>8.4733382030679327E-3</v>
      </c>
      <c r="G213" s="5">
        <v>2.1183345507669832E-3</v>
      </c>
      <c r="H213" s="6">
        <v>4.1493540051679583</v>
      </c>
    </row>
    <row r="214" spans="1:8">
      <c r="A214" t="s">
        <v>521</v>
      </c>
      <c r="B214" t="s">
        <v>522</v>
      </c>
      <c r="C214" t="s">
        <v>397</v>
      </c>
      <c r="D214" s="4">
        <v>6189</v>
      </c>
      <c r="E214" s="5">
        <v>0.14251090644692196</v>
      </c>
      <c r="F214" s="5">
        <v>1.195669736629504E-2</v>
      </c>
      <c r="G214" s="5">
        <v>3.5546938116012279E-3</v>
      </c>
      <c r="H214" s="6">
        <v>5.1426226817659613</v>
      </c>
    </row>
    <row r="215" spans="1:8">
      <c r="A215" t="s">
        <v>523</v>
      </c>
      <c r="B215" t="s">
        <v>524</v>
      </c>
      <c r="C215" t="s">
        <v>186</v>
      </c>
      <c r="D215" s="4">
        <v>10178</v>
      </c>
      <c r="E215" s="5">
        <v>0.13588131263509531</v>
      </c>
      <c r="F215" s="5">
        <v>2.1615248575358615E-3</v>
      </c>
      <c r="G215" s="5">
        <v>3.1440361564157989E-3</v>
      </c>
      <c r="H215" s="6">
        <v>0.63156854998024492</v>
      </c>
    </row>
    <row r="216" spans="1:8">
      <c r="A216" t="s">
        <v>525</v>
      </c>
      <c r="B216" t="s">
        <v>526</v>
      </c>
      <c r="C216" t="s">
        <v>488</v>
      </c>
      <c r="D216" s="4">
        <v>49428</v>
      </c>
      <c r="E216" s="5">
        <v>0.13502468236627013</v>
      </c>
      <c r="F216" s="5">
        <v>9.6504005826656952E-3</v>
      </c>
      <c r="G216" s="5">
        <v>1.2138868657441126E-3</v>
      </c>
      <c r="H216" s="6">
        <v>1.4315927266777115</v>
      </c>
    </row>
    <row r="217" spans="1:8">
      <c r="A217" t="s">
        <v>527</v>
      </c>
      <c r="B217" t="s">
        <v>528</v>
      </c>
      <c r="C217" t="s">
        <v>217</v>
      </c>
      <c r="D217" s="4">
        <v>17043</v>
      </c>
      <c r="E217" s="5">
        <v>0.13084550841987913</v>
      </c>
      <c r="F217" s="5">
        <v>3.9312327641847092E-3</v>
      </c>
      <c r="G217" s="5">
        <v>2.229654403567447E-3</v>
      </c>
      <c r="H217" s="6">
        <v>0.89662297791947099</v>
      </c>
    </row>
    <row r="218" spans="1:8">
      <c r="A218" t="s">
        <v>529</v>
      </c>
      <c r="B218" t="s">
        <v>530</v>
      </c>
      <c r="C218" t="s">
        <v>328</v>
      </c>
      <c r="D218" s="4">
        <v>5028</v>
      </c>
      <c r="E218" s="5">
        <v>0.13007159904534607</v>
      </c>
      <c r="F218" s="5">
        <v>7.955449482895784E-3</v>
      </c>
      <c r="G218" s="5">
        <v>4.1766109785202864E-3</v>
      </c>
      <c r="H218" s="6">
        <v>5.7358566539158442</v>
      </c>
    </row>
    <row r="219" spans="1:8">
      <c r="A219" t="s">
        <v>531</v>
      </c>
      <c r="B219" t="s">
        <v>532</v>
      </c>
      <c r="C219" t="s">
        <v>230</v>
      </c>
      <c r="D219" s="4">
        <v>7462</v>
      </c>
      <c r="E219" s="5">
        <v>0.12771374966496918</v>
      </c>
      <c r="F219" s="5">
        <v>5.3604931653712141E-3</v>
      </c>
      <c r="G219" s="5">
        <v>2.5462342535513267E-3</v>
      </c>
      <c r="H219" s="6">
        <v>0.75185735512630014</v>
      </c>
    </row>
    <row r="220" spans="1:8">
      <c r="A220" t="s">
        <v>533</v>
      </c>
      <c r="B220" t="s">
        <v>534</v>
      </c>
      <c r="C220" t="s">
        <v>488</v>
      </c>
      <c r="D220" s="4">
        <v>20631</v>
      </c>
      <c r="E220" s="5">
        <v>0.12621782754107896</v>
      </c>
      <c r="F220" s="5">
        <v>8.4823808831370265E-3</v>
      </c>
      <c r="G220" s="5">
        <v>1.938829916145606E-4</v>
      </c>
      <c r="H220" s="6">
        <v>2.4740856639937414</v>
      </c>
    </row>
  </sheetData>
  <mergeCells count="4">
    <mergeCell ref="A1:P1"/>
    <mergeCell ref="A2:P2"/>
    <mergeCell ref="A4:B4"/>
    <mergeCell ref="J21:P23"/>
  </mergeCells>
  <conditionalFormatting sqref="E15:E220">
    <cfRule type="colorScale" priority="1">
      <colorScale>
        <cfvo type="min"/>
        <cfvo type="percentile" val="50"/>
        <cfvo type="max"/>
        <color rgb="FFE7F5F2"/>
        <color rgb="FFFEE8C8"/>
        <color rgb="FFD1495B"/>
      </colorScale>
    </cfRule>
  </conditionalFormatting>
  <dataValidations count="1">
    <dataValidation type="list" sqref="B5" xr:uid="{00000000-0002-0000-0300-000000000000}">
      <formula1>$A$15:$A$220</formula1>
    </dataValidation>
  </dataValidations>
  <pageMargins left="0.7" right="0.7" top="0.75" bottom="0.75" header="0.3" footer="0.3"/>
  <drawing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S4227"/>
  <sheetViews>
    <sheetView showGridLines="0" workbookViewId="0"/>
  </sheetViews>
  <sheetFormatPr defaultRowHeight="14.25"/>
  <cols>
    <col min="1" max="1" width="14" customWidth="1"/>
    <col min="2" max="2" width="17" customWidth="1"/>
    <col min="3" max="4" width="18" customWidth="1"/>
    <col min="5" max="5" width="16" customWidth="1"/>
    <col min="6" max="6" width="3" customWidth="1"/>
    <col min="7" max="7" width="14" customWidth="1"/>
    <col min="8" max="8" width="10" customWidth="1"/>
    <col min="9" max="9" width="12" customWidth="1"/>
    <col min="10" max="11" width="13" customWidth="1"/>
    <col min="12" max="12" width="16" customWidth="1"/>
    <col min="13" max="13" width="3" customWidth="1"/>
    <col min="14" max="14" width="10" customWidth="1"/>
    <col min="15" max="15" width="22" customWidth="1"/>
    <col min="16" max="16" width="8" customWidth="1"/>
    <col min="17" max="18" width="16" customWidth="1"/>
    <col min="19" max="19" width="14" customWidth="1"/>
  </cols>
  <sheetData>
    <row r="1" spans="1:19" ht="30" customHeight="1">
      <c r="A1" s="57" t="s">
        <v>535</v>
      </c>
      <c r="B1" s="57"/>
      <c r="C1" s="57"/>
      <c r="D1" s="57"/>
      <c r="E1" s="57"/>
      <c r="F1" s="57"/>
      <c r="G1" s="57"/>
      <c r="H1" s="57"/>
      <c r="I1" s="57"/>
      <c r="J1" s="57"/>
      <c r="K1" s="57"/>
      <c r="L1" s="57"/>
      <c r="M1" s="57"/>
      <c r="N1" s="57"/>
      <c r="O1" s="57"/>
      <c r="P1" s="57"/>
      <c r="Q1" s="57"/>
      <c r="R1" s="57"/>
      <c r="S1" s="57"/>
    </row>
    <row r="2" spans="1:19" ht="30" customHeight="1">
      <c r="A2" s="58" t="s">
        <v>536</v>
      </c>
      <c r="B2" s="58"/>
      <c r="C2" s="58"/>
      <c r="D2" s="58"/>
      <c r="E2" s="58"/>
      <c r="F2" s="58"/>
      <c r="G2" s="58"/>
      <c r="H2" s="58"/>
      <c r="I2" s="58"/>
      <c r="J2" s="58"/>
      <c r="K2" s="58"/>
      <c r="L2" s="58"/>
      <c r="M2" s="58"/>
      <c r="N2" s="58"/>
      <c r="O2" s="58"/>
      <c r="P2" s="58"/>
      <c r="Q2" s="58"/>
      <c r="R2" s="58"/>
      <c r="S2" s="58"/>
    </row>
    <row r="4" spans="1:19" ht="26.1" customHeight="1">
      <c r="A4" s="1" t="s">
        <v>54</v>
      </c>
      <c r="B4" s="2" t="s">
        <v>537</v>
      </c>
      <c r="C4" s="2" t="s">
        <v>538</v>
      </c>
      <c r="D4" s="2" t="s">
        <v>539</v>
      </c>
      <c r="E4" s="3" t="s">
        <v>540</v>
      </c>
      <c r="G4" s="15" t="s">
        <v>541</v>
      </c>
      <c r="H4" s="16" t="s">
        <v>542</v>
      </c>
      <c r="I4" s="16" t="s">
        <v>543</v>
      </c>
      <c r="J4" s="16" t="s">
        <v>49</v>
      </c>
      <c r="K4" s="16" t="s">
        <v>50</v>
      </c>
      <c r="L4" s="17" t="s">
        <v>5</v>
      </c>
      <c r="N4" s="42" t="s">
        <v>74</v>
      </c>
      <c r="O4" s="43" t="s">
        <v>69</v>
      </c>
      <c r="P4" s="43" t="s">
        <v>75</v>
      </c>
      <c r="Q4" s="43" t="s">
        <v>2</v>
      </c>
      <c r="R4" s="43" t="s">
        <v>5</v>
      </c>
      <c r="S4" s="44" t="s">
        <v>76</v>
      </c>
    </row>
    <row r="5" spans="1:19">
      <c r="A5" t="s">
        <v>544</v>
      </c>
      <c r="B5" s="4">
        <v>2418827</v>
      </c>
      <c r="C5" s="5">
        <v>0.21148970141312298</v>
      </c>
      <c r="D5" s="5">
        <v>0.20655904054876234</v>
      </c>
      <c r="E5" s="5">
        <v>4.9306608643606281E-3</v>
      </c>
      <c r="G5" t="s">
        <v>545</v>
      </c>
      <c r="H5" t="s">
        <v>89</v>
      </c>
      <c r="I5" t="s">
        <v>301</v>
      </c>
      <c r="J5" s="4">
        <v>1039</v>
      </c>
      <c r="K5" s="5">
        <v>0.45332050048123196</v>
      </c>
      <c r="L5" s="5">
        <v>1.8286814244465831E-2</v>
      </c>
      <c r="N5" t="s">
        <v>77</v>
      </c>
      <c r="O5" t="s">
        <v>78</v>
      </c>
      <c r="P5" t="s">
        <v>79</v>
      </c>
      <c r="Q5" s="4">
        <v>22164</v>
      </c>
      <c r="R5" s="5">
        <v>6.6143295434037172E-2</v>
      </c>
      <c r="S5" s="5">
        <v>6.4067857787402996E-3</v>
      </c>
    </row>
    <row r="6" spans="1:19">
      <c r="A6" t="s">
        <v>546</v>
      </c>
      <c r="B6" s="4">
        <v>2101344</v>
      </c>
      <c r="C6" s="5">
        <v>0.17696150654057594</v>
      </c>
      <c r="D6" s="5">
        <v>0.18329467076825703</v>
      </c>
      <c r="E6" s="5">
        <v>-6.3331642276810915E-3</v>
      </c>
      <c r="G6" t="s">
        <v>547</v>
      </c>
      <c r="H6" t="s">
        <v>89</v>
      </c>
      <c r="I6" t="s">
        <v>354</v>
      </c>
      <c r="J6" s="4">
        <v>1096</v>
      </c>
      <c r="K6" s="5">
        <v>0.41788321167883213</v>
      </c>
      <c r="L6" s="5">
        <v>1.2773722627737226E-2</v>
      </c>
      <c r="N6" t="s">
        <v>256</v>
      </c>
      <c r="O6" t="s">
        <v>257</v>
      </c>
      <c r="P6" t="s">
        <v>258</v>
      </c>
      <c r="Q6" s="4">
        <v>13007</v>
      </c>
      <c r="R6" s="5">
        <v>3.5826862458676098E-2</v>
      </c>
      <c r="S6" s="5">
        <v>2.6139770892596296E-3</v>
      </c>
    </row>
    <row r="7" spans="1:19">
      <c r="A7" t="s">
        <v>548</v>
      </c>
      <c r="B7" s="4">
        <v>1903689</v>
      </c>
      <c r="C7" s="5">
        <v>0.24664007618891531</v>
      </c>
      <c r="D7" s="5">
        <v>0.24266216652540248</v>
      </c>
      <c r="E7" s="5">
        <v>3.977909663512834E-3</v>
      </c>
      <c r="G7" t="s">
        <v>549</v>
      </c>
      <c r="H7" t="s">
        <v>204</v>
      </c>
      <c r="I7" t="s">
        <v>189</v>
      </c>
      <c r="J7" s="4">
        <v>1096</v>
      </c>
      <c r="K7" s="5">
        <v>0.40328467153284669</v>
      </c>
      <c r="L7" s="5">
        <v>7.2992700729927005E-3</v>
      </c>
      <c r="N7" t="s">
        <v>126</v>
      </c>
      <c r="O7" t="s">
        <v>127</v>
      </c>
      <c r="P7" t="s">
        <v>128</v>
      </c>
      <c r="Q7" s="4">
        <v>5142</v>
      </c>
      <c r="R7" s="5">
        <v>3.2672112018669777E-2</v>
      </c>
      <c r="S7" s="5">
        <v>3.6950602878257489E-3</v>
      </c>
    </row>
    <row r="8" spans="1:19">
      <c r="A8" t="s">
        <v>550</v>
      </c>
      <c r="B8" s="4">
        <v>1315510</v>
      </c>
      <c r="C8" s="5">
        <v>0.20820442261936437</v>
      </c>
      <c r="D8" s="5">
        <v>0.22219747633929668</v>
      </c>
      <c r="E8" s="5">
        <v>-1.3993053719932333E-2</v>
      </c>
      <c r="G8" t="s">
        <v>551</v>
      </c>
      <c r="H8" t="s">
        <v>103</v>
      </c>
      <c r="I8" t="s">
        <v>288</v>
      </c>
      <c r="J8" s="4">
        <v>1322</v>
      </c>
      <c r="K8" s="5">
        <v>0.39863842662632376</v>
      </c>
      <c r="L8" s="5">
        <v>5.2950075642965201E-3</v>
      </c>
      <c r="N8" t="s">
        <v>259</v>
      </c>
      <c r="O8" t="s">
        <v>150</v>
      </c>
      <c r="P8" t="s">
        <v>151</v>
      </c>
      <c r="Q8" s="4">
        <v>461883</v>
      </c>
      <c r="R8" s="5">
        <v>2.6967868486175071E-2</v>
      </c>
      <c r="S8" s="5">
        <v>2.8080704420816527E-3</v>
      </c>
    </row>
    <row r="9" spans="1:19">
      <c r="A9" t="s">
        <v>552</v>
      </c>
      <c r="B9" s="4">
        <v>657153</v>
      </c>
      <c r="C9" s="5">
        <v>0.19654327074516895</v>
      </c>
      <c r="D9" s="5">
        <v>0.20394742460134377</v>
      </c>
      <c r="E9" s="5">
        <v>-7.4041538561748369E-3</v>
      </c>
      <c r="G9" t="s">
        <v>553</v>
      </c>
      <c r="H9" t="s">
        <v>240</v>
      </c>
      <c r="I9" t="s">
        <v>105</v>
      </c>
      <c r="J9" s="4">
        <v>2991</v>
      </c>
      <c r="K9" s="5">
        <v>0.39652290203945167</v>
      </c>
      <c r="L9" s="5">
        <v>1.4042126379137413E-2</v>
      </c>
      <c r="N9" t="s">
        <v>140</v>
      </c>
      <c r="O9" t="s">
        <v>141</v>
      </c>
      <c r="P9" t="s">
        <v>128</v>
      </c>
      <c r="Q9" s="4">
        <v>387843</v>
      </c>
      <c r="R9" s="5">
        <v>2.6080140675479511E-2</v>
      </c>
      <c r="S9" s="5">
        <v>2.4803851042818873E-3</v>
      </c>
    </row>
    <row r="10" spans="1:19">
      <c r="A10" t="s">
        <v>554</v>
      </c>
      <c r="B10" s="4">
        <v>386713</v>
      </c>
      <c r="C10" s="5">
        <v>0.16644643443587362</v>
      </c>
      <c r="D10" s="5">
        <v>0.178411715538139</v>
      </c>
      <c r="E10" s="5">
        <v>-1.1965281102265373E-2</v>
      </c>
      <c r="G10" t="s">
        <v>555</v>
      </c>
      <c r="H10" t="s">
        <v>556</v>
      </c>
      <c r="I10" t="s">
        <v>131</v>
      </c>
      <c r="J10" s="4">
        <v>1242</v>
      </c>
      <c r="K10" s="5">
        <v>0.38325281803542671</v>
      </c>
      <c r="L10" s="5">
        <v>6.4412238325281803E-3</v>
      </c>
      <c r="N10" t="s">
        <v>338</v>
      </c>
      <c r="O10" t="s">
        <v>339</v>
      </c>
      <c r="P10" t="s">
        <v>206</v>
      </c>
      <c r="Q10" s="4">
        <v>7605</v>
      </c>
      <c r="R10" s="5">
        <v>2.5904010519395136E-2</v>
      </c>
      <c r="S10" s="5">
        <v>2.10387902695595E-3</v>
      </c>
    </row>
    <row r="11" spans="1:19">
      <c r="A11" t="s">
        <v>557</v>
      </c>
      <c r="B11" s="4">
        <v>327519</v>
      </c>
      <c r="C11" s="5">
        <v>0.26676314961880077</v>
      </c>
      <c r="D11" s="5">
        <v>0.24700731746416069</v>
      </c>
      <c r="E11" s="5">
        <v>1.9755832154640066E-2</v>
      </c>
      <c r="G11" t="s">
        <v>558</v>
      </c>
      <c r="H11" t="s">
        <v>89</v>
      </c>
      <c r="I11" t="s">
        <v>507</v>
      </c>
      <c r="J11" s="4">
        <v>1826</v>
      </c>
      <c r="K11" s="5">
        <v>0.38116100766703176</v>
      </c>
      <c r="L11" s="5">
        <v>1.1500547645125958E-2</v>
      </c>
      <c r="N11" t="s">
        <v>273</v>
      </c>
      <c r="O11" t="s">
        <v>274</v>
      </c>
      <c r="P11" t="s">
        <v>275</v>
      </c>
      <c r="Q11" s="4">
        <v>22485</v>
      </c>
      <c r="R11" s="5">
        <v>2.5661552145875028E-2</v>
      </c>
      <c r="S11" s="5">
        <v>2.8018679119412942E-3</v>
      </c>
    </row>
    <row r="12" spans="1:19">
      <c r="A12" t="s">
        <v>559</v>
      </c>
      <c r="B12" s="4">
        <v>319140</v>
      </c>
      <c r="C12" s="5">
        <v>0.21526916086983769</v>
      </c>
      <c r="D12" s="5">
        <v>0.19257065999984538</v>
      </c>
      <c r="E12" s="5">
        <v>2.2698500869992321E-2</v>
      </c>
      <c r="G12" t="s">
        <v>560</v>
      </c>
      <c r="H12" t="s">
        <v>390</v>
      </c>
      <c r="I12" t="s">
        <v>184</v>
      </c>
      <c r="J12" s="4">
        <v>1081</v>
      </c>
      <c r="K12" s="5">
        <v>0.37835337650323775</v>
      </c>
      <c r="L12" s="5">
        <v>1.8501387604070305E-2</v>
      </c>
      <c r="N12" t="s">
        <v>284</v>
      </c>
      <c r="O12" t="s">
        <v>285</v>
      </c>
      <c r="P12" t="s">
        <v>91</v>
      </c>
      <c r="Q12" s="4">
        <v>5189</v>
      </c>
      <c r="R12" s="5">
        <v>2.5052996723838889E-2</v>
      </c>
      <c r="S12" s="5">
        <v>1.1562921564848719E-3</v>
      </c>
    </row>
    <row r="13" spans="1:19">
      <c r="A13" t="s">
        <v>196</v>
      </c>
      <c r="B13" s="4">
        <v>209464</v>
      </c>
      <c r="C13" s="5">
        <v>0.21447122178512776</v>
      </c>
      <c r="D13" s="5">
        <v>0.21449117044617616</v>
      </c>
      <c r="E13" s="5">
        <v>-1.9948661048393016E-5</v>
      </c>
      <c r="G13" t="s">
        <v>561</v>
      </c>
      <c r="H13" t="s">
        <v>85</v>
      </c>
      <c r="I13" t="s">
        <v>372</v>
      </c>
      <c r="J13" s="4">
        <v>1278</v>
      </c>
      <c r="K13" s="5">
        <v>0.3779342723004695</v>
      </c>
      <c r="L13" s="5">
        <v>1.1737089201877934E-2</v>
      </c>
      <c r="N13" t="s">
        <v>152</v>
      </c>
      <c r="O13" t="s">
        <v>153</v>
      </c>
      <c r="P13" t="s">
        <v>154</v>
      </c>
      <c r="Q13" s="4">
        <v>5687</v>
      </c>
      <c r="R13" s="5">
        <v>2.4265869526991383E-2</v>
      </c>
      <c r="S13" s="5">
        <v>2.8134341480569721E-3</v>
      </c>
    </row>
    <row r="14" spans="1:19">
      <c r="A14" t="s">
        <v>562</v>
      </c>
      <c r="B14" s="4">
        <v>196935</v>
      </c>
      <c r="C14" s="5">
        <v>0.19569908853174905</v>
      </c>
      <c r="D14" s="5">
        <v>0.19762341656592919</v>
      </c>
      <c r="E14" s="5">
        <v>-1.9243280341801326E-3</v>
      </c>
      <c r="G14" t="s">
        <v>563</v>
      </c>
      <c r="H14" t="s">
        <v>89</v>
      </c>
      <c r="I14" t="s">
        <v>491</v>
      </c>
      <c r="J14" s="4">
        <v>1456</v>
      </c>
      <c r="K14" s="5">
        <v>0.37087912087912089</v>
      </c>
      <c r="L14" s="5">
        <v>1.9230769230769232E-2</v>
      </c>
      <c r="N14" t="s">
        <v>204</v>
      </c>
      <c r="O14" t="s">
        <v>205</v>
      </c>
      <c r="P14" t="s">
        <v>206</v>
      </c>
      <c r="Q14" s="4">
        <v>422527</v>
      </c>
      <c r="R14" s="5">
        <v>2.3288452572261656E-2</v>
      </c>
      <c r="S14" s="5">
        <v>2.3548790964837748E-3</v>
      </c>
    </row>
    <row r="15" spans="1:19">
      <c r="A15" t="s">
        <v>564</v>
      </c>
      <c r="B15" s="4">
        <v>157732</v>
      </c>
      <c r="C15" s="5">
        <v>0.16759440062891487</v>
      </c>
      <c r="D15" s="5">
        <v>0.12970642605883542</v>
      </c>
      <c r="E15" s="5">
        <v>3.788797457007944E-2</v>
      </c>
      <c r="G15" t="s">
        <v>565</v>
      </c>
      <c r="H15" t="s">
        <v>89</v>
      </c>
      <c r="I15" t="s">
        <v>288</v>
      </c>
      <c r="J15" s="4">
        <v>1553</v>
      </c>
      <c r="K15" s="5">
        <v>0.36896329684481649</v>
      </c>
      <c r="L15" s="5">
        <v>1.8673535093367676E-2</v>
      </c>
      <c r="N15" t="s">
        <v>329</v>
      </c>
      <c r="O15" t="s">
        <v>330</v>
      </c>
      <c r="P15" t="s">
        <v>258</v>
      </c>
      <c r="Q15" s="4">
        <v>33396</v>
      </c>
      <c r="R15" s="5">
        <v>2.320637202060127E-2</v>
      </c>
      <c r="S15" s="5">
        <v>2.5751587016409152E-3</v>
      </c>
    </row>
    <row r="16" spans="1:19">
      <c r="A16" t="s">
        <v>566</v>
      </c>
      <c r="B16" s="4">
        <v>96176</v>
      </c>
      <c r="C16" s="5">
        <v>0.27642031275994011</v>
      </c>
      <c r="D16" s="5">
        <v>0.25509420940394534</v>
      </c>
      <c r="E16" s="5">
        <v>2.1326103355994747E-2</v>
      </c>
      <c r="G16" t="s">
        <v>567</v>
      </c>
      <c r="H16" t="s">
        <v>105</v>
      </c>
      <c r="I16" t="s">
        <v>240</v>
      </c>
      <c r="J16" s="4">
        <v>2989</v>
      </c>
      <c r="K16" s="5">
        <v>0.36801605888256944</v>
      </c>
      <c r="L16" s="5">
        <v>1.3382402141184342E-2</v>
      </c>
      <c r="N16" t="s">
        <v>428</v>
      </c>
      <c r="O16" t="s">
        <v>429</v>
      </c>
      <c r="P16" t="s">
        <v>102</v>
      </c>
      <c r="Q16" s="4">
        <v>22942</v>
      </c>
      <c r="R16" s="5">
        <v>2.2927382093976115E-2</v>
      </c>
      <c r="S16" s="5">
        <v>2.0922325865225353E-3</v>
      </c>
    </row>
    <row r="17" spans="1:19">
      <c r="A17" t="s">
        <v>568</v>
      </c>
      <c r="B17" s="4">
        <v>75998</v>
      </c>
      <c r="C17" s="5">
        <v>0.14556962025316456</v>
      </c>
      <c r="D17" s="5">
        <v>0.15311312683101591</v>
      </c>
      <c r="E17" s="5">
        <v>-7.5435065778513529E-3</v>
      </c>
      <c r="G17" t="s">
        <v>569</v>
      </c>
      <c r="H17" t="s">
        <v>129</v>
      </c>
      <c r="I17" t="s">
        <v>89</v>
      </c>
      <c r="J17" s="4">
        <v>1201</v>
      </c>
      <c r="K17" s="5">
        <v>0.35553705245628642</v>
      </c>
      <c r="L17" s="5">
        <v>2.1648626144879269E-2</v>
      </c>
      <c r="N17" t="s">
        <v>169</v>
      </c>
      <c r="O17" t="s">
        <v>170</v>
      </c>
      <c r="P17" t="s">
        <v>171</v>
      </c>
      <c r="Q17" s="4">
        <v>7070</v>
      </c>
      <c r="R17" s="5">
        <v>2.2065063649222064E-2</v>
      </c>
      <c r="S17" s="5">
        <v>2.9702970297029703E-3</v>
      </c>
    </row>
    <row r="18" spans="1:19">
      <c r="A18" t="s">
        <v>570</v>
      </c>
      <c r="B18" s="4">
        <v>43446</v>
      </c>
      <c r="C18" s="5">
        <v>0.27307462136905586</v>
      </c>
      <c r="D18" s="5">
        <v>0.25088814094192985</v>
      </c>
      <c r="E18" s="5">
        <v>2.2186480427125999E-2</v>
      </c>
      <c r="G18" t="s">
        <v>571</v>
      </c>
      <c r="H18" t="s">
        <v>137</v>
      </c>
      <c r="I18" t="s">
        <v>105</v>
      </c>
      <c r="J18" s="4">
        <v>4434</v>
      </c>
      <c r="K18" s="5">
        <v>0.35385656292286877</v>
      </c>
      <c r="L18" s="5">
        <v>1.6238159675236806E-2</v>
      </c>
      <c r="N18" t="s">
        <v>213</v>
      </c>
      <c r="O18" t="s">
        <v>214</v>
      </c>
      <c r="P18" t="s">
        <v>206</v>
      </c>
      <c r="Q18" s="4">
        <v>7496</v>
      </c>
      <c r="R18" s="5">
        <v>2.1878335112059766E-2</v>
      </c>
      <c r="S18" s="5">
        <v>1.4674493062966916E-3</v>
      </c>
    </row>
    <row r="19" spans="1:19">
      <c r="G19" t="s">
        <v>572</v>
      </c>
      <c r="H19" t="s">
        <v>77</v>
      </c>
      <c r="I19" t="s">
        <v>218</v>
      </c>
      <c r="J19" s="4">
        <v>1125</v>
      </c>
      <c r="K19" s="5">
        <v>0.3537777777777778</v>
      </c>
      <c r="L19" s="5">
        <v>6.222222222222222E-2</v>
      </c>
      <c r="N19" t="s">
        <v>303</v>
      </c>
      <c r="O19" t="s">
        <v>304</v>
      </c>
      <c r="P19" t="s">
        <v>223</v>
      </c>
      <c r="Q19" s="4">
        <v>8855</v>
      </c>
      <c r="R19" s="5">
        <v>2.168266516092603E-2</v>
      </c>
      <c r="S19" s="5">
        <v>2.7103331451157537E-3</v>
      </c>
    </row>
    <row r="20" spans="1:19">
      <c r="G20" t="s">
        <v>573</v>
      </c>
      <c r="H20" t="s">
        <v>80</v>
      </c>
      <c r="I20" t="s">
        <v>340</v>
      </c>
      <c r="J20" s="4">
        <v>1185</v>
      </c>
      <c r="K20" s="5">
        <v>0.35358649789029534</v>
      </c>
      <c r="L20" s="5">
        <v>6.7510548523206752E-3</v>
      </c>
      <c r="N20" t="s">
        <v>288</v>
      </c>
      <c r="O20" t="s">
        <v>289</v>
      </c>
      <c r="P20" t="s">
        <v>151</v>
      </c>
      <c r="Q20" s="4">
        <v>63669</v>
      </c>
      <c r="R20" s="5">
        <v>2.1517536006533791E-2</v>
      </c>
      <c r="S20" s="5">
        <v>2.0732224473448617E-3</v>
      </c>
    </row>
    <row r="21" spans="1:19">
      <c r="G21" t="s">
        <v>574</v>
      </c>
      <c r="H21" t="s">
        <v>89</v>
      </c>
      <c r="I21" t="s">
        <v>366</v>
      </c>
      <c r="J21" s="4">
        <v>3211</v>
      </c>
      <c r="K21" s="5">
        <v>0.35316100903145436</v>
      </c>
      <c r="L21" s="5">
        <v>1.6817190906259733E-2</v>
      </c>
      <c r="N21" t="s">
        <v>260</v>
      </c>
      <c r="O21" t="s">
        <v>261</v>
      </c>
      <c r="P21" t="s">
        <v>262</v>
      </c>
      <c r="Q21" s="4">
        <v>5861</v>
      </c>
      <c r="R21" s="5">
        <v>2.1327418529261219E-2</v>
      </c>
      <c r="S21" s="5">
        <v>8.7015867599385763E-3</v>
      </c>
    </row>
    <row r="22" spans="1:19">
      <c r="G22" t="s">
        <v>575</v>
      </c>
      <c r="H22" t="s">
        <v>149</v>
      </c>
      <c r="I22" t="s">
        <v>97</v>
      </c>
      <c r="J22" s="4">
        <v>1852</v>
      </c>
      <c r="K22" s="5">
        <v>0.35259179265658747</v>
      </c>
      <c r="L22" s="5">
        <v>2.1058315334773217E-2</v>
      </c>
      <c r="N22" t="s">
        <v>89</v>
      </c>
      <c r="O22" t="s">
        <v>90</v>
      </c>
      <c r="P22" t="s">
        <v>91</v>
      </c>
      <c r="Q22" s="4">
        <v>914680</v>
      </c>
      <c r="R22" s="5">
        <v>2.0725280972580574E-2</v>
      </c>
      <c r="S22" s="5">
        <v>2.8917216950190231E-3</v>
      </c>
    </row>
    <row r="23" spans="1:19">
      <c r="G23" t="s">
        <v>576</v>
      </c>
      <c r="H23" t="s">
        <v>317</v>
      </c>
      <c r="I23" t="s">
        <v>89</v>
      </c>
      <c r="J23" s="4">
        <v>1179</v>
      </c>
      <c r="K23" s="5">
        <v>0.35114503816793891</v>
      </c>
      <c r="L23" s="5">
        <v>3.1382527565733676E-2</v>
      </c>
      <c r="N23" t="s">
        <v>149</v>
      </c>
      <c r="O23" t="s">
        <v>150</v>
      </c>
      <c r="P23" t="s">
        <v>151</v>
      </c>
      <c r="Q23" s="4">
        <v>361156</v>
      </c>
      <c r="R23" s="5">
        <v>2.066696939826557E-2</v>
      </c>
      <c r="S23" s="5">
        <v>2.5778334016325357E-3</v>
      </c>
    </row>
    <row r="24" spans="1:19">
      <c r="G24" t="s">
        <v>577</v>
      </c>
      <c r="H24" t="s">
        <v>80</v>
      </c>
      <c r="I24" t="s">
        <v>293</v>
      </c>
      <c r="J24" s="4">
        <v>1288</v>
      </c>
      <c r="K24" s="5">
        <v>0.34860248447204967</v>
      </c>
      <c r="L24" s="5">
        <v>1.1645962732919254E-2</v>
      </c>
      <c r="N24" t="s">
        <v>297</v>
      </c>
      <c r="O24" t="s">
        <v>298</v>
      </c>
      <c r="P24" t="s">
        <v>206</v>
      </c>
      <c r="Q24" s="4">
        <v>62201</v>
      </c>
      <c r="R24" s="5">
        <v>2.0610601115737689E-2</v>
      </c>
      <c r="S24" s="5">
        <v>2.0096139933441586E-3</v>
      </c>
    </row>
    <row r="25" spans="1:19">
      <c r="G25" t="s">
        <v>578</v>
      </c>
      <c r="H25" t="s">
        <v>105</v>
      </c>
      <c r="I25" t="s">
        <v>204</v>
      </c>
      <c r="J25" s="4">
        <v>1096</v>
      </c>
      <c r="K25" s="5">
        <v>0.34854014598540145</v>
      </c>
      <c r="L25" s="5">
        <v>6.3868613138686131E-3</v>
      </c>
      <c r="N25" t="s">
        <v>380</v>
      </c>
      <c r="O25" t="s">
        <v>381</v>
      </c>
      <c r="P25" t="s">
        <v>223</v>
      </c>
      <c r="Q25" s="4">
        <v>13790</v>
      </c>
      <c r="R25" s="5">
        <v>2.0449601160261059E-2</v>
      </c>
      <c r="S25" s="5">
        <v>2.320522117476432E-3</v>
      </c>
    </row>
    <row r="26" spans="1:19">
      <c r="G26" t="s">
        <v>579</v>
      </c>
      <c r="H26" t="s">
        <v>80</v>
      </c>
      <c r="I26" t="s">
        <v>182</v>
      </c>
      <c r="J26" s="4">
        <v>1138</v>
      </c>
      <c r="K26" s="5">
        <v>0.34797891036906853</v>
      </c>
      <c r="L26" s="5">
        <v>2.2847100175746926E-2</v>
      </c>
      <c r="N26" t="s">
        <v>420</v>
      </c>
      <c r="O26" t="s">
        <v>421</v>
      </c>
      <c r="P26" t="s">
        <v>262</v>
      </c>
      <c r="Q26" s="4">
        <v>18451</v>
      </c>
      <c r="R26" s="5">
        <v>2.0432496883637744E-2</v>
      </c>
      <c r="S26" s="5">
        <v>2.3846945964988348E-3</v>
      </c>
    </row>
    <row r="27" spans="1:19">
      <c r="G27" t="s">
        <v>580</v>
      </c>
      <c r="H27" t="s">
        <v>77</v>
      </c>
      <c r="I27" t="s">
        <v>134</v>
      </c>
      <c r="J27" s="4">
        <v>1752</v>
      </c>
      <c r="K27" s="5">
        <v>0.3430365296803653</v>
      </c>
      <c r="L27" s="5">
        <v>7.0205479452054798E-2</v>
      </c>
      <c r="N27" t="s">
        <v>144</v>
      </c>
      <c r="O27" t="s">
        <v>145</v>
      </c>
      <c r="P27" t="s">
        <v>102</v>
      </c>
      <c r="Q27" s="4">
        <v>33536</v>
      </c>
      <c r="R27" s="5">
        <v>2.0127624045801526E-2</v>
      </c>
      <c r="S27" s="5">
        <v>3.3695133587786259E-3</v>
      </c>
    </row>
    <row r="28" spans="1:19">
      <c r="G28" t="s">
        <v>581</v>
      </c>
      <c r="H28" t="s">
        <v>416</v>
      </c>
      <c r="I28" t="s">
        <v>162</v>
      </c>
      <c r="J28" s="4">
        <v>1037</v>
      </c>
      <c r="K28" s="5">
        <v>0.34233365477338479</v>
      </c>
      <c r="L28" s="5">
        <v>1.3500482160077145E-2</v>
      </c>
      <c r="N28" t="s">
        <v>475</v>
      </c>
      <c r="O28" t="s">
        <v>476</v>
      </c>
      <c r="P28" t="s">
        <v>465</v>
      </c>
      <c r="Q28" s="4">
        <v>7392</v>
      </c>
      <c r="R28" s="5">
        <v>1.9886363636363636E-2</v>
      </c>
      <c r="S28" s="5">
        <v>2.976190476190476E-3</v>
      </c>
    </row>
    <row r="29" spans="1:19">
      <c r="G29" t="s">
        <v>582</v>
      </c>
      <c r="H29" t="s">
        <v>103</v>
      </c>
      <c r="I29" t="s">
        <v>307</v>
      </c>
      <c r="J29" s="4">
        <v>1099</v>
      </c>
      <c r="K29" s="5">
        <v>0.34212920837124661</v>
      </c>
      <c r="L29" s="5">
        <v>1.1828935395814377E-2</v>
      </c>
      <c r="N29" t="s">
        <v>392</v>
      </c>
      <c r="O29" t="s">
        <v>393</v>
      </c>
      <c r="P29" t="s">
        <v>394</v>
      </c>
      <c r="Q29" s="4">
        <v>17904</v>
      </c>
      <c r="R29" s="5">
        <v>1.9660411081322611E-2</v>
      </c>
      <c r="S29" s="5">
        <v>3.1277926720285972E-3</v>
      </c>
    </row>
    <row r="30" spans="1:19">
      <c r="G30" t="s">
        <v>583</v>
      </c>
      <c r="H30" t="s">
        <v>134</v>
      </c>
      <c r="I30" t="s">
        <v>149</v>
      </c>
      <c r="J30" s="4">
        <v>1039</v>
      </c>
      <c r="K30" s="5">
        <v>0.34167468719923005</v>
      </c>
      <c r="L30" s="5">
        <v>2.406159769008662E-2</v>
      </c>
      <c r="N30" t="s">
        <v>368</v>
      </c>
      <c r="O30" t="s">
        <v>369</v>
      </c>
      <c r="P30" t="s">
        <v>262</v>
      </c>
      <c r="Q30" s="4">
        <v>44975</v>
      </c>
      <c r="R30" s="5">
        <v>1.9655364091161757E-2</v>
      </c>
      <c r="S30" s="5">
        <v>2.112284602556976E-3</v>
      </c>
    </row>
    <row r="31" spans="1:19">
      <c r="G31" t="s">
        <v>584</v>
      </c>
      <c r="H31" t="s">
        <v>89</v>
      </c>
      <c r="I31" t="s">
        <v>121</v>
      </c>
      <c r="J31" s="4">
        <v>3327</v>
      </c>
      <c r="K31" s="5">
        <v>0.34144875262999702</v>
      </c>
      <c r="L31" s="5">
        <v>2.2843402464682899E-2</v>
      </c>
      <c r="N31" t="s">
        <v>245</v>
      </c>
      <c r="O31" t="s">
        <v>246</v>
      </c>
      <c r="P31" t="s">
        <v>247</v>
      </c>
      <c r="Q31" s="4">
        <v>23258</v>
      </c>
      <c r="R31" s="5">
        <v>1.9563161062860091E-2</v>
      </c>
      <c r="S31" s="5">
        <v>1.9348181270960529E-3</v>
      </c>
    </row>
    <row r="32" spans="1:19">
      <c r="G32" t="s">
        <v>585</v>
      </c>
      <c r="H32" t="s">
        <v>85</v>
      </c>
      <c r="I32" t="s">
        <v>352</v>
      </c>
      <c r="J32" s="4">
        <v>1427</v>
      </c>
      <c r="K32" s="5">
        <v>0.34057463209530481</v>
      </c>
      <c r="L32" s="5">
        <v>1.401541695865452E-2</v>
      </c>
      <c r="N32" t="s">
        <v>238</v>
      </c>
      <c r="O32" t="s">
        <v>239</v>
      </c>
      <c r="P32" t="s">
        <v>223</v>
      </c>
      <c r="Q32" s="4">
        <v>14242</v>
      </c>
      <c r="R32" s="5">
        <v>1.951973037494734E-2</v>
      </c>
      <c r="S32" s="5">
        <v>1.9660160089875018E-3</v>
      </c>
    </row>
    <row r="33" spans="7:19">
      <c r="G33" t="s">
        <v>586</v>
      </c>
      <c r="H33" t="s">
        <v>100</v>
      </c>
      <c r="I33" t="s">
        <v>226</v>
      </c>
      <c r="J33" s="4">
        <v>4757</v>
      </c>
      <c r="K33" s="5">
        <v>0.34055076729030903</v>
      </c>
      <c r="L33" s="5">
        <v>8.1984443977296609E-3</v>
      </c>
      <c r="N33" t="s">
        <v>459</v>
      </c>
      <c r="O33" t="s">
        <v>460</v>
      </c>
      <c r="P33" t="s">
        <v>102</v>
      </c>
      <c r="Q33" s="4">
        <v>33243</v>
      </c>
      <c r="R33" s="5">
        <v>1.9192010348043197E-2</v>
      </c>
      <c r="S33" s="5">
        <v>1.4439130042414945E-3</v>
      </c>
    </row>
    <row r="34" spans="7:19">
      <c r="G34" t="s">
        <v>587</v>
      </c>
      <c r="H34" t="s">
        <v>89</v>
      </c>
      <c r="I34" t="s">
        <v>240</v>
      </c>
      <c r="J34" s="4">
        <v>1912</v>
      </c>
      <c r="K34" s="5">
        <v>0.33838912133891214</v>
      </c>
      <c r="L34" s="5">
        <v>1.9351464435146442E-2</v>
      </c>
      <c r="N34" t="s">
        <v>317</v>
      </c>
      <c r="O34" t="s">
        <v>318</v>
      </c>
      <c r="P34" t="s">
        <v>82</v>
      </c>
      <c r="Q34" s="4">
        <v>49036</v>
      </c>
      <c r="R34" s="5">
        <v>1.9169589689207928E-2</v>
      </c>
      <c r="S34" s="5">
        <v>2.6918998286972837E-3</v>
      </c>
    </row>
    <row r="35" spans="7:19">
      <c r="G35" t="s">
        <v>588</v>
      </c>
      <c r="H35" t="s">
        <v>89</v>
      </c>
      <c r="I35" t="s">
        <v>95</v>
      </c>
      <c r="J35" s="4">
        <v>14785</v>
      </c>
      <c r="K35" s="5">
        <v>0.33642204937436593</v>
      </c>
      <c r="L35" s="5">
        <v>2.2455191072032466E-2</v>
      </c>
      <c r="N35" t="s">
        <v>513</v>
      </c>
      <c r="O35" t="s">
        <v>514</v>
      </c>
      <c r="P35" t="s">
        <v>465</v>
      </c>
      <c r="Q35" s="4">
        <v>14148</v>
      </c>
      <c r="R35" s="5">
        <v>1.9154650834040148E-2</v>
      </c>
      <c r="S35" s="5">
        <v>4.8063330506078594E-3</v>
      </c>
    </row>
    <row r="36" spans="7:19">
      <c r="G36" t="s">
        <v>589</v>
      </c>
      <c r="H36" t="s">
        <v>105</v>
      </c>
      <c r="I36" t="s">
        <v>137</v>
      </c>
      <c r="J36" s="4">
        <v>4432</v>
      </c>
      <c r="K36" s="5">
        <v>0.33619133574007221</v>
      </c>
      <c r="L36" s="5">
        <v>1.8276173285198555E-2</v>
      </c>
      <c r="N36" t="s">
        <v>224</v>
      </c>
      <c r="O36" t="s">
        <v>225</v>
      </c>
      <c r="P36" t="s">
        <v>151</v>
      </c>
      <c r="Q36" s="4">
        <v>36041</v>
      </c>
      <c r="R36" s="5">
        <v>1.8950639549402071E-2</v>
      </c>
      <c r="S36" s="5">
        <v>4.3284037623817322E-3</v>
      </c>
    </row>
    <row r="37" spans="7:19">
      <c r="G37" t="s">
        <v>590</v>
      </c>
      <c r="H37" t="s">
        <v>89</v>
      </c>
      <c r="I37" t="s">
        <v>226</v>
      </c>
      <c r="J37" s="4">
        <v>12063</v>
      </c>
      <c r="K37" s="5">
        <v>0.33615186935256569</v>
      </c>
      <c r="L37" s="5">
        <v>1.7242808588245048E-2</v>
      </c>
      <c r="N37" t="s">
        <v>447</v>
      </c>
      <c r="O37" t="s">
        <v>448</v>
      </c>
      <c r="P37" t="s">
        <v>171</v>
      </c>
      <c r="Q37" s="4">
        <v>6872</v>
      </c>
      <c r="R37" s="5">
        <v>1.8917345750873109E-2</v>
      </c>
      <c r="S37" s="5">
        <v>2.9103608847497091E-3</v>
      </c>
    </row>
    <row r="38" spans="7:19">
      <c r="G38" t="s">
        <v>591</v>
      </c>
      <c r="H38" t="s">
        <v>80</v>
      </c>
      <c r="I38" t="s">
        <v>269</v>
      </c>
      <c r="J38" s="4">
        <v>2488</v>
      </c>
      <c r="K38" s="5">
        <v>0.33440514469453375</v>
      </c>
      <c r="L38" s="5">
        <v>1.647909967845659E-2</v>
      </c>
      <c r="N38" t="s">
        <v>509</v>
      </c>
      <c r="O38" t="s">
        <v>510</v>
      </c>
      <c r="P38" t="s">
        <v>481</v>
      </c>
      <c r="Q38" s="4">
        <v>9641</v>
      </c>
      <c r="R38" s="5">
        <v>1.8877709781143035E-2</v>
      </c>
      <c r="S38" s="5">
        <v>2.2819209625557515E-3</v>
      </c>
    </row>
    <row r="39" spans="7:19">
      <c r="G39" t="s">
        <v>592</v>
      </c>
      <c r="H39" t="s">
        <v>89</v>
      </c>
      <c r="I39" t="s">
        <v>412</v>
      </c>
      <c r="J39" s="4">
        <v>4291</v>
      </c>
      <c r="K39" s="5">
        <v>0.33418783500349569</v>
      </c>
      <c r="L39" s="5">
        <v>1.7711489163365183E-2</v>
      </c>
      <c r="N39" t="s">
        <v>301</v>
      </c>
      <c r="O39" t="s">
        <v>302</v>
      </c>
      <c r="P39" t="s">
        <v>151</v>
      </c>
      <c r="Q39" s="4">
        <v>37063</v>
      </c>
      <c r="R39" s="5">
        <v>1.8805817122197338E-2</v>
      </c>
      <c r="S39" s="5">
        <v>1.9156571243558265E-3</v>
      </c>
    </row>
    <row r="40" spans="7:19">
      <c r="G40" t="s">
        <v>593</v>
      </c>
      <c r="H40" t="s">
        <v>182</v>
      </c>
      <c r="I40" t="s">
        <v>80</v>
      </c>
      <c r="J40" s="4">
        <v>1138</v>
      </c>
      <c r="K40" s="5">
        <v>0.33391915641476272</v>
      </c>
      <c r="L40" s="5">
        <v>1.6695957820738138E-2</v>
      </c>
      <c r="N40" t="s">
        <v>307</v>
      </c>
      <c r="O40" t="s">
        <v>308</v>
      </c>
      <c r="P40" t="s">
        <v>120</v>
      </c>
      <c r="Q40" s="4">
        <v>11725</v>
      </c>
      <c r="R40" s="5">
        <v>1.8763326226012792E-2</v>
      </c>
      <c r="S40" s="5">
        <v>2.5586353944562902E-3</v>
      </c>
    </row>
    <row r="41" spans="7:19">
      <c r="G41" t="s">
        <v>594</v>
      </c>
      <c r="H41" t="s">
        <v>144</v>
      </c>
      <c r="I41" t="s">
        <v>80</v>
      </c>
      <c r="J41" s="4">
        <v>1950</v>
      </c>
      <c r="K41" s="5">
        <v>0.3323076923076923</v>
      </c>
      <c r="L41" s="5">
        <v>1.7435897435897435E-2</v>
      </c>
      <c r="N41" t="s">
        <v>146</v>
      </c>
      <c r="O41" t="s">
        <v>147</v>
      </c>
      <c r="P41" t="s">
        <v>148</v>
      </c>
      <c r="Q41" s="4">
        <v>9813</v>
      </c>
      <c r="R41" s="5">
        <v>1.834301436869459E-2</v>
      </c>
      <c r="S41" s="5">
        <v>2.0381127076327323E-3</v>
      </c>
    </row>
    <row r="42" spans="7:19">
      <c r="G42" t="s">
        <v>595</v>
      </c>
      <c r="H42" t="s">
        <v>89</v>
      </c>
      <c r="I42" t="s">
        <v>360</v>
      </c>
      <c r="J42" s="4">
        <v>3398</v>
      </c>
      <c r="K42" s="5">
        <v>0.33195997645673925</v>
      </c>
      <c r="L42" s="5">
        <v>2.2660388463802236E-2</v>
      </c>
      <c r="N42" t="s">
        <v>347</v>
      </c>
      <c r="O42" t="s">
        <v>348</v>
      </c>
      <c r="P42" t="s">
        <v>151</v>
      </c>
      <c r="Q42" s="4">
        <v>35072</v>
      </c>
      <c r="R42" s="5">
        <v>1.8219662408759125E-2</v>
      </c>
      <c r="S42" s="5">
        <v>1.625228102189781E-3</v>
      </c>
    </row>
    <row r="43" spans="7:19">
      <c r="G43" t="s">
        <v>596</v>
      </c>
      <c r="H43" t="s">
        <v>89</v>
      </c>
      <c r="I43" t="s">
        <v>254</v>
      </c>
      <c r="J43" s="4">
        <v>3880</v>
      </c>
      <c r="K43" s="5">
        <v>0.33118556701030927</v>
      </c>
      <c r="L43" s="5">
        <v>2.7835051546391754E-2</v>
      </c>
      <c r="N43" t="s">
        <v>342</v>
      </c>
      <c r="O43" t="s">
        <v>343</v>
      </c>
      <c r="P43" t="s">
        <v>262</v>
      </c>
      <c r="Q43" s="4">
        <v>74947</v>
      </c>
      <c r="R43" s="5">
        <v>1.8012728995156577E-2</v>
      </c>
      <c r="S43" s="5">
        <v>2.4817537726660173E-3</v>
      </c>
    </row>
    <row r="44" spans="7:19">
      <c r="G44" t="s">
        <v>597</v>
      </c>
      <c r="H44" t="s">
        <v>85</v>
      </c>
      <c r="I44" t="s">
        <v>182</v>
      </c>
      <c r="J44" s="4">
        <v>1503</v>
      </c>
      <c r="K44" s="5">
        <v>0.33067198935462411</v>
      </c>
      <c r="L44" s="5">
        <v>9.3147039254823684E-3</v>
      </c>
      <c r="N44" t="s">
        <v>250</v>
      </c>
      <c r="O44" t="s">
        <v>251</v>
      </c>
      <c r="P44" t="s">
        <v>171</v>
      </c>
      <c r="Q44" s="4">
        <v>25332</v>
      </c>
      <c r="R44" s="5">
        <v>1.7882520132638559E-2</v>
      </c>
      <c r="S44" s="5">
        <v>2.8817306174009159E-3</v>
      </c>
    </row>
    <row r="45" spans="7:19">
      <c r="G45" t="s">
        <v>598</v>
      </c>
      <c r="H45" t="s">
        <v>140</v>
      </c>
      <c r="I45" t="s">
        <v>97</v>
      </c>
      <c r="J45" s="4">
        <v>1096</v>
      </c>
      <c r="K45" s="5">
        <v>0.33029197080291972</v>
      </c>
      <c r="L45" s="5">
        <v>2.0072992700729927E-2</v>
      </c>
      <c r="N45" t="s">
        <v>142</v>
      </c>
      <c r="O45" t="s">
        <v>143</v>
      </c>
      <c r="P45" t="s">
        <v>120</v>
      </c>
      <c r="Q45" s="4">
        <v>12457</v>
      </c>
      <c r="R45" s="5">
        <v>1.7660752990286587E-2</v>
      </c>
      <c r="S45" s="5">
        <v>1.9266275989403548E-3</v>
      </c>
    </row>
    <row r="46" spans="7:19">
      <c r="G46" t="s">
        <v>599</v>
      </c>
      <c r="H46" t="s">
        <v>77</v>
      </c>
      <c r="I46" t="s">
        <v>226</v>
      </c>
      <c r="J46" s="4">
        <v>1030</v>
      </c>
      <c r="K46" s="5">
        <v>0.3300970873786408</v>
      </c>
      <c r="L46" s="5">
        <v>7.3786407766990289E-2</v>
      </c>
      <c r="N46" t="s">
        <v>276</v>
      </c>
      <c r="O46" t="s">
        <v>277</v>
      </c>
      <c r="P46" t="s">
        <v>91</v>
      </c>
      <c r="Q46" s="4">
        <v>12562</v>
      </c>
      <c r="R46" s="5">
        <v>1.7513134851138354E-2</v>
      </c>
      <c r="S46" s="5">
        <v>1.9901289603566313E-3</v>
      </c>
    </row>
    <row r="47" spans="7:19">
      <c r="G47" t="s">
        <v>600</v>
      </c>
      <c r="H47" t="s">
        <v>100</v>
      </c>
      <c r="I47" t="s">
        <v>455</v>
      </c>
      <c r="J47" s="4">
        <v>1218</v>
      </c>
      <c r="K47" s="5">
        <v>0.32922824302134646</v>
      </c>
      <c r="L47" s="5">
        <v>1.1494252873563218E-2</v>
      </c>
      <c r="N47" t="s">
        <v>202</v>
      </c>
      <c r="O47" t="s">
        <v>203</v>
      </c>
      <c r="P47" t="s">
        <v>82</v>
      </c>
      <c r="Q47" s="4">
        <v>236613</v>
      </c>
      <c r="R47" s="5">
        <v>1.7475793806764634E-2</v>
      </c>
      <c r="S47" s="5">
        <v>2.4723916268336904E-3</v>
      </c>
    </row>
    <row r="48" spans="7:19">
      <c r="G48" t="s">
        <v>601</v>
      </c>
      <c r="H48" t="s">
        <v>80</v>
      </c>
      <c r="I48" t="s">
        <v>326</v>
      </c>
      <c r="J48" s="4">
        <v>1082</v>
      </c>
      <c r="K48" s="5">
        <v>0.32809611829944546</v>
      </c>
      <c r="L48" s="5">
        <v>1.9408502772643253E-2</v>
      </c>
      <c r="N48" t="s">
        <v>358</v>
      </c>
      <c r="O48" t="s">
        <v>359</v>
      </c>
      <c r="P48" t="s">
        <v>196</v>
      </c>
      <c r="Q48" s="4">
        <v>122733</v>
      </c>
      <c r="R48" s="5">
        <v>1.7387336739100322E-2</v>
      </c>
      <c r="S48" s="5">
        <v>1.8169522459322268E-3</v>
      </c>
    </row>
    <row r="49" spans="7:19">
      <c r="G49" t="s">
        <v>602</v>
      </c>
      <c r="H49" t="s">
        <v>89</v>
      </c>
      <c r="I49" t="s">
        <v>129</v>
      </c>
      <c r="J49" s="4">
        <v>1201</v>
      </c>
      <c r="K49" s="5">
        <v>0.32722731057452126</v>
      </c>
      <c r="L49" s="5">
        <v>1.9150707743547043E-2</v>
      </c>
      <c r="N49" t="s">
        <v>231</v>
      </c>
      <c r="O49" t="s">
        <v>232</v>
      </c>
      <c r="P49" t="s">
        <v>220</v>
      </c>
      <c r="Q49" s="4">
        <v>9962</v>
      </c>
      <c r="R49" s="5">
        <v>1.7265609315398514E-2</v>
      </c>
      <c r="S49" s="5">
        <v>1.2045773940975708E-3</v>
      </c>
    </row>
    <row r="50" spans="7:19">
      <c r="G50" t="s">
        <v>603</v>
      </c>
      <c r="H50" t="s">
        <v>269</v>
      </c>
      <c r="I50" t="s">
        <v>95</v>
      </c>
      <c r="J50" s="4">
        <v>2914</v>
      </c>
      <c r="K50" s="5">
        <v>0.3260123541523679</v>
      </c>
      <c r="L50" s="5">
        <v>1.6472203157172273E-2</v>
      </c>
      <c r="N50" t="s">
        <v>445</v>
      </c>
      <c r="O50" t="s">
        <v>446</v>
      </c>
      <c r="P50" t="s">
        <v>82</v>
      </c>
      <c r="Q50" s="4">
        <v>15538</v>
      </c>
      <c r="R50" s="5">
        <v>1.7248037070408031E-2</v>
      </c>
      <c r="S50" s="5">
        <v>1.6733170292186897E-3</v>
      </c>
    </row>
    <row r="51" spans="7:19">
      <c r="G51" t="s">
        <v>604</v>
      </c>
      <c r="H51" t="s">
        <v>89</v>
      </c>
      <c r="I51" t="s">
        <v>182</v>
      </c>
      <c r="J51" s="4">
        <v>10477</v>
      </c>
      <c r="K51" s="5">
        <v>0.32518850816073303</v>
      </c>
      <c r="L51" s="5">
        <v>2.0616588718144507E-2</v>
      </c>
      <c r="N51" t="s">
        <v>336</v>
      </c>
      <c r="O51" t="s">
        <v>337</v>
      </c>
      <c r="P51" t="s">
        <v>220</v>
      </c>
      <c r="Q51" s="4">
        <v>55876</v>
      </c>
      <c r="R51" s="5">
        <v>1.716300379411554E-2</v>
      </c>
      <c r="S51" s="5">
        <v>2.3623738277614719E-3</v>
      </c>
    </row>
    <row r="52" spans="7:19">
      <c r="G52" t="s">
        <v>605</v>
      </c>
      <c r="H52" t="s">
        <v>80</v>
      </c>
      <c r="I52" t="s">
        <v>189</v>
      </c>
      <c r="J52" s="4">
        <v>3040</v>
      </c>
      <c r="K52" s="5">
        <v>0.32335526315789476</v>
      </c>
      <c r="L52" s="5">
        <v>1.2171052631578947E-2</v>
      </c>
      <c r="N52" t="s">
        <v>92</v>
      </c>
      <c r="O52" t="s">
        <v>93</v>
      </c>
      <c r="P52" t="s">
        <v>79</v>
      </c>
      <c r="Q52" s="4">
        <v>7183</v>
      </c>
      <c r="R52" s="5">
        <v>1.7123764443825698E-2</v>
      </c>
      <c r="S52" s="5">
        <v>2.5059167478769318E-3</v>
      </c>
    </row>
    <row r="53" spans="7:19">
      <c r="G53" t="s">
        <v>606</v>
      </c>
      <c r="H53" t="s">
        <v>80</v>
      </c>
      <c r="I53" t="s">
        <v>252</v>
      </c>
      <c r="J53" s="4">
        <v>4093</v>
      </c>
      <c r="K53" s="5">
        <v>0.32323479110676767</v>
      </c>
      <c r="L53" s="5">
        <v>1.2704617639872955E-2</v>
      </c>
      <c r="N53" t="s">
        <v>97</v>
      </c>
      <c r="O53" t="s">
        <v>98</v>
      </c>
      <c r="P53" t="s">
        <v>99</v>
      </c>
      <c r="Q53" s="4">
        <v>7641</v>
      </c>
      <c r="R53" s="5">
        <v>1.7013479911006414E-2</v>
      </c>
      <c r="S53" s="5">
        <v>3.9261876717707105E-3</v>
      </c>
    </row>
    <row r="54" spans="7:19">
      <c r="G54" t="s">
        <v>607</v>
      </c>
      <c r="H54" t="s">
        <v>115</v>
      </c>
      <c r="I54" t="s">
        <v>105</v>
      </c>
      <c r="J54" s="4">
        <v>4056</v>
      </c>
      <c r="K54" s="5">
        <v>0.32322485207100593</v>
      </c>
      <c r="L54" s="5">
        <v>1.3560157790927022E-2</v>
      </c>
      <c r="N54" t="s">
        <v>477</v>
      </c>
      <c r="O54" t="s">
        <v>478</v>
      </c>
      <c r="P54" t="s">
        <v>328</v>
      </c>
      <c r="Q54" s="4">
        <v>5233</v>
      </c>
      <c r="R54" s="5">
        <v>1.7007452703993883E-2</v>
      </c>
      <c r="S54" s="5">
        <v>2.1020447162239633E-3</v>
      </c>
    </row>
    <row r="55" spans="7:19">
      <c r="G55" t="s">
        <v>608</v>
      </c>
      <c r="H55" t="s">
        <v>89</v>
      </c>
      <c r="I55" t="s">
        <v>459</v>
      </c>
      <c r="J55" s="4">
        <v>2600</v>
      </c>
      <c r="K55" s="5">
        <v>0.32307692307692309</v>
      </c>
      <c r="L55" s="5">
        <v>2.3461538461538461E-2</v>
      </c>
      <c r="N55" t="s">
        <v>137</v>
      </c>
      <c r="O55" t="s">
        <v>138</v>
      </c>
      <c r="P55" t="s">
        <v>139</v>
      </c>
      <c r="Q55" s="4">
        <v>288225</v>
      </c>
      <c r="R55" s="5">
        <v>1.6955503512880561E-2</v>
      </c>
      <c r="S55" s="5">
        <v>2.5084569346864429E-3</v>
      </c>
    </row>
    <row r="56" spans="7:19">
      <c r="G56" t="s">
        <v>609</v>
      </c>
      <c r="H56" t="s">
        <v>80</v>
      </c>
      <c r="I56" t="s">
        <v>282</v>
      </c>
      <c r="J56" s="4">
        <v>1246</v>
      </c>
      <c r="K56" s="5">
        <v>0.32263242375601925</v>
      </c>
      <c r="L56" s="5">
        <v>2.4879614767255216E-2</v>
      </c>
      <c r="N56" t="s">
        <v>129</v>
      </c>
      <c r="O56" t="s">
        <v>130</v>
      </c>
      <c r="P56" t="s">
        <v>82</v>
      </c>
      <c r="Q56" s="4">
        <v>22604</v>
      </c>
      <c r="R56" s="5">
        <v>1.6943903733852416E-2</v>
      </c>
      <c r="S56" s="5">
        <v>1.0396390019465582E-2</v>
      </c>
    </row>
    <row r="57" spans="7:19">
      <c r="G57" t="s">
        <v>610</v>
      </c>
      <c r="H57" t="s">
        <v>89</v>
      </c>
      <c r="I57" t="s">
        <v>463</v>
      </c>
      <c r="J57" s="4">
        <v>1101</v>
      </c>
      <c r="K57" s="5">
        <v>0.32243415077202542</v>
      </c>
      <c r="L57" s="5">
        <v>2.7247956403269754E-3</v>
      </c>
      <c r="N57" t="s">
        <v>269</v>
      </c>
      <c r="O57" t="s">
        <v>270</v>
      </c>
      <c r="P57" t="s">
        <v>206</v>
      </c>
      <c r="Q57" s="4">
        <v>54932</v>
      </c>
      <c r="R57" s="5">
        <v>1.6893613922668027E-2</v>
      </c>
      <c r="S57" s="5">
        <v>2.2391320177674217E-3</v>
      </c>
    </row>
    <row r="58" spans="7:19">
      <c r="G58" t="s">
        <v>611</v>
      </c>
      <c r="H58" t="s">
        <v>89</v>
      </c>
      <c r="I58" t="s">
        <v>400</v>
      </c>
      <c r="J58" s="4">
        <v>1492</v>
      </c>
      <c r="K58" s="5">
        <v>0.32171581769436997</v>
      </c>
      <c r="L58" s="5">
        <v>1.9436997319034852E-2</v>
      </c>
      <c r="N58" t="s">
        <v>499</v>
      </c>
      <c r="O58" t="s">
        <v>500</v>
      </c>
      <c r="P58" t="s">
        <v>91</v>
      </c>
      <c r="Q58" s="4">
        <v>12392</v>
      </c>
      <c r="R58" s="5">
        <v>1.6865719819238217E-2</v>
      </c>
      <c r="S58" s="5">
        <v>1.856036152356359E-3</v>
      </c>
    </row>
    <row r="59" spans="7:19">
      <c r="G59" t="s">
        <v>612</v>
      </c>
      <c r="H59" t="s">
        <v>103</v>
      </c>
      <c r="I59" t="s">
        <v>297</v>
      </c>
      <c r="J59" s="4">
        <v>1729</v>
      </c>
      <c r="K59" s="5">
        <v>0.32041642567958356</v>
      </c>
      <c r="L59" s="5">
        <v>1.7351069982648931E-2</v>
      </c>
      <c r="N59" t="s">
        <v>344</v>
      </c>
      <c r="O59" t="s">
        <v>345</v>
      </c>
      <c r="P59" t="s">
        <v>82</v>
      </c>
      <c r="Q59" s="4">
        <v>38693</v>
      </c>
      <c r="R59" s="5">
        <v>1.6721370790582276E-2</v>
      </c>
      <c r="S59" s="5">
        <v>2.6619802031375185E-3</v>
      </c>
    </row>
    <row r="60" spans="7:19">
      <c r="G60" t="s">
        <v>613</v>
      </c>
      <c r="H60" t="s">
        <v>80</v>
      </c>
      <c r="I60" t="s">
        <v>422</v>
      </c>
      <c r="J60" s="4">
        <v>3136</v>
      </c>
      <c r="K60" s="5">
        <v>0.32015306122448978</v>
      </c>
      <c r="L60" s="5">
        <v>1.2436224489795918E-2</v>
      </c>
      <c r="N60" t="s">
        <v>254</v>
      </c>
      <c r="O60" t="s">
        <v>255</v>
      </c>
      <c r="P60" t="s">
        <v>82</v>
      </c>
      <c r="Q60" s="4">
        <v>103163</v>
      </c>
      <c r="R60" s="5">
        <v>1.6711417853300117E-2</v>
      </c>
      <c r="S60" s="5">
        <v>2.7432315849674786E-3</v>
      </c>
    </row>
    <row r="61" spans="7:19">
      <c r="G61" t="s">
        <v>614</v>
      </c>
      <c r="H61" t="s">
        <v>89</v>
      </c>
      <c r="I61" t="s">
        <v>299</v>
      </c>
      <c r="J61" s="4">
        <v>3224</v>
      </c>
      <c r="K61" s="5">
        <v>0.31978908188585609</v>
      </c>
      <c r="L61" s="5">
        <v>1.9230769230769232E-2</v>
      </c>
      <c r="N61" t="s">
        <v>505</v>
      </c>
      <c r="O61" t="s">
        <v>506</v>
      </c>
      <c r="P61" t="s">
        <v>91</v>
      </c>
      <c r="Q61" s="4">
        <v>11543</v>
      </c>
      <c r="R61" s="5">
        <v>1.6546824915533224E-2</v>
      </c>
      <c r="S61" s="5">
        <v>1.4727540500736377E-3</v>
      </c>
    </row>
    <row r="62" spans="7:19">
      <c r="G62" t="s">
        <v>615</v>
      </c>
      <c r="H62" t="s">
        <v>129</v>
      </c>
      <c r="I62" t="s">
        <v>137</v>
      </c>
      <c r="J62" s="4">
        <v>1294</v>
      </c>
      <c r="K62" s="5">
        <v>0.31916537867078826</v>
      </c>
      <c r="L62" s="5">
        <v>1.9319938176197836E-2</v>
      </c>
      <c r="N62" t="s">
        <v>280</v>
      </c>
      <c r="O62" t="s">
        <v>281</v>
      </c>
      <c r="P62" t="s">
        <v>139</v>
      </c>
      <c r="Q62" s="4">
        <v>5169</v>
      </c>
      <c r="R62" s="5">
        <v>1.644418649642097E-2</v>
      </c>
      <c r="S62" s="5">
        <v>2.901915264074289E-3</v>
      </c>
    </row>
    <row r="63" spans="7:19">
      <c r="G63" t="s">
        <v>616</v>
      </c>
      <c r="H63" t="s">
        <v>89</v>
      </c>
      <c r="I63" t="s">
        <v>455</v>
      </c>
      <c r="J63" s="4">
        <v>5189</v>
      </c>
      <c r="K63" s="5">
        <v>0.3191366351898246</v>
      </c>
      <c r="L63" s="5">
        <v>1.9464251300828676E-2</v>
      </c>
      <c r="N63" t="s">
        <v>162</v>
      </c>
      <c r="O63" t="s">
        <v>163</v>
      </c>
      <c r="P63" t="s">
        <v>164</v>
      </c>
      <c r="Q63" s="4">
        <v>426866</v>
      </c>
      <c r="R63" s="5">
        <v>1.6422015339708478E-2</v>
      </c>
      <c r="S63" s="5">
        <v>2.7104524604911143E-3</v>
      </c>
    </row>
    <row r="64" spans="7:19">
      <c r="G64" t="s">
        <v>617</v>
      </c>
      <c r="H64" t="s">
        <v>80</v>
      </c>
      <c r="I64" t="s">
        <v>144</v>
      </c>
      <c r="J64" s="4">
        <v>1950</v>
      </c>
      <c r="K64" s="5">
        <v>0.318974358974359</v>
      </c>
      <c r="L64" s="5">
        <v>1.6923076923076923E-2</v>
      </c>
      <c r="N64" t="s">
        <v>107</v>
      </c>
      <c r="O64" t="s">
        <v>108</v>
      </c>
      <c r="P64" t="s">
        <v>109</v>
      </c>
      <c r="Q64" s="4">
        <v>13233</v>
      </c>
      <c r="R64" s="5">
        <v>1.6398397944532607E-2</v>
      </c>
      <c r="S64" s="5">
        <v>2.4181969319126426E-3</v>
      </c>
    </row>
    <row r="65" spans="7:19">
      <c r="G65" t="s">
        <v>618</v>
      </c>
      <c r="H65" t="s">
        <v>100</v>
      </c>
      <c r="I65" t="s">
        <v>449</v>
      </c>
      <c r="J65" s="4">
        <v>1163</v>
      </c>
      <c r="K65" s="5">
        <v>0.31814273430782458</v>
      </c>
      <c r="L65" s="5">
        <v>9.4582975064488387E-3</v>
      </c>
      <c r="N65" t="s">
        <v>175</v>
      </c>
      <c r="O65" t="s">
        <v>176</v>
      </c>
      <c r="P65" t="s">
        <v>177</v>
      </c>
      <c r="Q65" s="4">
        <v>6035</v>
      </c>
      <c r="R65" s="5">
        <v>1.6238608119304061E-2</v>
      </c>
      <c r="S65" s="5">
        <v>5.4681027340513673E-3</v>
      </c>
    </row>
    <row r="66" spans="7:19">
      <c r="G66" t="s">
        <v>619</v>
      </c>
      <c r="H66" t="s">
        <v>80</v>
      </c>
      <c r="I66" t="s">
        <v>97</v>
      </c>
      <c r="J66" s="4">
        <v>1116</v>
      </c>
      <c r="K66" s="5">
        <v>0.31810035842293904</v>
      </c>
      <c r="L66" s="5">
        <v>1.0752688172043012E-2</v>
      </c>
      <c r="N66" t="s">
        <v>167</v>
      </c>
      <c r="O66" t="s">
        <v>168</v>
      </c>
      <c r="P66" t="s">
        <v>157</v>
      </c>
      <c r="Q66" s="4">
        <v>5387</v>
      </c>
      <c r="R66" s="5">
        <v>1.6149990718396137E-2</v>
      </c>
      <c r="S66" s="5">
        <v>3.1557453127900501E-3</v>
      </c>
    </row>
    <row r="67" spans="7:19">
      <c r="G67" t="s">
        <v>620</v>
      </c>
      <c r="H67" t="s">
        <v>134</v>
      </c>
      <c r="I67" t="s">
        <v>324</v>
      </c>
      <c r="J67" s="4">
        <v>1230</v>
      </c>
      <c r="K67" s="5">
        <v>0.3178861788617886</v>
      </c>
      <c r="L67" s="5">
        <v>1.5447154471544716E-2</v>
      </c>
      <c r="N67" t="s">
        <v>248</v>
      </c>
      <c r="O67" t="s">
        <v>249</v>
      </c>
      <c r="P67" t="s">
        <v>199</v>
      </c>
      <c r="Q67" s="4">
        <v>14592</v>
      </c>
      <c r="R67" s="5">
        <v>1.6104714912280702E-2</v>
      </c>
      <c r="S67" s="5">
        <v>3.7691885964912281E-3</v>
      </c>
    </row>
    <row r="68" spans="7:19">
      <c r="G68" t="s">
        <v>621</v>
      </c>
      <c r="H68" t="s">
        <v>85</v>
      </c>
      <c r="I68" t="s">
        <v>269</v>
      </c>
      <c r="J68" s="4">
        <v>1256</v>
      </c>
      <c r="K68" s="5">
        <v>0.3176751592356688</v>
      </c>
      <c r="L68" s="5">
        <v>1.0350318471337579E-2</v>
      </c>
      <c r="N68" t="s">
        <v>293</v>
      </c>
      <c r="O68" t="s">
        <v>294</v>
      </c>
      <c r="P68" t="s">
        <v>151</v>
      </c>
      <c r="Q68" s="4">
        <v>36528</v>
      </c>
      <c r="R68" s="5">
        <v>1.6042487954445905E-2</v>
      </c>
      <c r="S68" s="5">
        <v>3.148269820411739E-3</v>
      </c>
    </row>
    <row r="69" spans="7:19">
      <c r="G69" t="s">
        <v>622</v>
      </c>
      <c r="H69" t="s">
        <v>162</v>
      </c>
      <c r="I69" t="s">
        <v>121</v>
      </c>
      <c r="J69" s="4">
        <v>5999</v>
      </c>
      <c r="K69" s="5">
        <v>0.31755292548758124</v>
      </c>
      <c r="L69" s="5">
        <v>1.2668778129688281E-2</v>
      </c>
      <c r="N69" t="s">
        <v>121</v>
      </c>
      <c r="O69" t="s">
        <v>122</v>
      </c>
      <c r="P69" t="s">
        <v>82</v>
      </c>
      <c r="Q69" s="4">
        <v>87356</v>
      </c>
      <c r="R69" s="5">
        <v>1.6003480012821099E-2</v>
      </c>
      <c r="S69" s="5">
        <v>3.514355052887037E-3</v>
      </c>
    </row>
    <row r="70" spans="7:19">
      <c r="G70" t="s">
        <v>623</v>
      </c>
      <c r="H70" t="s">
        <v>80</v>
      </c>
      <c r="I70" t="s">
        <v>319</v>
      </c>
      <c r="J70" s="4">
        <v>1518</v>
      </c>
      <c r="K70" s="5">
        <v>0.31752305665349145</v>
      </c>
      <c r="L70" s="5">
        <v>1.4492753623188406E-2</v>
      </c>
      <c r="N70" t="s">
        <v>324</v>
      </c>
      <c r="O70" t="s">
        <v>325</v>
      </c>
      <c r="P70" t="s">
        <v>247</v>
      </c>
      <c r="Q70" s="4">
        <v>44690</v>
      </c>
      <c r="R70" s="5">
        <v>1.5909599462967106E-2</v>
      </c>
      <c r="S70" s="5">
        <v>2.170507943611546E-3</v>
      </c>
    </row>
    <row r="71" spans="7:19">
      <c r="G71" t="s">
        <v>624</v>
      </c>
      <c r="H71" t="s">
        <v>103</v>
      </c>
      <c r="I71" t="s">
        <v>269</v>
      </c>
      <c r="J71" s="4">
        <v>2142</v>
      </c>
      <c r="K71" s="5">
        <v>0.31746031746031744</v>
      </c>
      <c r="L71" s="5">
        <v>5.1353874883286648E-3</v>
      </c>
      <c r="N71" t="s">
        <v>319</v>
      </c>
      <c r="O71" t="s">
        <v>320</v>
      </c>
      <c r="P71" t="s">
        <v>321</v>
      </c>
      <c r="Q71" s="4">
        <v>44751</v>
      </c>
      <c r="R71" s="5">
        <v>1.5798529641795712E-2</v>
      </c>
      <c r="S71" s="5">
        <v>2.4356997608991978E-3</v>
      </c>
    </row>
    <row r="72" spans="7:19">
      <c r="G72" t="s">
        <v>625</v>
      </c>
      <c r="H72" t="s">
        <v>118</v>
      </c>
      <c r="I72" t="s">
        <v>77</v>
      </c>
      <c r="J72" s="4">
        <v>2797</v>
      </c>
      <c r="K72" s="5">
        <v>0.31712549159814085</v>
      </c>
      <c r="L72" s="5">
        <v>2.8602073650339649E-2</v>
      </c>
      <c r="N72" t="s">
        <v>349</v>
      </c>
      <c r="O72" t="s">
        <v>350</v>
      </c>
      <c r="P72" t="s">
        <v>351</v>
      </c>
      <c r="Q72" s="4">
        <v>30035</v>
      </c>
      <c r="R72" s="5">
        <v>1.5781588147161643E-2</v>
      </c>
      <c r="S72" s="5">
        <v>1.997669385716664E-3</v>
      </c>
    </row>
    <row r="73" spans="7:19">
      <c r="G73" t="s">
        <v>626</v>
      </c>
      <c r="H73" t="s">
        <v>118</v>
      </c>
      <c r="I73" t="s">
        <v>250</v>
      </c>
      <c r="J73" s="4">
        <v>2571</v>
      </c>
      <c r="K73" s="5">
        <v>0.31660832360949048</v>
      </c>
      <c r="L73" s="5">
        <v>1.4780241151302996E-2</v>
      </c>
      <c r="N73" t="s">
        <v>80</v>
      </c>
      <c r="O73" t="s">
        <v>81</v>
      </c>
      <c r="P73" t="s">
        <v>82</v>
      </c>
      <c r="Q73" s="4">
        <v>269310</v>
      </c>
      <c r="R73" s="5">
        <v>1.5736511826519625E-2</v>
      </c>
      <c r="S73" s="5">
        <v>2.9705543797111135E-3</v>
      </c>
    </row>
    <row r="74" spans="7:19">
      <c r="G74" t="s">
        <v>627</v>
      </c>
      <c r="H74" t="s">
        <v>89</v>
      </c>
      <c r="I74" t="s">
        <v>420</v>
      </c>
      <c r="J74" s="4">
        <v>2301</v>
      </c>
      <c r="K74" s="5">
        <v>0.31638418079096048</v>
      </c>
      <c r="L74" s="5">
        <v>2.564102564102564E-2</v>
      </c>
      <c r="N74" t="s">
        <v>453</v>
      </c>
      <c r="O74" t="s">
        <v>454</v>
      </c>
      <c r="P74" t="s">
        <v>262</v>
      </c>
      <c r="Q74" s="4">
        <v>43958</v>
      </c>
      <c r="R74" s="5">
        <v>1.571955048000364E-2</v>
      </c>
      <c r="S74" s="5">
        <v>2.3658947176850632E-3</v>
      </c>
    </row>
    <row r="75" spans="7:19">
      <c r="G75" t="s">
        <v>628</v>
      </c>
      <c r="H75" t="s">
        <v>89</v>
      </c>
      <c r="I75" t="s">
        <v>324</v>
      </c>
      <c r="J75" s="4">
        <v>3730</v>
      </c>
      <c r="K75" s="5">
        <v>0.3163538873994638</v>
      </c>
      <c r="L75" s="5">
        <v>2.4664879356568366E-2</v>
      </c>
      <c r="N75" t="s">
        <v>252</v>
      </c>
      <c r="O75" t="s">
        <v>253</v>
      </c>
      <c r="P75" t="s">
        <v>102</v>
      </c>
      <c r="Q75" s="4">
        <v>176115</v>
      </c>
      <c r="R75" s="5">
        <v>1.5682934446242511E-2</v>
      </c>
      <c r="S75" s="5">
        <v>2.0725094398546403E-3</v>
      </c>
    </row>
    <row r="76" spans="7:19">
      <c r="G76" t="s">
        <v>629</v>
      </c>
      <c r="H76" t="s">
        <v>134</v>
      </c>
      <c r="I76" t="s">
        <v>77</v>
      </c>
      <c r="J76" s="4">
        <v>1748</v>
      </c>
      <c r="K76" s="5">
        <v>0.31578947368421051</v>
      </c>
      <c r="L76" s="5">
        <v>5.205949656750572E-2</v>
      </c>
      <c r="N76" t="s">
        <v>511</v>
      </c>
      <c r="O76" t="s">
        <v>512</v>
      </c>
      <c r="P76" t="s">
        <v>82</v>
      </c>
      <c r="Q76" s="4">
        <v>8753</v>
      </c>
      <c r="R76" s="5">
        <v>1.5651776533759855E-2</v>
      </c>
      <c r="S76" s="5">
        <v>2.9704101450931109E-3</v>
      </c>
    </row>
    <row r="77" spans="7:19">
      <c r="G77" t="s">
        <v>630</v>
      </c>
      <c r="H77" t="s">
        <v>85</v>
      </c>
      <c r="I77" t="s">
        <v>408</v>
      </c>
      <c r="J77" s="4">
        <v>2454</v>
      </c>
      <c r="K77" s="5">
        <v>0.31499592502037488</v>
      </c>
      <c r="L77" s="5">
        <v>1.1002444987775062E-2</v>
      </c>
      <c r="N77" t="s">
        <v>282</v>
      </c>
      <c r="O77" t="s">
        <v>283</v>
      </c>
      <c r="P77" t="s">
        <v>82</v>
      </c>
      <c r="Q77" s="4">
        <v>87003</v>
      </c>
      <c r="R77" s="5">
        <v>1.5620151029274852E-2</v>
      </c>
      <c r="S77" s="5">
        <v>2.5516361504775696E-3</v>
      </c>
    </row>
    <row r="78" spans="7:19">
      <c r="G78" t="s">
        <v>631</v>
      </c>
      <c r="H78" t="s">
        <v>386</v>
      </c>
      <c r="I78" t="s">
        <v>118</v>
      </c>
      <c r="J78" s="4">
        <v>1140</v>
      </c>
      <c r="K78" s="5">
        <v>0.31491228070175437</v>
      </c>
      <c r="L78" s="5">
        <v>7.0175438596491229E-3</v>
      </c>
      <c r="N78" t="s">
        <v>402</v>
      </c>
      <c r="O78" t="s">
        <v>403</v>
      </c>
      <c r="P78" t="s">
        <v>128</v>
      </c>
      <c r="Q78" s="4">
        <v>8756</v>
      </c>
      <c r="R78" s="5">
        <v>1.5532206486980357E-2</v>
      </c>
      <c r="S78" s="5">
        <v>2.9693924166285975E-3</v>
      </c>
    </row>
    <row r="79" spans="7:19">
      <c r="G79" t="s">
        <v>632</v>
      </c>
      <c r="H79" t="s">
        <v>89</v>
      </c>
      <c r="I79" t="s">
        <v>313</v>
      </c>
      <c r="J79" s="4">
        <v>3166</v>
      </c>
      <c r="K79" s="5">
        <v>0.31459254579911561</v>
      </c>
      <c r="L79" s="5">
        <v>2.1794061907770057E-2</v>
      </c>
      <c r="N79" t="s">
        <v>517</v>
      </c>
      <c r="O79" t="s">
        <v>518</v>
      </c>
      <c r="P79" t="s">
        <v>82</v>
      </c>
      <c r="Q79" s="4">
        <v>8570</v>
      </c>
      <c r="R79" s="5">
        <v>1.5519253208868145E-2</v>
      </c>
      <c r="S79" s="5">
        <v>2.2170361726954494E-3</v>
      </c>
    </row>
    <row r="80" spans="7:19">
      <c r="G80" t="s">
        <v>633</v>
      </c>
      <c r="H80" t="s">
        <v>85</v>
      </c>
      <c r="I80" t="s">
        <v>416</v>
      </c>
      <c r="J80" s="4">
        <v>1517</v>
      </c>
      <c r="K80" s="5">
        <v>0.31443638760711934</v>
      </c>
      <c r="L80" s="5">
        <v>1.6479894528675015E-2</v>
      </c>
      <c r="N80" t="s">
        <v>382</v>
      </c>
      <c r="O80" t="s">
        <v>383</v>
      </c>
      <c r="P80" t="s">
        <v>91</v>
      </c>
      <c r="Q80" s="4">
        <v>15593</v>
      </c>
      <c r="R80" s="5">
        <v>1.5391521836721605E-2</v>
      </c>
      <c r="S80" s="5">
        <v>2.8859103443853013E-3</v>
      </c>
    </row>
    <row r="81" spans="7:19">
      <c r="G81" t="s">
        <v>634</v>
      </c>
      <c r="H81" t="s">
        <v>89</v>
      </c>
      <c r="I81" t="s">
        <v>221</v>
      </c>
      <c r="J81" s="4">
        <v>8784</v>
      </c>
      <c r="K81" s="5">
        <v>0.31443533697632059</v>
      </c>
      <c r="L81" s="5">
        <v>2.5159380692167579E-2</v>
      </c>
      <c r="N81" t="s">
        <v>191</v>
      </c>
      <c r="O81" t="s">
        <v>192</v>
      </c>
      <c r="P81" t="s">
        <v>193</v>
      </c>
      <c r="Q81" s="4">
        <v>8370</v>
      </c>
      <c r="R81" s="5">
        <v>1.5292712066905615E-2</v>
      </c>
      <c r="S81" s="5">
        <v>2.7479091995221026E-3</v>
      </c>
    </row>
    <row r="82" spans="7:19">
      <c r="G82" t="s">
        <v>635</v>
      </c>
      <c r="H82" t="s">
        <v>85</v>
      </c>
      <c r="I82" t="s">
        <v>215</v>
      </c>
      <c r="J82" s="4">
        <v>2678</v>
      </c>
      <c r="K82" s="5">
        <v>0.31441374159820762</v>
      </c>
      <c r="L82" s="5">
        <v>1.3069454817027632E-2</v>
      </c>
      <c r="N82" t="s">
        <v>360</v>
      </c>
      <c r="O82" t="s">
        <v>361</v>
      </c>
      <c r="P82" t="s">
        <v>209</v>
      </c>
      <c r="Q82" s="4">
        <v>82529</v>
      </c>
      <c r="R82" s="5">
        <v>1.5218892752850512E-2</v>
      </c>
      <c r="S82" s="5">
        <v>2.1568176035090697E-3</v>
      </c>
    </row>
    <row r="83" spans="7:19">
      <c r="G83" t="s">
        <v>636</v>
      </c>
      <c r="H83" t="s">
        <v>131</v>
      </c>
      <c r="I83" t="s">
        <v>226</v>
      </c>
      <c r="J83" s="4">
        <v>17447</v>
      </c>
      <c r="K83" s="5">
        <v>0.31415143004528001</v>
      </c>
      <c r="L83" s="5">
        <v>1.1291339485298332E-2</v>
      </c>
      <c r="N83" t="s">
        <v>432</v>
      </c>
      <c r="O83" t="s">
        <v>433</v>
      </c>
      <c r="P83" t="s">
        <v>91</v>
      </c>
      <c r="Q83" s="4">
        <v>18499</v>
      </c>
      <c r="R83" s="5">
        <v>1.5081896318719932E-2</v>
      </c>
      <c r="S83" s="5">
        <v>2.8109627547434997E-3</v>
      </c>
    </row>
    <row r="84" spans="7:19">
      <c r="G84" t="s">
        <v>637</v>
      </c>
      <c r="H84" t="s">
        <v>638</v>
      </c>
      <c r="I84" t="s">
        <v>463</v>
      </c>
      <c r="J84" s="4">
        <v>2171</v>
      </c>
      <c r="K84" s="5">
        <v>0.3141409488714878</v>
      </c>
      <c r="L84" s="5">
        <v>2.3952095808383235E-2</v>
      </c>
      <c r="N84" t="s">
        <v>372</v>
      </c>
      <c r="O84" t="s">
        <v>373</v>
      </c>
      <c r="P84" t="s">
        <v>235</v>
      </c>
      <c r="Q84" s="4">
        <v>69693</v>
      </c>
      <c r="R84" s="5">
        <v>1.5008680929218142E-2</v>
      </c>
      <c r="S84" s="5">
        <v>2.4823152970886602E-3</v>
      </c>
    </row>
    <row r="85" spans="7:19">
      <c r="G85" t="s">
        <v>639</v>
      </c>
      <c r="H85" t="s">
        <v>89</v>
      </c>
      <c r="I85" t="s">
        <v>336</v>
      </c>
      <c r="J85" s="4">
        <v>3013</v>
      </c>
      <c r="K85" s="5">
        <v>0.31364088947892466</v>
      </c>
      <c r="L85" s="5">
        <v>2.2900763358778626E-2</v>
      </c>
      <c r="N85" t="s">
        <v>165</v>
      </c>
      <c r="O85" t="s">
        <v>166</v>
      </c>
      <c r="P85" t="s">
        <v>151</v>
      </c>
      <c r="Q85" s="4">
        <v>14758</v>
      </c>
      <c r="R85" s="5">
        <v>1.4974928852147988E-2</v>
      </c>
      <c r="S85" s="5">
        <v>3.1169535167366851E-3</v>
      </c>
    </row>
    <row r="86" spans="7:19">
      <c r="G86" t="s">
        <v>640</v>
      </c>
      <c r="H86" t="s">
        <v>89</v>
      </c>
      <c r="I86" t="s">
        <v>184</v>
      </c>
      <c r="J86" s="4">
        <v>1167</v>
      </c>
      <c r="K86" s="5">
        <v>0.31362467866323906</v>
      </c>
      <c r="L86" s="5">
        <v>2.056555269922879E-2</v>
      </c>
      <c r="N86" t="s">
        <v>340</v>
      </c>
      <c r="O86" t="s">
        <v>341</v>
      </c>
      <c r="P86" t="s">
        <v>235</v>
      </c>
      <c r="Q86" s="4">
        <v>43501</v>
      </c>
      <c r="R86" s="5">
        <v>1.4965173214408864E-2</v>
      </c>
      <c r="S86" s="5">
        <v>3.2183168203029815E-3</v>
      </c>
    </row>
    <row r="87" spans="7:19">
      <c r="G87" t="s">
        <v>641</v>
      </c>
      <c r="H87" t="s">
        <v>162</v>
      </c>
      <c r="I87" t="s">
        <v>105</v>
      </c>
      <c r="J87" s="4">
        <v>5801</v>
      </c>
      <c r="K87" s="5">
        <v>0.31339424237200481</v>
      </c>
      <c r="L87" s="5">
        <v>1.2239269091535943E-2</v>
      </c>
      <c r="N87" t="s">
        <v>334</v>
      </c>
      <c r="O87" t="s">
        <v>335</v>
      </c>
      <c r="P87" t="s">
        <v>333</v>
      </c>
      <c r="Q87" s="4">
        <v>26436</v>
      </c>
      <c r="R87" s="5">
        <v>1.4941746103797851E-2</v>
      </c>
      <c r="S87" s="5">
        <v>2.3452867302163716E-3</v>
      </c>
    </row>
    <row r="88" spans="7:19">
      <c r="G88" t="s">
        <v>642</v>
      </c>
      <c r="H88" t="s">
        <v>89</v>
      </c>
      <c r="I88" t="s">
        <v>131</v>
      </c>
      <c r="J88" s="4">
        <v>17527</v>
      </c>
      <c r="K88" s="5">
        <v>0.31317396017572885</v>
      </c>
      <c r="L88" s="5">
        <v>1.8885148627831347E-2</v>
      </c>
      <c r="N88" t="s">
        <v>178</v>
      </c>
      <c r="O88" t="s">
        <v>179</v>
      </c>
      <c r="P88" t="s">
        <v>125</v>
      </c>
      <c r="Q88" s="4">
        <v>20352</v>
      </c>
      <c r="R88" s="5">
        <v>1.4937106918238994E-2</v>
      </c>
      <c r="S88" s="5">
        <v>2.8989779874213834E-3</v>
      </c>
    </row>
    <row r="89" spans="7:19">
      <c r="G89" t="s">
        <v>643</v>
      </c>
      <c r="H89" t="s">
        <v>204</v>
      </c>
      <c r="I89" t="s">
        <v>194</v>
      </c>
      <c r="J89" s="4">
        <v>1077</v>
      </c>
      <c r="K89" s="5">
        <v>0.31290622098421539</v>
      </c>
      <c r="L89" s="5">
        <v>3.8997214484679667E-2</v>
      </c>
      <c r="N89" t="s">
        <v>384</v>
      </c>
      <c r="O89" t="s">
        <v>385</v>
      </c>
      <c r="P89" t="s">
        <v>209</v>
      </c>
      <c r="Q89" s="4">
        <v>12415</v>
      </c>
      <c r="R89" s="5">
        <v>1.4901329037454692E-2</v>
      </c>
      <c r="S89" s="5">
        <v>8.0547724526782122E-4</v>
      </c>
    </row>
    <row r="90" spans="7:19">
      <c r="G90" t="s">
        <v>644</v>
      </c>
      <c r="H90" t="s">
        <v>340</v>
      </c>
      <c r="I90" t="s">
        <v>80</v>
      </c>
      <c r="J90" s="4">
        <v>1184</v>
      </c>
      <c r="K90" s="5">
        <v>0.3125</v>
      </c>
      <c r="L90" s="5">
        <v>5.9121621621621625E-3</v>
      </c>
      <c r="N90" t="s">
        <v>426</v>
      </c>
      <c r="O90" t="s">
        <v>427</v>
      </c>
      <c r="P90" t="s">
        <v>196</v>
      </c>
      <c r="Q90" s="4">
        <v>22629</v>
      </c>
      <c r="R90" s="5">
        <v>1.4848203632506961E-2</v>
      </c>
      <c r="S90" s="5">
        <v>2.695656016615847E-3</v>
      </c>
    </row>
    <row r="91" spans="7:19">
      <c r="G91" t="s">
        <v>645</v>
      </c>
      <c r="H91" t="s">
        <v>204</v>
      </c>
      <c r="I91" t="s">
        <v>231</v>
      </c>
      <c r="J91" s="4">
        <v>1069</v>
      </c>
      <c r="K91" s="5">
        <v>0.3124415341440599</v>
      </c>
      <c r="L91" s="5">
        <v>5.5191768007483627E-2</v>
      </c>
      <c r="N91" t="s">
        <v>134</v>
      </c>
      <c r="O91" t="s">
        <v>135</v>
      </c>
      <c r="P91" t="s">
        <v>91</v>
      </c>
      <c r="Q91" s="4">
        <v>345091</v>
      </c>
      <c r="R91" s="5">
        <v>1.4683083592443733E-2</v>
      </c>
      <c r="S91" s="5">
        <v>2.8398306533638953E-3</v>
      </c>
    </row>
    <row r="92" spans="7:19">
      <c r="G92" t="s">
        <v>646</v>
      </c>
      <c r="H92" t="s">
        <v>77</v>
      </c>
      <c r="I92" t="s">
        <v>118</v>
      </c>
      <c r="J92" s="4">
        <v>2795</v>
      </c>
      <c r="K92" s="5">
        <v>0.31198568872987475</v>
      </c>
      <c r="L92" s="5">
        <v>6.2611806797853303E-2</v>
      </c>
      <c r="N92" t="s">
        <v>299</v>
      </c>
      <c r="O92" t="s">
        <v>300</v>
      </c>
      <c r="P92" t="s">
        <v>109</v>
      </c>
      <c r="Q92" s="4">
        <v>53387</v>
      </c>
      <c r="R92" s="5">
        <v>1.4666491842583401E-2</v>
      </c>
      <c r="S92" s="5">
        <v>1.8169217225167174E-3</v>
      </c>
    </row>
    <row r="93" spans="7:19">
      <c r="G93" t="s">
        <v>647</v>
      </c>
      <c r="H93" t="s">
        <v>95</v>
      </c>
      <c r="I93" t="s">
        <v>97</v>
      </c>
      <c r="J93" s="4">
        <v>3122</v>
      </c>
      <c r="K93" s="5">
        <v>0.31165919282511212</v>
      </c>
      <c r="L93" s="5">
        <v>1.1531069827033953E-2</v>
      </c>
      <c r="N93" t="s">
        <v>315</v>
      </c>
      <c r="O93" t="s">
        <v>316</v>
      </c>
      <c r="P93" t="s">
        <v>177</v>
      </c>
      <c r="Q93" s="4">
        <v>7244</v>
      </c>
      <c r="R93" s="5">
        <v>1.4632799558255107E-2</v>
      </c>
      <c r="S93" s="5">
        <v>4.4174489232468254E-3</v>
      </c>
    </row>
    <row r="94" spans="7:19">
      <c r="G94" t="s">
        <v>648</v>
      </c>
      <c r="H94" t="s">
        <v>134</v>
      </c>
      <c r="I94" t="s">
        <v>495</v>
      </c>
      <c r="J94" s="4">
        <v>1182</v>
      </c>
      <c r="K94" s="5">
        <v>0.31133671742808799</v>
      </c>
      <c r="L94" s="5">
        <v>5.076142131979695E-3</v>
      </c>
      <c r="N94" t="s">
        <v>366</v>
      </c>
      <c r="O94" t="s">
        <v>367</v>
      </c>
      <c r="P94" t="s">
        <v>209</v>
      </c>
      <c r="Q94" s="4">
        <v>35068</v>
      </c>
      <c r="R94" s="5">
        <v>1.4628721341393864E-2</v>
      </c>
      <c r="S94" s="5">
        <v>2.7090224706284934E-3</v>
      </c>
    </row>
    <row r="95" spans="7:19">
      <c r="G95" t="s">
        <v>649</v>
      </c>
      <c r="H95" t="s">
        <v>80</v>
      </c>
      <c r="I95" t="s">
        <v>131</v>
      </c>
      <c r="J95" s="4">
        <v>2833</v>
      </c>
      <c r="K95" s="5">
        <v>0.31097776208965761</v>
      </c>
      <c r="L95" s="5">
        <v>1.1295446523120367E-2</v>
      </c>
      <c r="N95" t="s">
        <v>331</v>
      </c>
      <c r="O95" t="s">
        <v>332</v>
      </c>
      <c r="P95" t="s">
        <v>333</v>
      </c>
      <c r="Q95" s="4">
        <v>114461</v>
      </c>
      <c r="R95" s="5">
        <v>1.4598859000008737E-2</v>
      </c>
      <c r="S95" s="5">
        <v>2.45498466726658E-3</v>
      </c>
    </row>
    <row r="96" spans="7:19">
      <c r="G96" t="s">
        <v>650</v>
      </c>
      <c r="H96" t="s">
        <v>89</v>
      </c>
      <c r="I96" t="s">
        <v>416</v>
      </c>
      <c r="J96" s="4">
        <v>12686</v>
      </c>
      <c r="K96" s="5">
        <v>0.31073624467917388</v>
      </c>
      <c r="L96" s="5">
        <v>2.4751694781649063E-2</v>
      </c>
      <c r="N96" t="s">
        <v>286</v>
      </c>
      <c r="O96" t="s">
        <v>287</v>
      </c>
      <c r="P96" t="s">
        <v>235</v>
      </c>
      <c r="Q96" s="4">
        <v>17818</v>
      </c>
      <c r="R96" s="5">
        <v>1.4591985632506453E-2</v>
      </c>
      <c r="S96" s="5">
        <v>1.8520597148950499E-3</v>
      </c>
    </row>
    <row r="97" spans="7:19">
      <c r="G97" t="s">
        <v>651</v>
      </c>
      <c r="H97" t="s">
        <v>136</v>
      </c>
      <c r="I97" t="s">
        <v>89</v>
      </c>
      <c r="J97" s="4">
        <v>1346</v>
      </c>
      <c r="K97" s="5">
        <v>0.30906389301634474</v>
      </c>
      <c r="L97" s="5">
        <v>2.6745913818722138E-2</v>
      </c>
      <c r="N97" t="s">
        <v>118</v>
      </c>
      <c r="O97" t="s">
        <v>119</v>
      </c>
      <c r="P97" t="s">
        <v>120</v>
      </c>
      <c r="Q97" s="4">
        <v>865947</v>
      </c>
      <c r="R97" s="5">
        <v>1.4542460450812809E-2</v>
      </c>
      <c r="S97" s="5">
        <v>2.7253400034875112E-3</v>
      </c>
    </row>
    <row r="98" spans="7:19">
      <c r="G98" t="s">
        <v>652</v>
      </c>
      <c r="H98" t="s">
        <v>129</v>
      </c>
      <c r="I98" t="s">
        <v>118</v>
      </c>
      <c r="J98" s="4">
        <v>1150</v>
      </c>
      <c r="K98" s="5">
        <v>0.30869565217391304</v>
      </c>
      <c r="L98" s="5">
        <v>1.4782608695652174E-2</v>
      </c>
      <c r="N98" t="s">
        <v>243</v>
      </c>
      <c r="O98" t="s">
        <v>244</v>
      </c>
      <c r="P98" t="s">
        <v>109</v>
      </c>
      <c r="Q98" s="4">
        <v>6121</v>
      </c>
      <c r="R98" s="5">
        <v>1.4540107825518706E-2</v>
      </c>
      <c r="S98" s="5">
        <v>1.1436039862767521E-3</v>
      </c>
    </row>
    <row r="99" spans="7:19">
      <c r="G99" t="s">
        <v>653</v>
      </c>
      <c r="H99" t="s">
        <v>89</v>
      </c>
      <c r="I99" t="s">
        <v>344</v>
      </c>
      <c r="J99" s="4">
        <v>5074</v>
      </c>
      <c r="K99" s="5">
        <v>0.30863224280646434</v>
      </c>
      <c r="L99" s="5">
        <v>2.7197477335435555E-2</v>
      </c>
      <c r="N99" t="s">
        <v>430</v>
      </c>
      <c r="O99" t="s">
        <v>431</v>
      </c>
      <c r="P99" t="s">
        <v>379</v>
      </c>
      <c r="Q99" s="4">
        <v>6336</v>
      </c>
      <c r="R99" s="5">
        <v>1.452020202020202E-2</v>
      </c>
      <c r="S99" s="5">
        <v>7.8914141414141413E-4</v>
      </c>
    </row>
    <row r="100" spans="7:19">
      <c r="G100" t="s">
        <v>654</v>
      </c>
      <c r="H100" t="s">
        <v>140</v>
      </c>
      <c r="I100" t="s">
        <v>105</v>
      </c>
      <c r="J100" s="4">
        <v>6671</v>
      </c>
      <c r="K100" s="5">
        <v>0.30849947534102834</v>
      </c>
      <c r="L100" s="5">
        <v>1.6489281966721631E-2</v>
      </c>
      <c r="N100" t="s">
        <v>410</v>
      </c>
      <c r="O100" t="s">
        <v>411</v>
      </c>
      <c r="P100" t="s">
        <v>333</v>
      </c>
      <c r="Q100" s="4">
        <v>70537</v>
      </c>
      <c r="R100" s="5">
        <v>1.4503026780271346E-2</v>
      </c>
      <c r="S100" s="5">
        <v>2.2824900406878661E-3</v>
      </c>
    </row>
    <row r="101" spans="7:19">
      <c r="G101" t="s">
        <v>655</v>
      </c>
      <c r="H101" t="s">
        <v>89</v>
      </c>
      <c r="I101" t="s">
        <v>202</v>
      </c>
      <c r="J101" s="4">
        <v>8646</v>
      </c>
      <c r="K101" s="5">
        <v>0.30800370113347214</v>
      </c>
      <c r="L101" s="5">
        <v>2.6601896830904463E-2</v>
      </c>
      <c r="N101" t="s">
        <v>479</v>
      </c>
      <c r="O101" t="s">
        <v>480</v>
      </c>
      <c r="P101" t="s">
        <v>481</v>
      </c>
      <c r="Q101" s="4">
        <v>20233</v>
      </c>
      <c r="R101" s="5">
        <v>1.448129293728068E-2</v>
      </c>
      <c r="S101" s="5">
        <v>1.6309988632432165E-3</v>
      </c>
    </row>
    <row r="102" spans="7:19">
      <c r="G102" t="s">
        <v>656</v>
      </c>
      <c r="H102" t="s">
        <v>95</v>
      </c>
      <c r="I102" t="s">
        <v>449</v>
      </c>
      <c r="J102" s="4">
        <v>1414</v>
      </c>
      <c r="K102" s="5">
        <v>0.30763790664780766</v>
      </c>
      <c r="L102" s="5">
        <v>1.4851485148514851E-2</v>
      </c>
      <c r="N102" t="s">
        <v>68</v>
      </c>
      <c r="O102" t="s">
        <v>290</v>
      </c>
      <c r="P102" t="s">
        <v>125</v>
      </c>
      <c r="Q102" s="4">
        <v>5943</v>
      </c>
      <c r="R102" s="5">
        <v>1.4470805990240618E-2</v>
      </c>
      <c r="S102" s="5">
        <v>3.8700992764597003E-3</v>
      </c>
    </row>
    <row r="103" spans="7:19">
      <c r="G103" t="s">
        <v>657</v>
      </c>
      <c r="H103" t="s">
        <v>172</v>
      </c>
      <c r="I103" t="s">
        <v>105</v>
      </c>
      <c r="J103" s="4">
        <v>1821</v>
      </c>
      <c r="K103" s="5">
        <v>0.30752333882482152</v>
      </c>
      <c r="L103" s="5">
        <v>1.2081274025260845E-2</v>
      </c>
      <c r="N103" t="s">
        <v>197</v>
      </c>
      <c r="O103" t="s">
        <v>198</v>
      </c>
      <c r="P103" t="s">
        <v>199</v>
      </c>
      <c r="Q103" s="4">
        <v>21256</v>
      </c>
      <c r="R103" s="5">
        <v>1.4442980805419647E-2</v>
      </c>
      <c r="S103" s="5">
        <v>2.2111403838916072E-3</v>
      </c>
    </row>
    <row r="104" spans="7:19">
      <c r="G104" t="s">
        <v>658</v>
      </c>
      <c r="H104" t="s">
        <v>89</v>
      </c>
      <c r="I104" t="s">
        <v>449</v>
      </c>
      <c r="J104" s="4">
        <v>7099</v>
      </c>
      <c r="K104" s="5">
        <v>0.30736723482180589</v>
      </c>
      <c r="L104" s="5">
        <v>1.9016762924355543E-2</v>
      </c>
      <c r="N104" t="s">
        <v>221</v>
      </c>
      <c r="O104" t="s">
        <v>222</v>
      </c>
      <c r="P104" t="s">
        <v>223</v>
      </c>
      <c r="Q104" s="4">
        <v>150913</v>
      </c>
      <c r="R104" s="5">
        <v>1.4365892931689118E-2</v>
      </c>
      <c r="S104" s="5">
        <v>2.4517437198915931E-3</v>
      </c>
    </row>
    <row r="105" spans="7:19">
      <c r="G105" t="s">
        <v>659</v>
      </c>
      <c r="H105" t="s">
        <v>162</v>
      </c>
      <c r="I105" t="s">
        <v>80</v>
      </c>
      <c r="J105" s="4">
        <v>9564</v>
      </c>
      <c r="K105" s="5">
        <v>0.30719364282726891</v>
      </c>
      <c r="L105" s="5">
        <v>1.9866164784608949E-2</v>
      </c>
      <c r="N105" t="s">
        <v>408</v>
      </c>
      <c r="O105" t="s">
        <v>409</v>
      </c>
      <c r="P105" t="s">
        <v>125</v>
      </c>
      <c r="Q105" s="4">
        <v>140066</v>
      </c>
      <c r="R105" s="5">
        <v>1.4343238187711507E-2</v>
      </c>
      <c r="S105" s="5">
        <v>2.2203818199991432E-3</v>
      </c>
    </row>
    <row r="106" spans="7:19">
      <c r="G106" t="s">
        <v>660</v>
      </c>
      <c r="H106" t="s">
        <v>89</v>
      </c>
      <c r="I106" t="s">
        <v>197</v>
      </c>
      <c r="J106" s="4">
        <v>2728</v>
      </c>
      <c r="K106" s="5">
        <v>0.30718475073313783</v>
      </c>
      <c r="L106" s="5">
        <v>1.8695014662756599E-2</v>
      </c>
      <c r="N106" t="s">
        <v>271</v>
      </c>
      <c r="O106" t="s">
        <v>272</v>
      </c>
      <c r="P106" t="s">
        <v>79</v>
      </c>
      <c r="Q106" s="4">
        <v>11475</v>
      </c>
      <c r="R106" s="5">
        <v>1.429193899782135E-2</v>
      </c>
      <c r="S106" s="5">
        <v>2.7886710239651414E-3</v>
      </c>
    </row>
    <row r="107" spans="7:19">
      <c r="G107" t="s">
        <v>661</v>
      </c>
      <c r="H107" t="s">
        <v>103</v>
      </c>
      <c r="I107" t="s">
        <v>301</v>
      </c>
      <c r="J107" s="4">
        <v>1309</v>
      </c>
      <c r="K107" s="5">
        <v>0.30710466004583653</v>
      </c>
      <c r="L107" s="5">
        <v>9.9312452253628725E-3</v>
      </c>
      <c r="N107" t="s">
        <v>266</v>
      </c>
      <c r="O107" t="s">
        <v>267</v>
      </c>
      <c r="P107" t="s">
        <v>112</v>
      </c>
      <c r="Q107" s="4">
        <v>5537</v>
      </c>
      <c r="R107" s="5">
        <v>1.4267653964240564E-2</v>
      </c>
      <c r="S107" s="5">
        <v>2.8896514357955572E-3</v>
      </c>
    </row>
    <row r="108" spans="7:19">
      <c r="G108" t="s">
        <v>662</v>
      </c>
      <c r="H108" t="s">
        <v>89</v>
      </c>
      <c r="I108" t="s">
        <v>136</v>
      </c>
      <c r="J108" s="4">
        <v>1346</v>
      </c>
      <c r="K108" s="5">
        <v>0.30683506686478457</v>
      </c>
      <c r="L108" s="5">
        <v>2.9717682020802376E-2</v>
      </c>
      <c r="N108" t="s">
        <v>418</v>
      </c>
      <c r="O108" t="s">
        <v>419</v>
      </c>
      <c r="P108" t="s">
        <v>157</v>
      </c>
      <c r="Q108" s="4">
        <v>91078</v>
      </c>
      <c r="R108" s="5">
        <v>1.4174663475262961E-2</v>
      </c>
      <c r="S108" s="5">
        <v>2.4594303783570127E-3</v>
      </c>
    </row>
    <row r="109" spans="7:19">
      <c r="G109" t="s">
        <v>663</v>
      </c>
      <c r="H109" t="s">
        <v>103</v>
      </c>
      <c r="I109" t="s">
        <v>226</v>
      </c>
      <c r="J109" s="4">
        <v>16438</v>
      </c>
      <c r="K109" s="5">
        <v>0.30678914709818711</v>
      </c>
      <c r="L109" s="5">
        <v>8.5168511984426327E-3</v>
      </c>
      <c r="N109" t="s">
        <v>388</v>
      </c>
      <c r="O109" t="s">
        <v>389</v>
      </c>
      <c r="P109" t="s">
        <v>171</v>
      </c>
      <c r="Q109" s="4">
        <v>50019</v>
      </c>
      <c r="R109" s="5">
        <v>1.4134628841040405E-2</v>
      </c>
      <c r="S109" s="5">
        <v>2.9188908214878347E-3</v>
      </c>
    </row>
    <row r="110" spans="7:19">
      <c r="G110" t="s">
        <v>664</v>
      </c>
      <c r="H110" t="s">
        <v>85</v>
      </c>
      <c r="I110" t="s">
        <v>131</v>
      </c>
      <c r="J110" s="4">
        <v>4913</v>
      </c>
      <c r="K110" s="5">
        <v>0.3063301445145532</v>
      </c>
      <c r="L110" s="5">
        <v>8.1416649704864653E-3</v>
      </c>
      <c r="N110" t="s">
        <v>493</v>
      </c>
      <c r="O110" t="s">
        <v>494</v>
      </c>
      <c r="P110" t="s">
        <v>82</v>
      </c>
      <c r="Q110" s="4">
        <v>8452</v>
      </c>
      <c r="R110" s="5">
        <v>1.407950780880265E-2</v>
      </c>
      <c r="S110" s="5">
        <v>2.0113582584003788E-3</v>
      </c>
    </row>
    <row r="111" spans="7:19">
      <c r="G111" t="s">
        <v>665</v>
      </c>
      <c r="H111" t="s">
        <v>134</v>
      </c>
      <c r="I111" t="s">
        <v>344</v>
      </c>
      <c r="J111" s="4">
        <v>1476</v>
      </c>
      <c r="K111" s="5">
        <v>0.30623306233062331</v>
      </c>
      <c r="L111" s="5">
        <v>1.8970189701897018E-2</v>
      </c>
      <c r="N111" t="s">
        <v>422</v>
      </c>
      <c r="O111" t="s">
        <v>423</v>
      </c>
      <c r="P111" t="s">
        <v>139</v>
      </c>
      <c r="Q111" s="4">
        <v>129137</v>
      </c>
      <c r="R111" s="5">
        <v>1.407807212495257E-2</v>
      </c>
      <c r="S111" s="5">
        <v>1.7113608028682717E-3</v>
      </c>
    </row>
    <row r="112" spans="7:19">
      <c r="G112" t="s">
        <v>666</v>
      </c>
      <c r="H112" t="s">
        <v>252</v>
      </c>
      <c r="I112" t="s">
        <v>105</v>
      </c>
      <c r="J112" s="4">
        <v>1535</v>
      </c>
      <c r="K112" s="5">
        <v>0.30618892508143325</v>
      </c>
      <c r="L112" s="5">
        <v>1.2377850162866449E-2</v>
      </c>
      <c r="N112" t="s">
        <v>83</v>
      </c>
      <c r="O112" t="s">
        <v>84</v>
      </c>
      <c r="P112" t="s">
        <v>79</v>
      </c>
      <c r="Q112" s="4">
        <v>10664</v>
      </c>
      <c r="R112" s="5">
        <v>1.4066016504126031E-2</v>
      </c>
      <c r="S112" s="5">
        <v>6.9392348087021754E-3</v>
      </c>
    </row>
    <row r="113" spans="7:19">
      <c r="G113" t="s">
        <v>667</v>
      </c>
      <c r="H113" t="s">
        <v>131</v>
      </c>
      <c r="I113" t="s">
        <v>182</v>
      </c>
      <c r="J113" s="4">
        <v>20831</v>
      </c>
      <c r="K113" s="5">
        <v>0.30598627046229177</v>
      </c>
      <c r="L113" s="5">
        <v>1.296145168258845E-2</v>
      </c>
      <c r="N113" t="s">
        <v>110</v>
      </c>
      <c r="O113" t="s">
        <v>111</v>
      </c>
      <c r="P113" t="s">
        <v>112</v>
      </c>
      <c r="Q113" s="4">
        <v>17223</v>
      </c>
      <c r="R113" s="5">
        <v>1.4050978342913545E-2</v>
      </c>
      <c r="S113" s="5">
        <v>8.1867270510364056E-3</v>
      </c>
    </row>
    <row r="114" spans="7:19">
      <c r="G114" t="s">
        <v>668</v>
      </c>
      <c r="H114" t="s">
        <v>80</v>
      </c>
      <c r="I114" t="s">
        <v>162</v>
      </c>
      <c r="J114" s="4">
        <v>9543</v>
      </c>
      <c r="K114" s="5">
        <v>0.30535471025882849</v>
      </c>
      <c r="L114" s="5">
        <v>1.9071570784868489E-2</v>
      </c>
      <c r="N114" t="s">
        <v>123</v>
      </c>
      <c r="O114" t="s">
        <v>124</v>
      </c>
      <c r="P114" t="s">
        <v>125</v>
      </c>
      <c r="Q114" s="4">
        <v>15597</v>
      </c>
      <c r="R114" s="5">
        <v>1.3912931974097582E-2</v>
      </c>
      <c r="S114" s="5">
        <v>2.3081361800346219E-3</v>
      </c>
    </row>
    <row r="115" spans="7:19">
      <c r="G115" t="s">
        <v>669</v>
      </c>
      <c r="H115" t="s">
        <v>670</v>
      </c>
      <c r="I115" t="s">
        <v>463</v>
      </c>
      <c r="J115" s="4">
        <v>1088</v>
      </c>
      <c r="K115" s="5">
        <v>0.30514705882352944</v>
      </c>
      <c r="L115" s="5">
        <v>4.0441176470588237E-2</v>
      </c>
      <c r="N115" t="s">
        <v>400</v>
      </c>
      <c r="O115" t="s">
        <v>401</v>
      </c>
      <c r="P115" t="s">
        <v>157</v>
      </c>
      <c r="Q115" s="4">
        <v>22930</v>
      </c>
      <c r="R115" s="5">
        <v>1.3911905800261666E-2</v>
      </c>
      <c r="S115" s="5">
        <v>1.7008286088094199E-3</v>
      </c>
    </row>
    <row r="116" spans="7:19">
      <c r="G116" t="s">
        <v>671</v>
      </c>
      <c r="H116" t="s">
        <v>87</v>
      </c>
      <c r="I116" t="s">
        <v>144</v>
      </c>
      <c r="J116" s="4">
        <v>1508</v>
      </c>
      <c r="K116" s="5">
        <v>0.30503978779840851</v>
      </c>
      <c r="L116" s="5">
        <v>1.3262599469496022E-2</v>
      </c>
      <c r="N116" t="s">
        <v>95</v>
      </c>
      <c r="O116" t="s">
        <v>96</v>
      </c>
      <c r="P116" t="s">
        <v>82</v>
      </c>
      <c r="Q116" s="4">
        <v>483970</v>
      </c>
      <c r="R116" s="5">
        <v>1.3878959439634688E-2</v>
      </c>
      <c r="S116" s="5">
        <v>2.4774262867533112E-3</v>
      </c>
    </row>
    <row r="117" spans="7:19">
      <c r="G117" t="s">
        <v>672</v>
      </c>
      <c r="H117" t="s">
        <v>89</v>
      </c>
      <c r="I117" t="s">
        <v>340</v>
      </c>
      <c r="J117" s="4">
        <v>4212</v>
      </c>
      <c r="K117" s="5">
        <v>0.30484330484330485</v>
      </c>
      <c r="L117" s="5">
        <v>2.1367521367521368E-2</v>
      </c>
      <c r="N117" t="s">
        <v>207</v>
      </c>
      <c r="O117" t="s">
        <v>208</v>
      </c>
      <c r="P117" t="s">
        <v>209</v>
      </c>
      <c r="Q117" s="4">
        <v>18574</v>
      </c>
      <c r="R117" s="5">
        <v>1.3836545709055669E-2</v>
      </c>
      <c r="S117" s="5">
        <v>1.6151609777107785E-3</v>
      </c>
    </row>
    <row r="118" spans="7:19">
      <c r="G118" t="s">
        <v>673</v>
      </c>
      <c r="H118" t="s">
        <v>182</v>
      </c>
      <c r="I118" t="s">
        <v>226</v>
      </c>
      <c r="J118" s="4">
        <v>19255</v>
      </c>
      <c r="K118" s="5">
        <v>0.3043884705271358</v>
      </c>
      <c r="L118" s="5">
        <v>1.158140742664243E-2</v>
      </c>
      <c r="N118" t="s">
        <v>240</v>
      </c>
      <c r="O118" t="s">
        <v>241</v>
      </c>
      <c r="P118" t="s">
        <v>242</v>
      </c>
      <c r="Q118" s="4">
        <v>67068</v>
      </c>
      <c r="R118" s="5">
        <v>1.3583228961650862E-2</v>
      </c>
      <c r="S118" s="5">
        <v>3.1013299934394942E-3</v>
      </c>
    </row>
    <row r="119" spans="7:19">
      <c r="G119" t="s">
        <v>674</v>
      </c>
      <c r="H119" t="s">
        <v>89</v>
      </c>
      <c r="I119" t="s">
        <v>466</v>
      </c>
      <c r="J119" s="4">
        <v>7110</v>
      </c>
      <c r="K119" s="5">
        <v>0.30379746835443039</v>
      </c>
      <c r="L119" s="5">
        <v>1.9831223628691982E-2</v>
      </c>
      <c r="N119" t="s">
        <v>160</v>
      </c>
      <c r="O119" t="s">
        <v>161</v>
      </c>
      <c r="P119" t="s">
        <v>91</v>
      </c>
      <c r="Q119" s="4">
        <v>218797</v>
      </c>
      <c r="R119" s="5">
        <v>1.3533092318450436E-2</v>
      </c>
      <c r="S119" s="5">
        <v>2.2212370370708924E-3</v>
      </c>
    </row>
    <row r="120" spans="7:19">
      <c r="G120" t="s">
        <v>675</v>
      </c>
      <c r="H120" t="s">
        <v>226</v>
      </c>
      <c r="I120" t="s">
        <v>77</v>
      </c>
      <c r="J120" s="4">
        <v>1034</v>
      </c>
      <c r="K120" s="5">
        <v>0.30367504835589942</v>
      </c>
      <c r="L120" s="5">
        <v>4.5454545454545456E-2</v>
      </c>
      <c r="N120" t="s">
        <v>424</v>
      </c>
      <c r="O120" t="s">
        <v>425</v>
      </c>
      <c r="P120" t="s">
        <v>120</v>
      </c>
      <c r="Q120" s="4">
        <v>5254</v>
      </c>
      <c r="R120" s="5">
        <v>1.3513513513513514E-2</v>
      </c>
      <c r="S120" s="5">
        <v>2.8549676437000381E-3</v>
      </c>
    </row>
    <row r="121" spans="7:19">
      <c r="G121" t="s">
        <v>676</v>
      </c>
      <c r="H121" t="s">
        <v>89</v>
      </c>
      <c r="I121" t="s">
        <v>484</v>
      </c>
      <c r="J121" s="4">
        <v>2422</v>
      </c>
      <c r="K121" s="5">
        <v>0.30346820809248554</v>
      </c>
      <c r="L121" s="5">
        <v>1.6928158546655657E-2</v>
      </c>
      <c r="N121" t="s">
        <v>263</v>
      </c>
      <c r="O121" t="s">
        <v>264</v>
      </c>
      <c r="P121" t="s">
        <v>265</v>
      </c>
      <c r="Q121" s="4">
        <v>37096</v>
      </c>
      <c r="R121" s="5">
        <v>1.3478542160879878E-2</v>
      </c>
      <c r="S121" s="5">
        <v>2.0756954927755012E-3</v>
      </c>
    </row>
    <row r="122" spans="7:19">
      <c r="G122" t="s">
        <v>677</v>
      </c>
      <c r="H122" t="s">
        <v>89</v>
      </c>
      <c r="I122" t="s">
        <v>233</v>
      </c>
      <c r="J122" s="4">
        <v>9850</v>
      </c>
      <c r="K122" s="5">
        <v>0.30345177664974621</v>
      </c>
      <c r="L122" s="5">
        <v>2.6091370558375633E-2</v>
      </c>
      <c r="N122" t="s">
        <v>414</v>
      </c>
      <c r="O122" t="s">
        <v>415</v>
      </c>
      <c r="P122" t="s">
        <v>196</v>
      </c>
      <c r="Q122" s="4">
        <v>128057</v>
      </c>
      <c r="R122" s="5">
        <v>1.3447136821884005E-2</v>
      </c>
      <c r="S122" s="5">
        <v>2.1318631546889278E-3</v>
      </c>
    </row>
    <row r="123" spans="7:19">
      <c r="G123" t="s">
        <v>678</v>
      </c>
      <c r="H123" t="s">
        <v>87</v>
      </c>
      <c r="I123" t="s">
        <v>340</v>
      </c>
      <c r="J123" s="4">
        <v>1816</v>
      </c>
      <c r="K123" s="5">
        <v>0.30341409691629956</v>
      </c>
      <c r="L123" s="5">
        <v>9.3612334801762113E-3</v>
      </c>
      <c r="N123" t="s">
        <v>85</v>
      </c>
      <c r="O123" t="s">
        <v>86</v>
      </c>
      <c r="P123" t="s">
        <v>82</v>
      </c>
      <c r="Q123" s="4">
        <v>324386</v>
      </c>
      <c r="R123" s="5">
        <v>1.3443860092605724E-2</v>
      </c>
      <c r="S123" s="5">
        <v>3.0858298446912011E-3</v>
      </c>
    </row>
    <row r="124" spans="7:19">
      <c r="G124" t="s">
        <v>679</v>
      </c>
      <c r="H124" t="s">
        <v>85</v>
      </c>
      <c r="I124" t="s">
        <v>358</v>
      </c>
      <c r="J124" s="4">
        <v>2236</v>
      </c>
      <c r="K124" s="5">
        <v>0.3032200357781753</v>
      </c>
      <c r="L124" s="5">
        <v>1.2075134168157423E-2</v>
      </c>
      <c r="N124" t="s">
        <v>100</v>
      </c>
      <c r="O124" t="s">
        <v>101</v>
      </c>
      <c r="P124" t="s">
        <v>102</v>
      </c>
      <c r="Q124" s="4">
        <v>608080</v>
      </c>
      <c r="R124" s="5">
        <v>1.3317326667543745E-2</v>
      </c>
      <c r="S124" s="5">
        <v>2.3121957637153006E-3</v>
      </c>
    </row>
    <row r="125" spans="7:19">
      <c r="G125" t="s">
        <v>680</v>
      </c>
      <c r="H125" t="s">
        <v>136</v>
      </c>
      <c r="I125" t="s">
        <v>215</v>
      </c>
      <c r="J125" s="4">
        <v>1679</v>
      </c>
      <c r="K125" s="5">
        <v>0.30315664085765337</v>
      </c>
      <c r="L125" s="5">
        <v>3.5735556879094698E-3</v>
      </c>
      <c r="N125" t="s">
        <v>472</v>
      </c>
      <c r="O125" t="s">
        <v>473</v>
      </c>
      <c r="P125" t="s">
        <v>91</v>
      </c>
      <c r="Q125" s="4">
        <v>27259</v>
      </c>
      <c r="R125" s="5">
        <v>1.3169962214314539E-2</v>
      </c>
      <c r="S125" s="5">
        <v>3.0081807843281116E-3</v>
      </c>
    </row>
    <row r="126" spans="7:19">
      <c r="G126" t="s">
        <v>681</v>
      </c>
      <c r="H126" t="s">
        <v>89</v>
      </c>
      <c r="I126" t="s">
        <v>282</v>
      </c>
      <c r="J126" s="4">
        <v>5592</v>
      </c>
      <c r="K126" s="5">
        <v>0.30185979971387694</v>
      </c>
      <c r="L126" s="5">
        <v>2.2532188841201718E-2</v>
      </c>
      <c r="N126" t="s">
        <v>194</v>
      </c>
      <c r="O126" t="s">
        <v>195</v>
      </c>
      <c r="P126" t="s">
        <v>196</v>
      </c>
      <c r="Q126" s="4">
        <v>11010</v>
      </c>
      <c r="R126" s="5">
        <v>1.2988192552225249E-2</v>
      </c>
      <c r="S126" s="5">
        <v>2.4523160762942781E-3</v>
      </c>
    </row>
    <row r="127" spans="7:19">
      <c r="G127" t="s">
        <v>682</v>
      </c>
      <c r="H127" t="s">
        <v>322</v>
      </c>
      <c r="I127" t="s">
        <v>178</v>
      </c>
      <c r="J127" s="4">
        <v>1047</v>
      </c>
      <c r="K127" s="5">
        <v>0.30181470869149951</v>
      </c>
      <c r="L127" s="5">
        <v>7.6408787010506206E-3</v>
      </c>
      <c r="N127" t="s">
        <v>291</v>
      </c>
      <c r="O127" t="s">
        <v>292</v>
      </c>
      <c r="P127" t="s">
        <v>79</v>
      </c>
      <c r="Q127" s="4">
        <v>37596</v>
      </c>
      <c r="R127" s="5">
        <v>1.2953505692094905E-2</v>
      </c>
      <c r="S127" s="5">
        <v>2.4470688371103309E-3</v>
      </c>
    </row>
    <row r="128" spans="7:19">
      <c r="G128" t="s">
        <v>683</v>
      </c>
      <c r="H128" t="s">
        <v>100</v>
      </c>
      <c r="I128" t="s">
        <v>245</v>
      </c>
      <c r="J128" s="4">
        <v>1478</v>
      </c>
      <c r="K128" s="5">
        <v>0.30175913396481729</v>
      </c>
      <c r="L128" s="5">
        <v>1.4884979702300407E-2</v>
      </c>
      <c r="N128" t="s">
        <v>352</v>
      </c>
      <c r="O128" t="s">
        <v>353</v>
      </c>
      <c r="P128" t="s">
        <v>154</v>
      </c>
      <c r="Q128" s="4">
        <v>146549</v>
      </c>
      <c r="R128" s="5">
        <v>1.2930828596578618E-2</v>
      </c>
      <c r="S128" s="5">
        <v>2.3746323755194508E-3</v>
      </c>
    </row>
    <row r="129" spans="7:19">
      <c r="G129" t="s">
        <v>684</v>
      </c>
      <c r="H129" t="s">
        <v>89</v>
      </c>
      <c r="I129" t="s">
        <v>105</v>
      </c>
      <c r="J129" s="4">
        <v>2678</v>
      </c>
      <c r="K129" s="5">
        <v>0.3017176997759522</v>
      </c>
      <c r="L129" s="5">
        <v>6.3480209111277074E-3</v>
      </c>
      <c r="N129" t="s">
        <v>311</v>
      </c>
      <c r="O129" t="s">
        <v>312</v>
      </c>
      <c r="P129" t="s">
        <v>177</v>
      </c>
      <c r="Q129" s="4">
        <v>19988</v>
      </c>
      <c r="R129" s="5">
        <v>1.265759455673404E-2</v>
      </c>
      <c r="S129" s="5">
        <v>2.0512307384430661E-3</v>
      </c>
    </row>
    <row r="130" spans="7:19">
      <c r="G130" t="s">
        <v>685</v>
      </c>
      <c r="H130" t="s">
        <v>85</v>
      </c>
      <c r="I130" t="s">
        <v>226</v>
      </c>
      <c r="J130" s="4">
        <v>4528</v>
      </c>
      <c r="K130" s="5">
        <v>0.30123674911660775</v>
      </c>
      <c r="L130" s="5">
        <v>7.7296819787985869E-3</v>
      </c>
      <c r="N130" t="s">
        <v>457</v>
      </c>
      <c r="O130" t="s">
        <v>458</v>
      </c>
      <c r="P130" t="s">
        <v>376</v>
      </c>
      <c r="Q130" s="4">
        <v>51784</v>
      </c>
      <c r="R130" s="5">
        <v>1.262938359338792E-2</v>
      </c>
      <c r="S130" s="5">
        <v>2.1435192337401513E-3</v>
      </c>
    </row>
    <row r="131" spans="7:19">
      <c r="G131" t="s">
        <v>686</v>
      </c>
      <c r="H131" t="s">
        <v>100</v>
      </c>
      <c r="I131" t="s">
        <v>215</v>
      </c>
      <c r="J131" s="4">
        <v>3783</v>
      </c>
      <c r="K131" s="5">
        <v>0.30055511498810467</v>
      </c>
      <c r="L131" s="5">
        <v>8.7232355273592389E-3</v>
      </c>
      <c r="N131" t="s">
        <v>354</v>
      </c>
      <c r="O131" t="s">
        <v>355</v>
      </c>
      <c r="P131" t="s">
        <v>139</v>
      </c>
      <c r="Q131" s="4">
        <v>16004</v>
      </c>
      <c r="R131" s="5">
        <v>1.2559360159960011E-2</v>
      </c>
      <c r="S131" s="5">
        <v>2.124468882779305E-3</v>
      </c>
    </row>
    <row r="132" spans="7:19">
      <c r="G132" t="s">
        <v>687</v>
      </c>
      <c r="H132" t="s">
        <v>204</v>
      </c>
      <c r="I132" t="s">
        <v>263</v>
      </c>
      <c r="J132" s="4">
        <v>1084</v>
      </c>
      <c r="K132" s="5">
        <v>0.29981549815498154</v>
      </c>
      <c r="L132" s="5">
        <v>1.7527675276752766E-2</v>
      </c>
      <c r="N132" t="s">
        <v>463</v>
      </c>
      <c r="O132" t="s">
        <v>464</v>
      </c>
      <c r="P132" t="s">
        <v>465</v>
      </c>
      <c r="Q132" s="4">
        <v>55253</v>
      </c>
      <c r="R132" s="5">
        <v>1.2469911136046912E-2</v>
      </c>
      <c r="S132" s="5">
        <v>2.5880947640852079E-3</v>
      </c>
    </row>
    <row r="133" spans="7:19">
      <c r="G133" t="s">
        <v>688</v>
      </c>
      <c r="H133" t="s">
        <v>474</v>
      </c>
      <c r="I133" t="s">
        <v>184</v>
      </c>
      <c r="J133" s="4">
        <v>1982</v>
      </c>
      <c r="K133" s="5">
        <v>0.29969727547931385</v>
      </c>
      <c r="L133" s="5">
        <v>8.5771947527749741E-3</v>
      </c>
      <c r="N133" t="s">
        <v>356</v>
      </c>
      <c r="O133" t="s">
        <v>357</v>
      </c>
      <c r="P133" t="s">
        <v>82</v>
      </c>
      <c r="Q133" s="4">
        <v>29661</v>
      </c>
      <c r="R133" s="5">
        <v>1.244057853747345E-2</v>
      </c>
      <c r="S133" s="5">
        <v>2.7645730083274331E-3</v>
      </c>
    </row>
    <row r="134" spans="7:19">
      <c r="G134" t="s">
        <v>689</v>
      </c>
      <c r="H134" t="s">
        <v>103</v>
      </c>
      <c r="I134" t="s">
        <v>398</v>
      </c>
      <c r="J134" s="4">
        <v>5536</v>
      </c>
      <c r="K134" s="5">
        <v>0.29913294797687862</v>
      </c>
      <c r="L134" s="5">
        <v>8.3092485549132941E-3</v>
      </c>
      <c r="N134" t="s">
        <v>233</v>
      </c>
      <c r="O134" t="s">
        <v>234</v>
      </c>
      <c r="P134" t="s">
        <v>235</v>
      </c>
      <c r="Q134" s="4">
        <v>301950</v>
      </c>
      <c r="R134" s="5">
        <v>1.2425898327537672E-2</v>
      </c>
      <c r="S134" s="5">
        <v>2.301705580394105E-3</v>
      </c>
    </row>
    <row r="135" spans="7:19">
      <c r="G135" t="s">
        <v>690</v>
      </c>
      <c r="H135" t="s">
        <v>103</v>
      </c>
      <c r="I135" t="s">
        <v>240</v>
      </c>
      <c r="J135" s="4">
        <v>2482</v>
      </c>
      <c r="K135" s="5">
        <v>0.29814665592264306</v>
      </c>
      <c r="L135" s="5">
        <v>8.8638195004029016E-3</v>
      </c>
      <c r="N135" t="s">
        <v>136</v>
      </c>
      <c r="O135" t="s">
        <v>119</v>
      </c>
      <c r="P135" t="s">
        <v>120</v>
      </c>
      <c r="Q135" s="4">
        <v>238746</v>
      </c>
      <c r="R135" s="5">
        <v>1.2280834024444388E-2</v>
      </c>
      <c r="S135" s="5">
        <v>2.5675822841010948E-3</v>
      </c>
    </row>
    <row r="136" spans="7:19">
      <c r="G136" t="s">
        <v>691</v>
      </c>
      <c r="H136" t="s">
        <v>115</v>
      </c>
      <c r="I136" t="s">
        <v>215</v>
      </c>
      <c r="J136" s="4">
        <v>1771</v>
      </c>
      <c r="K136" s="5">
        <v>0.29813664596273293</v>
      </c>
      <c r="L136" s="5">
        <v>1.2422360248447204E-2</v>
      </c>
      <c r="N136" t="s">
        <v>305</v>
      </c>
      <c r="O136" t="s">
        <v>306</v>
      </c>
      <c r="P136" t="s">
        <v>265</v>
      </c>
      <c r="Q136" s="4">
        <v>38288</v>
      </c>
      <c r="R136" s="5">
        <v>1.2275386544086921E-2</v>
      </c>
      <c r="S136" s="5">
        <v>2.3506059339740912E-3</v>
      </c>
    </row>
    <row r="137" spans="7:19">
      <c r="G137" t="s">
        <v>692</v>
      </c>
      <c r="H137" t="s">
        <v>89</v>
      </c>
      <c r="I137" t="s">
        <v>326</v>
      </c>
      <c r="J137" s="4">
        <v>15121</v>
      </c>
      <c r="K137" s="5">
        <v>0.2977316315058528</v>
      </c>
      <c r="L137" s="5">
        <v>1.4946101448316909E-2</v>
      </c>
      <c r="N137" t="s">
        <v>158</v>
      </c>
      <c r="O137" t="s">
        <v>159</v>
      </c>
      <c r="P137" t="s">
        <v>154</v>
      </c>
      <c r="Q137" s="4">
        <v>25852</v>
      </c>
      <c r="R137" s="5">
        <v>1.2223425653721183E-2</v>
      </c>
      <c r="S137" s="5">
        <v>2.3209036051369332E-3</v>
      </c>
    </row>
    <row r="138" spans="7:19">
      <c r="G138" t="s">
        <v>693</v>
      </c>
      <c r="H138" t="s">
        <v>89</v>
      </c>
      <c r="I138" t="s">
        <v>352</v>
      </c>
      <c r="J138" s="4">
        <v>7313</v>
      </c>
      <c r="K138" s="5">
        <v>0.29741556132913988</v>
      </c>
      <c r="L138" s="5">
        <v>2.3793244906331192E-2</v>
      </c>
      <c r="N138" t="s">
        <v>521</v>
      </c>
      <c r="O138" t="s">
        <v>522</v>
      </c>
      <c r="P138" t="s">
        <v>397</v>
      </c>
      <c r="Q138" s="4">
        <v>6189</v>
      </c>
      <c r="R138" s="5">
        <v>1.195669736629504E-2</v>
      </c>
      <c r="S138" s="5">
        <v>3.5546938116012279E-3</v>
      </c>
    </row>
    <row r="139" spans="7:19">
      <c r="G139" t="s">
        <v>694</v>
      </c>
      <c r="H139" t="s">
        <v>149</v>
      </c>
      <c r="I139" t="s">
        <v>105</v>
      </c>
      <c r="J139" s="4">
        <v>10943</v>
      </c>
      <c r="K139" s="5">
        <v>0.29735904231015259</v>
      </c>
      <c r="L139" s="5">
        <v>1.1148679521155076E-2</v>
      </c>
      <c r="N139" t="s">
        <v>346</v>
      </c>
      <c r="O139" t="s">
        <v>205</v>
      </c>
      <c r="P139" t="s">
        <v>206</v>
      </c>
      <c r="Q139" s="4">
        <v>160252</v>
      </c>
      <c r="R139" s="5">
        <v>1.1862566457828919E-2</v>
      </c>
      <c r="S139" s="5">
        <v>2.2152609639817288E-3</v>
      </c>
    </row>
    <row r="140" spans="7:19">
      <c r="G140" t="s">
        <v>695</v>
      </c>
      <c r="H140" t="s">
        <v>89</v>
      </c>
      <c r="I140" t="s">
        <v>85</v>
      </c>
      <c r="J140" s="4">
        <v>13861</v>
      </c>
      <c r="K140" s="5">
        <v>0.29702041699733062</v>
      </c>
      <c r="L140" s="5">
        <v>1.6809753986003897E-2</v>
      </c>
      <c r="N140" t="s">
        <v>115</v>
      </c>
      <c r="O140" t="s">
        <v>116</v>
      </c>
      <c r="P140" t="s">
        <v>117</v>
      </c>
      <c r="Q140" s="4">
        <v>290943</v>
      </c>
      <c r="R140" s="5">
        <v>1.1827058908445985E-2</v>
      </c>
      <c r="S140" s="5">
        <v>2.0931935121312421E-3</v>
      </c>
    </row>
    <row r="141" spans="7:19">
      <c r="G141" t="s">
        <v>696</v>
      </c>
      <c r="H141" t="s">
        <v>80</v>
      </c>
      <c r="I141" t="s">
        <v>240</v>
      </c>
      <c r="J141" s="4">
        <v>2200</v>
      </c>
      <c r="K141" s="5">
        <v>0.29681818181818181</v>
      </c>
      <c r="L141" s="5">
        <v>1.2727272727272728E-2</v>
      </c>
      <c r="N141" t="s">
        <v>406</v>
      </c>
      <c r="O141" t="s">
        <v>407</v>
      </c>
      <c r="P141" t="s">
        <v>212</v>
      </c>
      <c r="Q141" s="4">
        <v>70992</v>
      </c>
      <c r="R141" s="5">
        <v>1.1635113815641199E-2</v>
      </c>
      <c r="S141" s="5">
        <v>2.1692585080009016E-3</v>
      </c>
    </row>
    <row r="142" spans="7:19">
      <c r="G142" t="s">
        <v>697</v>
      </c>
      <c r="H142" t="s">
        <v>85</v>
      </c>
      <c r="I142" t="s">
        <v>410</v>
      </c>
      <c r="J142" s="4">
        <v>1422</v>
      </c>
      <c r="K142" s="5">
        <v>0.29676511954992968</v>
      </c>
      <c r="L142" s="5">
        <v>7.7355836849507739E-3</v>
      </c>
      <c r="N142" t="s">
        <v>210</v>
      </c>
      <c r="O142" t="s">
        <v>211</v>
      </c>
      <c r="P142" t="s">
        <v>212</v>
      </c>
      <c r="Q142" s="4">
        <v>5594</v>
      </c>
      <c r="R142" s="5">
        <v>1.1619592420450483E-2</v>
      </c>
      <c r="S142" s="5">
        <v>4.4690740078655701E-3</v>
      </c>
    </row>
    <row r="143" spans="7:19">
      <c r="G143" t="s">
        <v>698</v>
      </c>
      <c r="H143" t="s">
        <v>162</v>
      </c>
      <c r="I143" t="s">
        <v>95</v>
      </c>
      <c r="J143" s="4">
        <v>14592</v>
      </c>
      <c r="K143" s="5">
        <v>0.2963267543859649</v>
      </c>
      <c r="L143" s="5">
        <v>1.836622807017544E-2</v>
      </c>
      <c r="N143" t="s">
        <v>313</v>
      </c>
      <c r="O143" t="s">
        <v>314</v>
      </c>
      <c r="P143" t="s">
        <v>82</v>
      </c>
      <c r="Q143" s="4">
        <v>24145</v>
      </c>
      <c r="R143" s="5">
        <v>1.1555187409401533E-2</v>
      </c>
      <c r="S143" s="5">
        <v>2.5264029819838476E-3</v>
      </c>
    </row>
    <row r="144" spans="7:19">
      <c r="G144" t="s">
        <v>699</v>
      </c>
      <c r="H144" t="s">
        <v>299</v>
      </c>
      <c r="I144" t="s">
        <v>89</v>
      </c>
      <c r="J144" s="4">
        <v>3227</v>
      </c>
      <c r="K144" s="5">
        <v>0.29625038735667802</v>
      </c>
      <c r="L144" s="5">
        <v>1.9832661915091417E-2</v>
      </c>
      <c r="N144" t="s">
        <v>180</v>
      </c>
      <c r="O144" t="s">
        <v>181</v>
      </c>
      <c r="P144" t="s">
        <v>82</v>
      </c>
      <c r="Q144" s="4">
        <v>25423</v>
      </c>
      <c r="R144" s="5">
        <v>1.1485662588994219E-2</v>
      </c>
      <c r="S144" s="5">
        <v>2.9500845690909805E-3</v>
      </c>
    </row>
    <row r="145" spans="7:19">
      <c r="G145" t="s">
        <v>700</v>
      </c>
      <c r="H145" t="s">
        <v>95</v>
      </c>
      <c r="I145" t="s">
        <v>224</v>
      </c>
      <c r="J145" s="4">
        <v>3852</v>
      </c>
      <c r="K145" s="5">
        <v>0.29595015576323985</v>
      </c>
      <c r="L145" s="5">
        <v>1.142263759086189E-2</v>
      </c>
      <c r="N145" t="s">
        <v>470</v>
      </c>
      <c r="O145" t="s">
        <v>471</v>
      </c>
      <c r="P145" t="s">
        <v>139</v>
      </c>
      <c r="Q145" s="4">
        <v>11783</v>
      </c>
      <c r="R145" s="5">
        <v>1.1457184078757532E-2</v>
      </c>
      <c r="S145" s="5">
        <v>4.4131375710769749E-3</v>
      </c>
    </row>
    <row r="146" spans="7:19">
      <c r="G146" t="s">
        <v>701</v>
      </c>
      <c r="H146" t="s">
        <v>121</v>
      </c>
      <c r="I146" t="s">
        <v>89</v>
      </c>
      <c r="J146" s="4">
        <v>3329</v>
      </c>
      <c r="K146" s="5">
        <v>0.29528386902973863</v>
      </c>
      <c r="L146" s="5">
        <v>2.3430459597476718E-2</v>
      </c>
      <c r="N146" t="s">
        <v>187</v>
      </c>
      <c r="O146" t="s">
        <v>188</v>
      </c>
      <c r="P146" t="s">
        <v>79</v>
      </c>
      <c r="Q146" s="4">
        <v>7966</v>
      </c>
      <c r="R146" s="5">
        <v>1.1423550087873463E-2</v>
      </c>
      <c r="S146" s="5">
        <v>3.7660055234747677E-3</v>
      </c>
    </row>
    <row r="147" spans="7:19">
      <c r="G147" t="s">
        <v>702</v>
      </c>
      <c r="H147" t="s">
        <v>89</v>
      </c>
      <c r="I147" t="s">
        <v>162</v>
      </c>
      <c r="J147" s="4">
        <v>11511</v>
      </c>
      <c r="K147" s="5">
        <v>0.29510902614890105</v>
      </c>
      <c r="L147" s="5">
        <v>1.6679697680479541E-2</v>
      </c>
      <c r="N147" t="s">
        <v>182</v>
      </c>
      <c r="O147" t="s">
        <v>183</v>
      </c>
      <c r="P147" t="s">
        <v>157</v>
      </c>
      <c r="Q147" s="4">
        <v>282525</v>
      </c>
      <c r="R147" s="5">
        <v>1.1421998053269622E-2</v>
      </c>
      <c r="S147" s="5">
        <v>3.1572427218830193E-3</v>
      </c>
    </row>
    <row r="148" spans="7:19">
      <c r="G148" t="s">
        <v>703</v>
      </c>
      <c r="H148" t="s">
        <v>80</v>
      </c>
      <c r="I148" t="s">
        <v>408</v>
      </c>
      <c r="J148" s="4">
        <v>3090</v>
      </c>
      <c r="K148" s="5">
        <v>0.2948220064724919</v>
      </c>
      <c r="L148" s="5">
        <v>8.0906148867313909E-3</v>
      </c>
      <c r="N148" t="s">
        <v>364</v>
      </c>
      <c r="O148" t="s">
        <v>365</v>
      </c>
      <c r="P148" t="s">
        <v>79</v>
      </c>
      <c r="Q148" s="4">
        <v>11820</v>
      </c>
      <c r="R148" s="5">
        <v>1.1336717428087987E-2</v>
      </c>
      <c r="S148" s="5">
        <v>2.9610829103214891E-3</v>
      </c>
    </row>
    <row r="149" spans="7:19">
      <c r="G149" t="s">
        <v>704</v>
      </c>
      <c r="H149" t="s">
        <v>95</v>
      </c>
      <c r="I149" t="s">
        <v>182</v>
      </c>
      <c r="J149" s="4">
        <v>2076</v>
      </c>
      <c r="K149" s="5">
        <v>0.2947976878612717</v>
      </c>
      <c r="L149" s="5">
        <v>2.2639691714836225E-2</v>
      </c>
      <c r="N149" t="s">
        <v>113</v>
      </c>
      <c r="O149" t="s">
        <v>114</v>
      </c>
      <c r="P149" t="s">
        <v>109</v>
      </c>
      <c r="Q149" s="4">
        <v>7598</v>
      </c>
      <c r="R149" s="5">
        <v>1.1318768096867597E-2</v>
      </c>
      <c r="S149" s="5">
        <v>2.237430902869176E-3</v>
      </c>
    </row>
    <row r="150" spans="7:19">
      <c r="G150" t="s">
        <v>705</v>
      </c>
      <c r="H150" t="s">
        <v>180</v>
      </c>
      <c r="I150" t="s">
        <v>331</v>
      </c>
      <c r="J150" s="4">
        <v>1086</v>
      </c>
      <c r="K150" s="5">
        <v>0.29465930018416209</v>
      </c>
      <c r="L150" s="5">
        <v>1.0128913443830571E-2</v>
      </c>
      <c r="N150" t="s">
        <v>236</v>
      </c>
      <c r="O150" t="s">
        <v>237</v>
      </c>
      <c r="P150" t="s">
        <v>154</v>
      </c>
      <c r="Q150" s="4">
        <v>191684</v>
      </c>
      <c r="R150" s="5">
        <v>1.129984766595021E-2</v>
      </c>
      <c r="S150" s="5">
        <v>2.133720080966591E-3</v>
      </c>
    </row>
    <row r="151" spans="7:19">
      <c r="G151" t="s">
        <v>706</v>
      </c>
      <c r="H151" t="s">
        <v>89</v>
      </c>
      <c r="I151" t="s">
        <v>406</v>
      </c>
      <c r="J151" s="4">
        <v>4414</v>
      </c>
      <c r="K151" s="5">
        <v>0.29451744449478928</v>
      </c>
      <c r="L151" s="5">
        <v>2.0163117353874035E-2</v>
      </c>
      <c r="N151" t="s">
        <v>374</v>
      </c>
      <c r="O151" t="s">
        <v>375</v>
      </c>
      <c r="P151" t="s">
        <v>376</v>
      </c>
      <c r="Q151" s="4">
        <v>68296</v>
      </c>
      <c r="R151" s="5">
        <v>1.1113388778259342E-2</v>
      </c>
      <c r="S151" s="5">
        <v>2.708797001288509E-3</v>
      </c>
    </row>
    <row r="152" spans="7:19">
      <c r="G152" t="s">
        <v>707</v>
      </c>
      <c r="H152" t="s">
        <v>202</v>
      </c>
      <c r="I152" t="s">
        <v>224</v>
      </c>
      <c r="J152" s="4">
        <v>1098</v>
      </c>
      <c r="K152" s="5">
        <v>0.29417122040072857</v>
      </c>
      <c r="L152" s="5">
        <v>2.0036429872495445E-2</v>
      </c>
      <c r="N152" t="s">
        <v>278</v>
      </c>
      <c r="O152" t="s">
        <v>279</v>
      </c>
      <c r="P152" t="s">
        <v>157</v>
      </c>
      <c r="Q152" s="4">
        <v>15488</v>
      </c>
      <c r="R152" s="5">
        <v>1.1040805785123967E-2</v>
      </c>
      <c r="S152" s="5">
        <v>2.5180785123966941E-3</v>
      </c>
    </row>
    <row r="153" spans="7:19">
      <c r="G153" t="s">
        <v>708</v>
      </c>
      <c r="H153" t="s">
        <v>89</v>
      </c>
      <c r="I153" t="s">
        <v>252</v>
      </c>
      <c r="J153" s="4">
        <v>6419</v>
      </c>
      <c r="K153" s="5">
        <v>0.29412681102975541</v>
      </c>
      <c r="L153" s="5">
        <v>1.7915563171833619E-2</v>
      </c>
      <c r="N153" t="s">
        <v>416</v>
      </c>
      <c r="O153" t="s">
        <v>417</v>
      </c>
      <c r="P153" t="s">
        <v>91</v>
      </c>
      <c r="Q153" s="4">
        <v>122957</v>
      </c>
      <c r="R153" s="5">
        <v>1.1020112722333823E-2</v>
      </c>
      <c r="S153" s="5">
        <v>2.1714908463934548E-3</v>
      </c>
    </row>
    <row r="154" spans="7:19">
      <c r="G154" t="s">
        <v>709</v>
      </c>
      <c r="H154" t="s">
        <v>344</v>
      </c>
      <c r="I154" t="s">
        <v>103</v>
      </c>
      <c r="J154" s="4">
        <v>1239</v>
      </c>
      <c r="K154" s="5">
        <v>0.29378531073446329</v>
      </c>
      <c r="L154" s="5">
        <v>1.3720742534301856E-2</v>
      </c>
      <c r="N154" t="s">
        <v>322</v>
      </c>
      <c r="O154" t="s">
        <v>323</v>
      </c>
      <c r="P154" t="s">
        <v>109</v>
      </c>
      <c r="Q154" s="4">
        <v>379972</v>
      </c>
      <c r="R154" s="5">
        <v>1.1019232996115503E-2</v>
      </c>
      <c r="S154" s="5">
        <v>2.1922667986062133E-3</v>
      </c>
    </row>
    <row r="155" spans="7:19">
      <c r="G155" t="s">
        <v>710</v>
      </c>
      <c r="H155" t="s">
        <v>87</v>
      </c>
      <c r="I155" t="s">
        <v>331</v>
      </c>
      <c r="J155" s="4">
        <v>1035</v>
      </c>
      <c r="K155" s="5">
        <v>0.29371980676328502</v>
      </c>
      <c r="L155" s="5">
        <v>5.7971014492753624E-3</v>
      </c>
      <c r="N155" t="s">
        <v>105</v>
      </c>
      <c r="O155" t="s">
        <v>106</v>
      </c>
      <c r="P155" t="s">
        <v>99</v>
      </c>
      <c r="Q155" s="4">
        <v>103721</v>
      </c>
      <c r="R155" s="5">
        <v>1.0952459000588116E-2</v>
      </c>
      <c r="S155" s="5">
        <v>4.5988758303525806E-3</v>
      </c>
    </row>
    <row r="156" spans="7:19">
      <c r="G156" t="s">
        <v>711</v>
      </c>
      <c r="H156" t="s">
        <v>250</v>
      </c>
      <c r="I156" t="s">
        <v>118</v>
      </c>
      <c r="J156" s="4">
        <v>2571</v>
      </c>
      <c r="K156" s="5">
        <v>0.29366005445352006</v>
      </c>
      <c r="L156" s="5">
        <v>1.4002333722287048E-2</v>
      </c>
      <c r="N156" t="s">
        <v>103</v>
      </c>
      <c r="O156" t="s">
        <v>104</v>
      </c>
      <c r="P156" t="s">
        <v>79</v>
      </c>
      <c r="Q156" s="4">
        <v>915316</v>
      </c>
      <c r="R156" s="5">
        <v>1.0876025328957432E-2</v>
      </c>
      <c r="S156" s="5">
        <v>2.7935707449667658E-3</v>
      </c>
    </row>
    <row r="157" spans="7:19">
      <c r="G157" t="s">
        <v>712</v>
      </c>
      <c r="H157" t="s">
        <v>89</v>
      </c>
      <c r="I157" t="s">
        <v>103</v>
      </c>
      <c r="J157" s="4">
        <v>18084</v>
      </c>
      <c r="K157" s="5">
        <v>0.29362972793629727</v>
      </c>
      <c r="L157" s="5">
        <v>2.0072992700729927E-2</v>
      </c>
      <c r="N157" t="s">
        <v>189</v>
      </c>
      <c r="O157" t="s">
        <v>190</v>
      </c>
      <c r="P157" t="s">
        <v>91</v>
      </c>
      <c r="Q157" s="4">
        <v>264888</v>
      </c>
      <c r="R157" s="5">
        <v>1.0819667180091209E-2</v>
      </c>
      <c r="S157" s="5">
        <v>2.1631783999275164E-3</v>
      </c>
    </row>
    <row r="158" spans="7:19">
      <c r="G158" t="s">
        <v>713</v>
      </c>
      <c r="H158" t="s">
        <v>149</v>
      </c>
      <c r="I158" t="s">
        <v>121</v>
      </c>
      <c r="J158" s="4">
        <v>6546</v>
      </c>
      <c r="K158" s="5">
        <v>0.29361442102047053</v>
      </c>
      <c r="L158" s="5">
        <v>2.2761992056217536E-2</v>
      </c>
      <c r="N158" t="s">
        <v>218</v>
      </c>
      <c r="O158" t="s">
        <v>219</v>
      </c>
      <c r="P158" t="s">
        <v>220</v>
      </c>
      <c r="Q158" s="4">
        <v>992806</v>
      </c>
      <c r="R158" s="5">
        <v>1.0791635022350792E-2</v>
      </c>
      <c r="S158" s="5">
        <v>2.4486153387469453E-3</v>
      </c>
    </row>
    <row r="159" spans="7:19">
      <c r="G159" t="s">
        <v>714</v>
      </c>
      <c r="H159" t="s">
        <v>495</v>
      </c>
      <c r="I159" t="s">
        <v>466</v>
      </c>
      <c r="J159" s="4">
        <v>1097</v>
      </c>
      <c r="K159" s="5">
        <v>0.29352780309936188</v>
      </c>
      <c r="L159" s="5">
        <v>5.4694621695533276E-3</v>
      </c>
      <c r="N159" t="s">
        <v>440</v>
      </c>
      <c r="O159" t="s">
        <v>441</v>
      </c>
      <c r="P159" t="s">
        <v>442</v>
      </c>
      <c r="Q159" s="4">
        <v>18024</v>
      </c>
      <c r="R159" s="5">
        <v>1.0707944962272526E-2</v>
      </c>
      <c r="S159" s="5">
        <v>2.1083000443852641E-3</v>
      </c>
    </row>
    <row r="160" spans="7:19">
      <c r="G160" t="s">
        <v>715</v>
      </c>
      <c r="H160" t="s">
        <v>149</v>
      </c>
      <c r="I160" t="s">
        <v>95</v>
      </c>
      <c r="J160" s="4">
        <v>14515</v>
      </c>
      <c r="K160" s="5">
        <v>0.2934205993799518</v>
      </c>
      <c r="L160" s="5">
        <v>1.9979331725800895E-2</v>
      </c>
      <c r="N160" t="s">
        <v>390</v>
      </c>
      <c r="O160" t="s">
        <v>391</v>
      </c>
      <c r="P160" t="s">
        <v>157</v>
      </c>
      <c r="Q160" s="4">
        <v>133414</v>
      </c>
      <c r="R160" s="5">
        <v>1.0696028902513978E-2</v>
      </c>
      <c r="S160" s="5">
        <v>2.9756997016804833E-3</v>
      </c>
    </row>
    <row r="161" spans="7:19">
      <c r="G161" t="s">
        <v>716</v>
      </c>
      <c r="H161" t="s">
        <v>100</v>
      </c>
      <c r="I161" t="s">
        <v>140</v>
      </c>
      <c r="J161" s="4">
        <v>11597</v>
      </c>
      <c r="K161" s="5">
        <v>0.29326549969819782</v>
      </c>
      <c r="L161" s="5">
        <v>2.733465551435716E-2</v>
      </c>
      <c r="N161" t="s">
        <v>268</v>
      </c>
      <c r="O161" t="s">
        <v>135</v>
      </c>
      <c r="P161" t="s">
        <v>91</v>
      </c>
      <c r="Q161" s="4">
        <v>167513</v>
      </c>
      <c r="R161" s="5">
        <v>1.0542465360897363E-2</v>
      </c>
      <c r="S161" s="5">
        <v>1.8446329538602975E-3</v>
      </c>
    </row>
    <row r="162" spans="7:19">
      <c r="G162" t="s">
        <v>717</v>
      </c>
      <c r="H162" t="s">
        <v>134</v>
      </c>
      <c r="I162" t="s">
        <v>406</v>
      </c>
      <c r="J162" s="4">
        <v>1771</v>
      </c>
      <c r="K162" s="5">
        <v>0.29305477131564089</v>
      </c>
      <c r="L162" s="5">
        <v>1.4116318464144552E-2</v>
      </c>
      <c r="N162" t="s">
        <v>226</v>
      </c>
      <c r="O162" t="s">
        <v>227</v>
      </c>
      <c r="P162" t="s">
        <v>157</v>
      </c>
      <c r="Q162" s="4">
        <v>415178</v>
      </c>
      <c r="R162" s="5">
        <v>1.0434078877011787E-2</v>
      </c>
      <c r="S162" s="5">
        <v>2.6542832230994897E-3</v>
      </c>
    </row>
    <row r="163" spans="7:19">
      <c r="G163" t="s">
        <v>718</v>
      </c>
      <c r="H163" t="s">
        <v>282</v>
      </c>
      <c r="I163" t="s">
        <v>80</v>
      </c>
      <c r="J163" s="4">
        <v>1246</v>
      </c>
      <c r="K163" s="5">
        <v>0.2929373996789727</v>
      </c>
      <c r="L163" s="5">
        <v>2.7287319422150885E-2</v>
      </c>
      <c r="N163" t="s">
        <v>362</v>
      </c>
      <c r="O163" t="s">
        <v>363</v>
      </c>
      <c r="P163" t="s">
        <v>133</v>
      </c>
      <c r="Q163" s="4">
        <v>61536</v>
      </c>
      <c r="R163" s="5">
        <v>1.0432917316692669E-2</v>
      </c>
      <c r="S163" s="5">
        <v>2.1288351534061362E-3</v>
      </c>
    </row>
    <row r="164" spans="7:19">
      <c r="G164" t="s">
        <v>719</v>
      </c>
      <c r="H164" t="s">
        <v>89</v>
      </c>
      <c r="I164" t="s">
        <v>451</v>
      </c>
      <c r="J164" s="4">
        <v>8303</v>
      </c>
      <c r="K164" s="5">
        <v>0.29278574009394193</v>
      </c>
      <c r="L164" s="5">
        <v>2.0233650487775503E-2</v>
      </c>
      <c r="N164" t="s">
        <v>309</v>
      </c>
      <c r="O164" t="s">
        <v>310</v>
      </c>
      <c r="P164" t="s">
        <v>177</v>
      </c>
      <c r="Q164" s="4">
        <v>11741</v>
      </c>
      <c r="R164" s="5">
        <v>1.0390937739545183E-2</v>
      </c>
      <c r="S164" s="5">
        <v>3.8327229367174859E-3</v>
      </c>
    </row>
    <row r="165" spans="7:19">
      <c r="G165" t="s">
        <v>720</v>
      </c>
      <c r="H165" t="s">
        <v>89</v>
      </c>
      <c r="I165" t="s">
        <v>438</v>
      </c>
      <c r="J165" s="4">
        <v>1463</v>
      </c>
      <c r="K165" s="5">
        <v>0.29254955570745045</v>
      </c>
      <c r="L165" s="5">
        <v>1.5721120984278879E-2</v>
      </c>
      <c r="N165" t="s">
        <v>486</v>
      </c>
      <c r="O165" t="s">
        <v>487</v>
      </c>
      <c r="P165" t="s">
        <v>488</v>
      </c>
      <c r="Q165" s="4">
        <v>82093</v>
      </c>
      <c r="R165" s="5">
        <v>1.0147028370262995E-2</v>
      </c>
      <c r="S165" s="5">
        <v>1.5713885471355658E-3</v>
      </c>
    </row>
    <row r="166" spans="7:19">
      <c r="G166" t="s">
        <v>721</v>
      </c>
      <c r="H166" t="s">
        <v>103</v>
      </c>
      <c r="I166" t="s">
        <v>388</v>
      </c>
      <c r="J166" s="4">
        <v>3251</v>
      </c>
      <c r="K166" s="5">
        <v>0.29252537680713625</v>
      </c>
      <c r="L166" s="5">
        <v>5.8443555828975704E-3</v>
      </c>
      <c r="N166" t="s">
        <v>155</v>
      </c>
      <c r="O166" t="s">
        <v>156</v>
      </c>
      <c r="P166" t="s">
        <v>157</v>
      </c>
      <c r="Q166" s="4">
        <v>11738</v>
      </c>
      <c r="R166" s="5">
        <v>1.0052819901175668E-2</v>
      </c>
      <c r="S166" s="5">
        <v>2.1298347248253535E-3</v>
      </c>
    </row>
    <row r="167" spans="7:19">
      <c r="G167" t="s">
        <v>722</v>
      </c>
      <c r="H167" t="s">
        <v>103</v>
      </c>
      <c r="I167" t="s">
        <v>162</v>
      </c>
      <c r="J167" s="4">
        <v>11066</v>
      </c>
      <c r="K167" s="5">
        <v>0.2924272546538948</v>
      </c>
      <c r="L167" s="5">
        <v>8.5848545093077898E-3</v>
      </c>
      <c r="N167" t="s">
        <v>449</v>
      </c>
      <c r="O167" t="s">
        <v>450</v>
      </c>
      <c r="P167" t="s">
        <v>442</v>
      </c>
      <c r="Q167" s="4">
        <v>179425</v>
      </c>
      <c r="R167" s="5">
        <v>9.797965723840044E-3</v>
      </c>
      <c r="S167" s="5">
        <v>2.1959035808833773E-3</v>
      </c>
    </row>
    <row r="168" spans="7:19">
      <c r="G168" t="s">
        <v>723</v>
      </c>
      <c r="H168" t="s">
        <v>103</v>
      </c>
      <c r="I168" t="s">
        <v>282</v>
      </c>
      <c r="J168" s="4">
        <v>2590</v>
      </c>
      <c r="K168" s="5">
        <v>0.29227799227799228</v>
      </c>
      <c r="L168" s="5">
        <v>5.0193050193050193E-3</v>
      </c>
      <c r="N168" t="s">
        <v>466</v>
      </c>
      <c r="O168" t="s">
        <v>467</v>
      </c>
      <c r="P168" t="s">
        <v>157</v>
      </c>
      <c r="Q168" s="4">
        <v>76661</v>
      </c>
      <c r="R168" s="5">
        <v>9.7181095994051739E-3</v>
      </c>
      <c r="S168" s="5">
        <v>1.8783997078044899E-3</v>
      </c>
    </row>
    <row r="169" spans="7:19">
      <c r="G169" t="s">
        <v>724</v>
      </c>
      <c r="H169" t="s">
        <v>85</v>
      </c>
      <c r="I169" t="s">
        <v>236</v>
      </c>
      <c r="J169" s="4">
        <v>2807</v>
      </c>
      <c r="K169" s="5">
        <v>0.29212682579266119</v>
      </c>
      <c r="L169" s="5">
        <v>6.4125400783754897E-3</v>
      </c>
      <c r="N169" t="s">
        <v>377</v>
      </c>
      <c r="O169" t="s">
        <v>378</v>
      </c>
      <c r="P169" t="s">
        <v>379</v>
      </c>
      <c r="Q169" s="4">
        <v>361729</v>
      </c>
      <c r="R169" s="5">
        <v>9.7116902432483991E-3</v>
      </c>
      <c r="S169" s="5">
        <v>2.4106444327106759E-3</v>
      </c>
    </row>
    <row r="170" spans="7:19">
      <c r="G170" t="s">
        <v>725</v>
      </c>
      <c r="H170" t="s">
        <v>131</v>
      </c>
      <c r="I170" t="s">
        <v>410</v>
      </c>
      <c r="J170" s="4">
        <v>1450</v>
      </c>
      <c r="K170" s="5">
        <v>0.29172413793103447</v>
      </c>
      <c r="L170" s="5">
        <v>4.827586206896552E-3</v>
      </c>
      <c r="N170" t="s">
        <v>438</v>
      </c>
      <c r="O170" t="s">
        <v>439</v>
      </c>
      <c r="P170" t="s">
        <v>157</v>
      </c>
      <c r="Q170" s="4">
        <v>13516</v>
      </c>
      <c r="R170" s="5">
        <v>9.6922166321396861E-3</v>
      </c>
      <c r="S170" s="5">
        <v>2.2935779816513763E-3</v>
      </c>
    </row>
    <row r="171" spans="7:19">
      <c r="G171" t="s">
        <v>726</v>
      </c>
      <c r="H171" t="s">
        <v>221</v>
      </c>
      <c r="I171" t="s">
        <v>162</v>
      </c>
      <c r="J171" s="4">
        <v>2736</v>
      </c>
      <c r="K171" s="5">
        <v>0.29130116959064328</v>
      </c>
      <c r="L171" s="5">
        <v>1.3888888888888888E-2</v>
      </c>
      <c r="N171" t="s">
        <v>525</v>
      </c>
      <c r="O171" t="s">
        <v>526</v>
      </c>
      <c r="P171" t="s">
        <v>488</v>
      </c>
      <c r="Q171" s="4">
        <v>49428</v>
      </c>
      <c r="R171" s="5">
        <v>9.6504005826656952E-3</v>
      </c>
      <c r="S171" s="5">
        <v>1.2138868657441126E-3</v>
      </c>
    </row>
    <row r="172" spans="7:19">
      <c r="G172" t="s">
        <v>727</v>
      </c>
      <c r="H172" t="s">
        <v>80</v>
      </c>
      <c r="I172" t="s">
        <v>297</v>
      </c>
      <c r="J172" s="4">
        <v>1131</v>
      </c>
      <c r="K172" s="5">
        <v>0.29089301503094606</v>
      </c>
      <c r="L172" s="5">
        <v>3.5366931918656058E-2</v>
      </c>
      <c r="N172" t="s">
        <v>515</v>
      </c>
      <c r="O172" t="s">
        <v>516</v>
      </c>
      <c r="P172" t="s">
        <v>488</v>
      </c>
      <c r="Q172" s="4">
        <v>47770</v>
      </c>
      <c r="R172" s="5">
        <v>9.566673644546787E-3</v>
      </c>
      <c r="S172" s="5">
        <v>1.2560184216035169E-3</v>
      </c>
    </row>
    <row r="173" spans="7:19">
      <c r="G173" t="s">
        <v>728</v>
      </c>
      <c r="H173" t="s">
        <v>89</v>
      </c>
      <c r="I173" t="s">
        <v>278</v>
      </c>
      <c r="J173" s="4">
        <v>1455</v>
      </c>
      <c r="K173" s="5">
        <v>0.2907216494845361</v>
      </c>
      <c r="L173" s="5">
        <v>1.3745704467353952E-2</v>
      </c>
      <c r="N173" t="s">
        <v>482</v>
      </c>
      <c r="O173" t="s">
        <v>483</v>
      </c>
      <c r="P173" t="s">
        <v>235</v>
      </c>
      <c r="Q173" s="4">
        <v>6321</v>
      </c>
      <c r="R173" s="5">
        <v>9.4921689606074985E-3</v>
      </c>
      <c r="S173" s="5">
        <v>1.2656225280809998E-3</v>
      </c>
    </row>
    <row r="174" spans="7:19">
      <c r="G174" t="s">
        <v>729</v>
      </c>
      <c r="H174" t="s">
        <v>85</v>
      </c>
      <c r="I174" t="s">
        <v>162</v>
      </c>
      <c r="J174" s="4">
        <v>11267</v>
      </c>
      <c r="K174" s="5">
        <v>0.29049436407206886</v>
      </c>
      <c r="L174" s="5">
        <v>1.4910801455578238E-2</v>
      </c>
      <c r="N174" t="s">
        <v>443</v>
      </c>
      <c r="O174" t="s">
        <v>444</v>
      </c>
      <c r="P174" t="s">
        <v>442</v>
      </c>
      <c r="Q174" s="4">
        <v>22933</v>
      </c>
      <c r="R174" s="5">
        <v>9.4623468364365762E-3</v>
      </c>
      <c r="S174" s="5">
        <v>2.3546853878690099E-3</v>
      </c>
    </row>
    <row r="175" spans="7:19">
      <c r="G175" t="s">
        <v>730</v>
      </c>
      <c r="H175" t="s">
        <v>103</v>
      </c>
      <c r="I175" t="s">
        <v>85</v>
      </c>
      <c r="J175" s="4">
        <v>7367</v>
      </c>
      <c r="K175" s="5">
        <v>0.29048459345730965</v>
      </c>
      <c r="L175" s="5">
        <v>8.5516492466404231E-3</v>
      </c>
      <c r="N175" t="s">
        <v>436</v>
      </c>
      <c r="O175" t="s">
        <v>437</v>
      </c>
      <c r="P175" t="s">
        <v>230</v>
      </c>
      <c r="Q175" s="4">
        <v>12471</v>
      </c>
      <c r="R175" s="5">
        <v>9.4619517280089809E-3</v>
      </c>
      <c r="S175" s="5">
        <v>3.1272552321385616E-3</v>
      </c>
    </row>
    <row r="176" spans="7:19">
      <c r="G176" t="s">
        <v>731</v>
      </c>
      <c r="H176" t="s">
        <v>89</v>
      </c>
      <c r="I176" t="s">
        <v>115</v>
      </c>
      <c r="J176" s="4">
        <v>4603</v>
      </c>
      <c r="K176" s="5">
        <v>0.29024549207038886</v>
      </c>
      <c r="L176" s="5">
        <v>2.2376710840756028E-2</v>
      </c>
      <c r="N176" t="s">
        <v>131</v>
      </c>
      <c r="O176" t="s">
        <v>132</v>
      </c>
      <c r="P176" t="s">
        <v>133</v>
      </c>
      <c r="Q176" s="4">
        <v>563932</v>
      </c>
      <c r="R176" s="5">
        <v>9.4053893022563E-3</v>
      </c>
      <c r="S176" s="5">
        <v>2.9578034231077504E-3</v>
      </c>
    </row>
    <row r="177" spans="7:19">
      <c r="G177" t="s">
        <v>732</v>
      </c>
      <c r="H177" t="s">
        <v>189</v>
      </c>
      <c r="I177" t="s">
        <v>466</v>
      </c>
      <c r="J177" s="4">
        <v>1079</v>
      </c>
      <c r="K177" s="5">
        <v>0.29008341056533826</v>
      </c>
      <c r="L177" s="5">
        <v>4.6339202965708986E-3</v>
      </c>
      <c r="N177" t="s">
        <v>451</v>
      </c>
      <c r="O177" t="s">
        <v>452</v>
      </c>
      <c r="P177" t="s">
        <v>91</v>
      </c>
      <c r="Q177" s="4">
        <v>51528</v>
      </c>
      <c r="R177" s="5">
        <v>9.3735444806707039E-3</v>
      </c>
      <c r="S177" s="5">
        <v>2.872224809812141E-3</v>
      </c>
    </row>
    <row r="178" spans="7:19">
      <c r="G178" t="s">
        <v>733</v>
      </c>
      <c r="H178" t="s">
        <v>344</v>
      </c>
      <c r="I178" t="s">
        <v>89</v>
      </c>
      <c r="J178" s="4">
        <v>5078</v>
      </c>
      <c r="K178" s="5">
        <v>0.29007483261126427</v>
      </c>
      <c r="L178" s="5">
        <v>2.7372981488775108E-2</v>
      </c>
      <c r="N178" t="s">
        <v>495</v>
      </c>
      <c r="O178" t="s">
        <v>496</v>
      </c>
      <c r="P178" t="s">
        <v>488</v>
      </c>
      <c r="Q178" s="4">
        <v>182189</v>
      </c>
      <c r="R178" s="5">
        <v>9.1498389035561973E-3</v>
      </c>
      <c r="S178" s="5">
        <v>1.1526491720136782E-3</v>
      </c>
    </row>
    <row r="179" spans="7:19">
      <c r="G179" t="s">
        <v>734</v>
      </c>
      <c r="H179" t="s">
        <v>495</v>
      </c>
      <c r="I179" t="s">
        <v>449</v>
      </c>
      <c r="J179" s="4">
        <v>2348</v>
      </c>
      <c r="K179" s="5">
        <v>0.29003407155025551</v>
      </c>
      <c r="L179" s="5">
        <v>1.1073253833049404E-2</v>
      </c>
      <c r="N179" t="s">
        <v>184</v>
      </c>
      <c r="O179" t="s">
        <v>185</v>
      </c>
      <c r="P179" t="s">
        <v>186</v>
      </c>
      <c r="Q179" s="4">
        <v>7193</v>
      </c>
      <c r="R179" s="5">
        <v>9.0365633254553043E-3</v>
      </c>
      <c r="S179" s="5">
        <v>4.0316974836646742E-3</v>
      </c>
    </row>
    <row r="180" spans="7:19">
      <c r="G180" t="s">
        <v>735</v>
      </c>
      <c r="H180" t="s">
        <v>180</v>
      </c>
      <c r="I180" t="s">
        <v>340</v>
      </c>
      <c r="J180" s="4">
        <v>1352</v>
      </c>
      <c r="K180" s="5">
        <v>0.28994082840236685</v>
      </c>
      <c r="L180" s="5">
        <v>1.4053254437869823E-2</v>
      </c>
      <c r="N180" t="s">
        <v>172</v>
      </c>
      <c r="O180" t="s">
        <v>173</v>
      </c>
      <c r="P180" t="s">
        <v>174</v>
      </c>
      <c r="Q180" s="4">
        <v>15270</v>
      </c>
      <c r="R180" s="5">
        <v>8.9063523248199081E-3</v>
      </c>
      <c r="S180" s="5">
        <v>1.6240995415848069E-2</v>
      </c>
    </row>
    <row r="181" spans="7:19">
      <c r="G181" t="s">
        <v>736</v>
      </c>
      <c r="H181" t="s">
        <v>89</v>
      </c>
      <c r="I181" t="s">
        <v>83</v>
      </c>
      <c r="J181" s="4">
        <v>2584</v>
      </c>
      <c r="K181" s="5">
        <v>0.2898606811145511</v>
      </c>
      <c r="L181" s="5">
        <v>1.3157894736842105E-2</v>
      </c>
      <c r="N181" t="s">
        <v>468</v>
      </c>
      <c r="O181" t="s">
        <v>469</v>
      </c>
      <c r="P181" t="s">
        <v>465</v>
      </c>
      <c r="Q181" s="4">
        <v>10260</v>
      </c>
      <c r="R181" s="5">
        <v>8.8693957115009749E-3</v>
      </c>
      <c r="S181" s="5">
        <v>2.9239766081871346E-4</v>
      </c>
    </row>
    <row r="182" spans="7:19">
      <c r="G182" t="s">
        <v>737</v>
      </c>
      <c r="H182" t="s">
        <v>256</v>
      </c>
      <c r="I182" t="s">
        <v>118</v>
      </c>
      <c r="J182" s="4">
        <v>1201</v>
      </c>
      <c r="K182" s="5">
        <v>0.28975853455453787</v>
      </c>
      <c r="L182" s="5">
        <v>9.1590341382181521E-3</v>
      </c>
      <c r="N182" t="s">
        <v>200</v>
      </c>
      <c r="O182" t="s">
        <v>201</v>
      </c>
      <c r="P182" t="s">
        <v>82</v>
      </c>
      <c r="Q182" s="4">
        <v>20000</v>
      </c>
      <c r="R182" s="5">
        <v>8.8500000000000002E-3</v>
      </c>
      <c r="S182" s="5">
        <v>2.65E-3</v>
      </c>
    </row>
    <row r="183" spans="7:19">
      <c r="G183" t="s">
        <v>738</v>
      </c>
      <c r="H183" t="s">
        <v>85</v>
      </c>
      <c r="I183" t="s">
        <v>89</v>
      </c>
      <c r="J183" s="4">
        <v>13854</v>
      </c>
      <c r="K183" s="5">
        <v>0.28966363505124876</v>
      </c>
      <c r="L183" s="5">
        <v>1.7106972715461237E-2</v>
      </c>
      <c r="N183" t="s">
        <v>434</v>
      </c>
      <c r="O183" t="s">
        <v>435</v>
      </c>
      <c r="P183" t="s">
        <v>193</v>
      </c>
      <c r="Q183" s="4">
        <v>72820</v>
      </c>
      <c r="R183" s="5">
        <v>8.6789343586926668E-3</v>
      </c>
      <c r="S183" s="5">
        <v>2.3894534468552595E-3</v>
      </c>
    </row>
    <row r="184" spans="7:19">
      <c r="G184" t="s">
        <v>739</v>
      </c>
      <c r="H184" t="s">
        <v>118</v>
      </c>
      <c r="I184" t="s">
        <v>291</v>
      </c>
      <c r="J184" s="4">
        <v>2128</v>
      </c>
      <c r="K184" s="5">
        <v>0.28947368421052633</v>
      </c>
      <c r="L184" s="5">
        <v>7.5187969924812026E-3</v>
      </c>
      <c r="N184" t="s">
        <v>533</v>
      </c>
      <c r="O184" t="s">
        <v>534</v>
      </c>
      <c r="P184" t="s">
        <v>488</v>
      </c>
      <c r="Q184" s="4">
        <v>20631</v>
      </c>
      <c r="R184" s="5">
        <v>8.4823808831370265E-3</v>
      </c>
      <c r="S184" s="5">
        <v>1.938829916145606E-4</v>
      </c>
    </row>
    <row r="185" spans="7:19">
      <c r="G185" t="s">
        <v>740</v>
      </c>
      <c r="H185" t="s">
        <v>89</v>
      </c>
      <c r="I185" t="s">
        <v>434</v>
      </c>
      <c r="J185" s="4">
        <v>7147</v>
      </c>
      <c r="K185" s="5">
        <v>0.28921225689100322</v>
      </c>
      <c r="L185" s="5">
        <v>2.3506366307541625E-2</v>
      </c>
      <c r="N185" t="s">
        <v>519</v>
      </c>
      <c r="O185" t="s">
        <v>520</v>
      </c>
      <c r="P185" t="s">
        <v>442</v>
      </c>
      <c r="Q185" s="4">
        <v>13690</v>
      </c>
      <c r="R185" s="5">
        <v>8.4733382030679327E-3</v>
      </c>
      <c r="S185" s="5">
        <v>2.1183345507669832E-3</v>
      </c>
    </row>
    <row r="186" spans="7:19">
      <c r="G186" t="s">
        <v>741</v>
      </c>
      <c r="H186" t="s">
        <v>80</v>
      </c>
      <c r="I186" t="s">
        <v>414</v>
      </c>
      <c r="J186" s="4">
        <v>3096</v>
      </c>
      <c r="K186" s="5">
        <v>0.28908268733850129</v>
      </c>
      <c r="L186" s="5">
        <v>7.7519379844961239E-3</v>
      </c>
      <c r="N186" t="s">
        <v>215</v>
      </c>
      <c r="O186" t="s">
        <v>216</v>
      </c>
      <c r="P186" t="s">
        <v>217</v>
      </c>
      <c r="Q186" s="4">
        <v>492371</v>
      </c>
      <c r="R186" s="5">
        <v>8.422510667768817E-3</v>
      </c>
      <c r="S186" s="5">
        <v>2.6260685539968845E-3</v>
      </c>
    </row>
    <row r="187" spans="7:19">
      <c r="G187" t="s">
        <v>742</v>
      </c>
      <c r="H187" t="s">
        <v>95</v>
      </c>
      <c r="I187" t="s">
        <v>89</v>
      </c>
      <c r="J187" s="4">
        <v>14779</v>
      </c>
      <c r="K187" s="5">
        <v>0.2890587996481494</v>
      </c>
      <c r="L187" s="5">
        <v>2.1517017389539209E-2</v>
      </c>
      <c r="N187" t="s">
        <v>87</v>
      </c>
      <c r="O187" t="s">
        <v>88</v>
      </c>
      <c r="P187" t="s">
        <v>82</v>
      </c>
      <c r="Q187" s="4">
        <v>29096</v>
      </c>
      <c r="R187" s="5">
        <v>8.3172944734671433E-3</v>
      </c>
      <c r="S187" s="5">
        <v>2.7495188342040143E-3</v>
      </c>
    </row>
    <row r="188" spans="7:19">
      <c r="G188" t="s">
        <v>743</v>
      </c>
      <c r="H188" t="s">
        <v>189</v>
      </c>
      <c r="I188" t="s">
        <v>80</v>
      </c>
      <c r="J188" s="4">
        <v>3038</v>
      </c>
      <c r="K188" s="5">
        <v>0.28900592495062544</v>
      </c>
      <c r="L188" s="5">
        <v>1.3495720868992759E-2</v>
      </c>
      <c r="N188" t="s">
        <v>404</v>
      </c>
      <c r="O188" t="s">
        <v>405</v>
      </c>
      <c r="P188" t="s">
        <v>157</v>
      </c>
      <c r="Q188" s="4">
        <v>42640</v>
      </c>
      <c r="R188" s="5">
        <v>8.2786116322701685E-3</v>
      </c>
      <c r="S188" s="5">
        <v>2.8611632270168857E-3</v>
      </c>
    </row>
    <row r="189" spans="7:19">
      <c r="G189" t="s">
        <v>744</v>
      </c>
      <c r="H189" t="s">
        <v>336</v>
      </c>
      <c r="I189" t="s">
        <v>162</v>
      </c>
      <c r="J189" s="4">
        <v>2295</v>
      </c>
      <c r="K189" s="5">
        <v>0.28888888888888886</v>
      </c>
      <c r="L189" s="5">
        <v>1.4814814814814815E-2</v>
      </c>
      <c r="N189" t="s">
        <v>295</v>
      </c>
      <c r="O189" t="s">
        <v>296</v>
      </c>
      <c r="P189" t="s">
        <v>230</v>
      </c>
      <c r="Q189" s="4">
        <v>12490</v>
      </c>
      <c r="R189" s="5">
        <v>8.2465972778222579E-3</v>
      </c>
      <c r="S189" s="5">
        <v>3.5228182546036828E-3</v>
      </c>
    </row>
    <row r="190" spans="7:19">
      <c r="G190" t="s">
        <v>745</v>
      </c>
      <c r="H190" t="s">
        <v>100</v>
      </c>
      <c r="I190" t="s">
        <v>204</v>
      </c>
      <c r="J190" s="4">
        <v>9440</v>
      </c>
      <c r="K190" s="5">
        <v>0.2884533898305085</v>
      </c>
      <c r="L190" s="5">
        <v>1.3771186440677966E-2</v>
      </c>
      <c r="N190" t="s">
        <v>228</v>
      </c>
      <c r="O190" t="s">
        <v>229</v>
      </c>
      <c r="P190" t="s">
        <v>230</v>
      </c>
      <c r="Q190" s="4">
        <v>30796</v>
      </c>
      <c r="R190" s="5">
        <v>8.1504091440446815E-3</v>
      </c>
      <c r="S190" s="5">
        <v>3.6368359527211326E-3</v>
      </c>
    </row>
    <row r="191" spans="7:19">
      <c r="G191" t="s">
        <v>746</v>
      </c>
      <c r="H191" t="s">
        <v>89</v>
      </c>
      <c r="I191" t="s">
        <v>331</v>
      </c>
      <c r="J191" s="4">
        <v>5444</v>
      </c>
      <c r="K191" s="5">
        <v>0.28802351212343863</v>
      </c>
      <c r="L191" s="5">
        <v>2.1858927259368111E-2</v>
      </c>
      <c r="N191" t="s">
        <v>529</v>
      </c>
      <c r="O191" t="s">
        <v>530</v>
      </c>
      <c r="P191" t="s">
        <v>328</v>
      </c>
      <c r="Q191" s="4">
        <v>5028</v>
      </c>
      <c r="R191" s="5">
        <v>7.955449482895784E-3</v>
      </c>
      <c r="S191" s="5">
        <v>4.1766109785202864E-3</v>
      </c>
    </row>
    <row r="192" spans="7:19">
      <c r="G192" t="s">
        <v>747</v>
      </c>
      <c r="H192" t="s">
        <v>80</v>
      </c>
      <c r="I192" t="s">
        <v>105</v>
      </c>
      <c r="J192" s="4">
        <v>7058</v>
      </c>
      <c r="K192" s="5">
        <v>0.28790025502975347</v>
      </c>
      <c r="L192" s="5">
        <v>8.5009917823746107E-3</v>
      </c>
      <c r="N192" t="s">
        <v>395</v>
      </c>
      <c r="O192" t="s">
        <v>396</v>
      </c>
      <c r="P192" t="s">
        <v>397</v>
      </c>
      <c r="Q192" s="4">
        <v>11069</v>
      </c>
      <c r="R192" s="5">
        <v>7.9501309964766457E-3</v>
      </c>
      <c r="S192" s="5">
        <v>4.1557502936127927E-3</v>
      </c>
    </row>
    <row r="193" spans="7:19">
      <c r="G193" t="s">
        <v>748</v>
      </c>
      <c r="H193" t="s">
        <v>89</v>
      </c>
      <c r="I193" t="s">
        <v>453</v>
      </c>
      <c r="J193" s="4">
        <v>3253</v>
      </c>
      <c r="K193" s="5">
        <v>0.28773439901629266</v>
      </c>
      <c r="L193" s="5">
        <v>1.4448201660006148E-2</v>
      </c>
      <c r="N193" t="s">
        <v>370</v>
      </c>
      <c r="O193" t="s">
        <v>371</v>
      </c>
      <c r="P193" t="s">
        <v>157</v>
      </c>
      <c r="Q193" s="4">
        <v>578878</v>
      </c>
      <c r="R193" s="5">
        <v>7.7201068273453129E-3</v>
      </c>
      <c r="S193" s="5">
        <v>2.8814361575323299E-3</v>
      </c>
    </row>
    <row r="194" spans="7:19">
      <c r="G194" t="s">
        <v>749</v>
      </c>
      <c r="H194" t="s">
        <v>77</v>
      </c>
      <c r="I194" t="s">
        <v>89</v>
      </c>
      <c r="J194" s="4">
        <v>3361</v>
      </c>
      <c r="K194" s="5">
        <v>0.28771199047902413</v>
      </c>
      <c r="L194" s="5">
        <v>6.9622136268967572E-2</v>
      </c>
      <c r="N194" t="s">
        <v>501</v>
      </c>
      <c r="O194" t="s">
        <v>502</v>
      </c>
      <c r="P194" t="s">
        <v>217</v>
      </c>
      <c r="Q194" s="4">
        <v>7578</v>
      </c>
      <c r="R194" s="5">
        <v>7.521773555027712E-3</v>
      </c>
      <c r="S194" s="5">
        <v>1.7154922143045659E-3</v>
      </c>
    </row>
    <row r="195" spans="7:19">
      <c r="G195" t="s">
        <v>750</v>
      </c>
      <c r="H195" t="s">
        <v>100</v>
      </c>
      <c r="I195" t="s">
        <v>95</v>
      </c>
      <c r="J195" s="4">
        <v>15918</v>
      </c>
      <c r="K195" s="5">
        <v>0.28722201281568038</v>
      </c>
      <c r="L195" s="5">
        <v>1.4637517276039704E-2</v>
      </c>
      <c r="N195" t="s">
        <v>497</v>
      </c>
      <c r="O195" t="s">
        <v>498</v>
      </c>
      <c r="P195" t="s">
        <v>328</v>
      </c>
      <c r="Q195" s="4">
        <v>56009</v>
      </c>
      <c r="R195" s="5">
        <v>7.5166491099644701E-3</v>
      </c>
      <c r="S195" s="5">
        <v>1.7854273420343158E-3</v>
      </c>
    </row>
    <row r="196" spans="7:19">
      <c r="G196" t="s">
        <v>751</v>
      </c>
      <c r="H196" t="s">
        <v>89</v>
      </c>
      <c r="I196" t="s">
        <v>342</v>
      </c>
      <c r="J196" s="4">
        <v>3597</v>
      </c>
      <c r="K196" s="5">
        <v>0.28690575479566305</v>
      </c>
      <c r="L196" s="5">
        <v>2.0294690019460663E-2</v>
      </c>
      <c r="N196" t="s">
        <v>398</v>
      </c>
      <c r="O196" t="s">
        <v>399</v>
      </c>
      <c r="P196" t="s">
        <v>157</v>
      </c>
      <c r="Q196" s="4">
        <v>121915</v>
      </c>
      <c r="R196" s="5">
        <v>7.4314071279169914E-3</v>
      </c>
      <c r="S196" s="5">
        <v>1.4436287577410491E-3</v>
      </c>
    </row>
    <row r="197" spans="7:19">
      <c r="G197" t="s">
        <v>752</v>
      </c>
      <c r="H197" t="s">
        <v>118</v>
      </c>
      <c r="I197" t="s">
        <v>349</v>
      </c>
      <c r="J197" s="4">
        <v>4990</v>
      </c>
      <c r="K197" s="5">
        <v>0.2867735470941884</v>
      </c>
      <c r="L197" s="5">
        <v>1.4428857715430862E-2</v>
      </c>
      <c r="N197" t="s">
        <v>491</v>
      </c>
      <c r="O197" t="s">
        <v>492</v>
      </c>
      <c r="P197" t="s">
        <v>157</v>
      </c>
      <c r="Q197" s="4">
        <v>8352</v>
      </c>
      <c r="R197" s="5">
        <v>7.1839080459770114E-3</v>
      </c>
      <c r="S197" s="5">
        <v>3.1130268199233715E-3</v>
      </c>
    </row>
    <row r="198" spans="7:19">
      <c r="G198" t="s">
        <v>753</v>
      </c>
      <c r="H198" t="s">
        <v>103</v>
      </c>
      <c r="I198" t="s">
        <v>432</v>
      </c>
      <c r="J198" s="4">
        <v>2222</v>
      </c>
      <c r="K198" s="5">
        <v>0.2866786678667867</v>
      </c>
      <c r="L198" s="5">
        <v>1.3501350135013501E-2</v>
      </c>
      <c r="N198" t="s">
        <v>455</v>
      </c>
      <c r="O198" t="s">
        <v>456</v>
      </c>
      <c r="P198" t="s">
        <v>157</v>
      </c>
      <c r="Q198" s="4">
        <v>165920</v>
      </c>
      <c r="R198" s="5">
        <v>7.1600771456123433E-3</v>
      </c>
      <c r="S198" s="5">
        <v>2.0250723240115716E-3</v>
      </c>
    </row>
    <row r="199" spans="7:19">
      <c r="G199" t="s">
        <v>754</v>
      </c>
      <c r="H199" t="s">
        <v>89</v>
      </c>
      <c r="I199" t="s">
        <v>408</v>
      </c>
      <c r="J199" s="4">
        <v>5723</v>
      </c>
      <c r="K199" s="5">
        <v>0.28656299143805697</v>
      </c>
      <c r="L199" s="5">
        <v>1.7123886073737549E-2</v>
      </c>
      <c r="N199" t="s">
        <v>489</v>
      </c>
      <c r="O199" t="s">
        <v>490</v>
      </c>
      <c r="P199" t="s">
        <v>157</v>
      </c>
      <c r="Q199" s="4">
        <v>148322</v>
      </c>
      <c r="R199" s="5">
        <v>7.0117716859265655E-3</v>
      </c>
      <c r="S199" s="5">
        <v>1.7192324806839174E-3</v>
      </c>
    </row>
    <row r="200" spans="7:19">
      <c r="G200" t="s">
        <v>755</v>
      </c>
      <c r="H200" t="s">
        <v>118</v>
      </c>
      <c r="I200" t="s">
        <v>756</v>
      </c>
      <c r="J200" s="4">
        <v>1089</v>
      </c>
      <c r="K200" s="5">
        <v>0.28650137741046833</v>
      </c>
      <c r="L200" s="5">
        <v>2.8466483011937556E-2</v>
      </c>
      <c r="N200" t="s">
        <v>412</v>
      </c>
      <c r="O200" t="s">
        <v>413</v>
      </c>
      <c r="P200" t="s">
        <v>157</v>
      </c>
      <c r="Q200" s="4">
        <v>36300</v>
      </c>
      <c r="R200" s="5">
        <v>6.9696969696969695E-3</v>
      </c>
      <c r="S200" s="5">
        <v>2.3691460055096417E-3</v>
      </c>
    </row>
    <row r="201" spans="7:19">
      <c r="G201" t="s">
        <v>757</v>
      </c>
      <c r="H201" t="s">
        <v>137</v>
      </c>
      <c r="I201" t="s">
        <v>121</v>
      </c>
      <c r="J201" s="4">
        <v>4653</v>
      </c>
      <c r="K201" s="5">
        <v>0.28648183967332902</v>
      </c>
      <c r="L201" s="5">
        <v>1.5688802922845475E-2</v>
      </c>
      <c r="N201" t="s">
        <v>386</v>
      </c>
      <c r="O201" t="s">
        <v>387</v>
      </c>
      <c r="P201" t="s">
        <v>230</v>
      </c>
      <c r="Q201" s="4">
        <v>11689</v>
      </c>
      <c r="R201" s="5">
        <v>6.7584908888698777E-3</v>
      </c>
      <c r="S201" s="5">
        <v>2.4809650098383093E-3</v>
      </c>
    </row>
    <row r="202" spans="7:19">
      <c r="G202" t="s">
        <v>758</v>
      </c>
      <c r="H202" t="s">
        <v>89</v>
      </c>
      <c r="I202" t="s">
        <v>245</v>
      </c>
      <c r="J202" s="4">
        <v>3219</v>
      </c>
      <c r="K202" s="5">
        <v>0.28611369990680335</v>
      </c>
      <c r="L202" s="5">
        <v>2.764833799316558E-2</v>
      </c>
      <c r="N202" t="s">
        <v>326</v>
      </c>
      <c r="O202" t="s">
        <v>327</v>
      </c>
      <c r="P202" t="s">
        <v>328</v>
      </c>
      <c r="Q202" s="4">
        <v>566998</v>
      </c>
      <c r="R202" s="5">
        <v>6.5749791004553809E-3</v>
      </c>
      <c r="S202" s="5">
        <v>2.5008906556989621E-3</v>
      </c>
    </row>
    <row r="203" spans="7:19">
      <c r="G203" t="s">
        <v>759</v>
      </c>
      <c r="H203" t="s">
        <v>85</v>
      </c>
      <c r="I203" t="s">
        <v>221</v>
      </c>
      <c r="J203" s="4">
        <v>5184</v>
      </c>
      <c r="K203" s="5">
        <v>0.28607253086419754</v>
      </c>
      <c r="L203" s="5">
        <v>1.4274691358024691E-2</v>
      </c>
      <c r="N203" t="s">
        <v>461</v>
      </c>
      <c r="O203" t="s">
        <v>462</v>
      </c>
      <c r="P203" t="s">
        <v>186</v>
      </c>
      <c r="Q203" s="4">
        <v>338822</v>
      </c>
      <c r="R203" s="5">
        <v>6.2540212855127474E-3</v>
      </c>
      <c r="S203" s="5">
        <v>2.7005330232393412E-3</v>
      </c>
    </row>
    <row r="204" spans="7:19">
      <c r="G204" t="s">
        <v>760</v>
      </c>
      <c r="H204" t="s">
        <v>118</v>
      </c>
      <c r="I204" t="s">
        <v>761</v>
      </c>
      <c r="J204" s="4">
        <v>1685</v>
      </c>
      <c r="K204" s="5">
        <v>0.286053412462908</v>
      </c>
      <c r="L204" s="5">
        <v>2.1364985163204748E-2</v>
      </c>
      <c r="N204" t="s">
        <v>503</v>
      </c>
      <c r="O204" t="s">
        <v>504</v>
      </c>
      <c r="P204" t="s">
        <v>157</v>
      </c>
      <c r="Q204" s="4">
        <v>50876</v>
      </c>
      <c r="R204" s="5">
        <v>6.0342794244830572E-3</v>
      </c>
      <c r="S204" s="5">
        <v>1.5724506643604056E-3</v>
      </c>
    </row>
    <row r="205" spans="7:19">
      <c r="G205" t="s">
        <v>762</v>
      </c>
      <c r="H205" t="s">
        <v>85</v>
      </c>
      <c r="I205" t="s">
        <v>218</v>
      </c>
      <c r="J205" s="4">
        <v>19735</v>
      </c>
      <c r="K205" s="5">
        <v>0.28568533063085888</v>
      </c>
      <c r="L205" s="5">
        <v>1.1502406891309856E-2</v>
      </c>
      <c r="N205" t="s">
        <v>507</v>
      </c>
      <c r="O205" t="s">
        <v>508</v>
      </c>
      <c r="P205" t="s">
        <v>217</v>
      </c>
      <c r="Q205" s="4">
        <v>52285</v>
      </c>
      <c r="R205" s="5">
        <v>6.0055465238596159E-3</v>
      </c>
      <c r="S205" s="5">
        <v>1.7404609352586783E-3</v>
      </c>
    </row>
    <row r="206" spans="7:19">
      <c r="G206" t="s">
        <v>763</v>
      </c>
      <c r="H206" t="s">
        <v>115</v>
      </c>
      <c r="I206" t="s">
        <v>301</v>
      </c>
      <c r="J206" s="4">
        <v>1684</v>
      </c>
      <c r="K206" s="5">
        <v>0.28562945368171022</v>
      </c>
      <c r="L206" s="5">
        <v>6.5320665083135393E-3</v>
      </c>
      <c r="N206" t="s">
        <v>484</v>
      </c>
      <c r="O206" t="s">
        <v>485</v>
      </c>
      <c r="P206" t="s">
        <v>397</v>
      </c>
      <c r="Q206" s="4">
        <v>67517</v>
      </c>
      <c r="R206" s="5">
        <v>5.4356680539715922E-3</v>
      </c>
      <c r="S206" s="5">
        <v>1.8958188308129803E-3</v>
      </c>
    </row>
    <row r="207" spans="7:19">
      <c r="G207" t="s">
        <v>764</v>
      </c>
      <c r="H207" t="s">
        <v>95</v>
      </c>
      <c r="I207" t="s">
        <v>410</v>
      </c>
      <c r="J207" s="4">
        <v>2752</v>
      </c>
      <c r="K207" s="5">
        <v>0.28561046511627908</v>
      </c>
      <c r="L207" s="5">
        <v>1.0174418604651164E-2</v>
      </c>
      <c r="N207" t="s">
        <v>531</v>
      </c>
      <c r="O207" t="s">
        <v>532</v>
      </c>
      <c r="P207" t="s">
        <v>230</v>
      </c>
      <c r="Q207" s="4">
        <v>7462</v>
      </c>
      <c r="R207" s="5">
        <v>5.3604931653712141E-3</v>
      </c>
      <c r="S207" s="5">
        <v>2.5462342535513267E-3</v>
      </c>
    </row>
    <row r="208" spans="7:19">
      <c r="G208" t="s">
        <v>765</v>
      </c>
      <c r="H208" t="s">
        <v>110</v>
      </c>
      <c r="I208" t="s">
        <v>226</v>
      </c>
      <c r="J208" s="4">
        <v>1016</v>
      </c>
      <c r="K208" s="5">
        <v>0.28543307086614172</v>
      </c>
      <c r="L208" s="5">
        <v>2.1653543307086614E-2</v>
      </c>
      <c r="N208" t="s">
        <v>474</v>
      </c>
      <c r="O208" t="s">
        <v>327</v>
      </c>
      <c r="P208" t="s">
        <v>328</v>
      </c>
      <c r="Q208" s="4">
        <v>17856</v>
      </c>
      <c r="R208" s="5">
        <v>4.7603046594982077E-3</v>
      </c>
      <c r="S208" s="5">
        <v>2.9681899641577059E-3</v>
      </c>
    </row>
    <row r="209" spans="7:19">
      <c r="G209" t="s">
        <v>766</v>
      </c>
      <c r="H209" t="s">
        <v>95</v>
      </c>
      <c r="I209" t="s">
        <v>372</v>
      </c>
      <c r="J209" s="4">
        <v>2425</v>
      </c>
      <c r="K209" s="5">
        <v>0.28536082474226804</v>
      </c>
      <c r="L209" s="5">
        <v>1.5670103092783504E-2</v>
      </c>
      <c r="N209" t="s">
        <v>527</v>
      </c>
      <c r="O209" t="s">
        <v>528</v>
      </c>
      <c r="P209" t="s">
        <v>217</v>
      </c>
      <c r="Q209" s="4">
        <v>17043</v>
      </c>
      <c r="R209" s="5">
        <v>3.9312327641847092E-3</v>
      </c>
      <c r="S209" s="5">
        <v>2.229654403567447E-3</v>
      </c>
    </row>
    <row r="210" spans="7:19">
      <c r="G210" t="s">
        <v>767</v>
      </c>
      <c r="H210" t="s">
        <v>218</v>
      </c>
      <c r="I210" t="s">
        <v>85</v>
      </c>
      <c r="J210" s="4">
        <v>19743</v>
      </c>
      <c r="K210" s="5">
        <v>0.285164362052373</v>
      </c>
      <c r="L210" s="5">
        <v>1.1041888264194905E-2</v>
      </c>
      <c r="N210" t="s">
        <v>523</v>
      </c>
      <c r="O210" t="s">
        <v>524</v>
      </c>
      <c r="P210" t="s">
        <v>186</v>
      </c>
      <c r="Q210" s="4">
        <v>10178</v>
      </c>
      <c r="R210" s="5">
        <v>2.1615248575358615E-3</v>
      </c>
      <c r="S210" s="5">
        <v>3.1440361564157989E-3</v>
      </c>
    </row>
    <row r="211" spans="7:19">
      <c r="G211" t="s">
        <v>768</v>
      </c>
      <c r="H211" t="s">
        <v>118</v>
      </c>
      <c r="I211" t="s">
        <v>194</v>
      </c>
      <c r="J211" s="4">
        <v>3409</v>
      </c>
      <c r="K211" s="5">
        <v>0.28512760340275739</v>
      </c>
      <c r="L211" s="5">
        <v>2.0533880903490759E-2</v>
      </c>
    </row>
    <row r="212" spans="7:19">
      <c r="G212" t="s">
        <v>769</v>
      </c>
      <c r="H212" t="s">
        <v>89</v>
      </c>
      <c r="I212" t="s">
        <v>80</v>
      </c>
      <c r="J212" s="4">
        <v>8597</v>
      </c>
      <c r="K212" s="5">
        <v>0.28509945329766195</v>
      </c>
      <c r="L212" s="5">
        <v>2.2798650692101897E-2</v>
      </c>
      <c r="N212" s="59" t="s">
        <v>770</v>
      </c>
      <c r="O212" s="60"/>
      <c r="P212" s="60"/>
      <c r="Q212" s="60"/>
      <c r="R212" s="60"/>
      <c r="S212" s="61"/>
    </row>
    <row r="213" spans="7:19">
      <c r="G213" t="s">
        <v>771</v>
      </c>
      <c r="H213" t="s">
        <v>149</v>
      </c>
      <c r="I213" t="s">
        <v>134</v>
      </c>
      <c r="J213" s="4">
        <v>1039</v>
      </c>
      <c r="K213" s="5">
        <v>0.28488931665062561</v>
      </c>
      <c r="L213" s="5">
        <v>1.4436958614051972E-2</v>
      </c>
      <c r="N213" s="115"/>
      <c r="O213" s="116"/>
      <c r="P213" s="116"/>
      <c r="Q213" s="116"/>
      <c r="R213" s="116"/>
      <c r="S213" s="117"/>
    </row>
    <row r="214" spans="7:19">
      <c r="G214" t="s">
        <v>772</v>
      </c>
      <c r="H214" t="s">
        <v>103</v>
      </c>
      <c r="I214" t="s">
        <v>410</v>
      </c>
      <c r="J214" s="4">
        <v>3289</v>
      </c>
      <c r="K214" s="5">
        <v>0.28488902401945881</v>
      </c>
      <c r="L214" s="5">
        <v>6.0808756460930371E-3</v>
      </c>
      <c r="N214" s="115"/>
      <c r="O214" s="116"/>
      <c r="P214" s="116"/>
      <c r="Q214" s="116"/>
      <c r="R214" s="116"/>
      <c r="S214" s="117"/>
    </row>
    <row r="215" spans="7:19">
      <c r="G215" t="s">
        <v>773</v>
      </c>
      <c r="H215" t="s">
        <v>136</v>
      </c>
      <c r="I215" t="s">
        <v>449</v>
      </c>
      <c r="J215" s="4">
        <v>1693</v>
      </c>
      <c r="K215" s="5">
        <v>0.28470171293561725</v>
      </c>
      <c r="L215" s="5">
        <v>4.7253396337861783E-3</v>
      </c>
      <c r="N215" s="115"/>
      <c r="O215" s="116"/>
      <c r="P215" s="116"/>
      <c r="Q215" s="116"/>
      <c r="R215" s="116"/>
      <c r="S215" s="117"/>
    </row>
    <row r="216" spans="7:19">
      <c r="G216" t="s">
        <v>774</v>
      </c>
      <c r="H216" t="s">
        <v>118</v>
      </c>
      <c r="I216" t="s">
        <v>338</v>
      </c>
      <c r="J216" s="4">
        <v>1760</v>
      </c>
      <c r="K216" s="5">
        <v>0.28465909090909092</v>
      </c>
      <c r="L216" s="5">
        <v>1.8181818181818181E-2</v>
      </c>
      <c r="N216" s="62"/>
      <c r="O216" s="63"/>
      <c r="P216" s="63"/>
      <c r="Q216" s="63"/>
      <c r="R216" s="63"/>
      <c r="S216" s="64"/>
    </row>
    <row r="217" spans="7:19">
      <c r="G217" t="s">
        <v>775</v>
      </c>
      <c r="H217" t="s">
        <v>95</v>
      </c>
      <c r="I217" t="s">
        <v>137</v>
      </c>
      <c r="J217" s="4">
        <v>17168</v>
      </c>
      <c r="K217" s="5">
        <v>0.28448275862068967</v>
      </c>
      <c r="L217" s="5">
        <v>1.6367660764212488E-2</v>
      </c>
    </row>
    <row r="218" spans="7:19">
      <c r="G218" t="s">
        <v>776</v>
      </c>
      <c r="H218" t="s">
        <v>89</v>
      </c>
      <c r="I218" t="s">
        <v>356</v>
      </c>
      <c r="J218" s="4">
        <v>4099</v>
      </c>
      <c r="K218" s="5">
        <v>0.28445962429860944</v>
      </c>
      <c r="L218" s="5">
        <v>2.3664308367894609E-2</v>
      </c>
    </row>
    <row r="219" spans="7:19">
      <c r="G219" t="s">
        <v>777</v>
      </c>
      <c r="H219" t="s">
        <v>103</v>
      </c>
      <c r="I219" t="s">
        <v>207</v>
      </c>
      <c r="J219" s="4">
        <v>1322</v>
      </c>
      <c r="K219" s="5">
        <v>0.28441754916792739</v>
      </c>
      <c r="L219" s="5">
        <v>1.5128593040847202E-2</v>
      </c>
    </row>
    <row r="220" spans="7:19">
      <c r="G220" t="s">
        <v>778</v>
      </c>
      <c r="H220" t="s">
        <v>131</v>
      </c>
      <c r="I220" t="s">
        <v>80</v>
      </c>
      <c r="J220" s="4">
        <v>2835</v>
      </c>
      <c r="K220" s="5">
        <v>0.28430335097001763</v>
      </c>
      <c r="L220" s="5">
        <v>9.876543209876543E-3</v>
      </c>
    </row>
    <row r="221" spans="7:19">
      <c r="G221" t="s">
        <v>779</v>
      </c>
      <c r="H221" t="s">
        <v>278</v>
      </c>
      <c r="I221" t="s">
        <v>89</v>
      </c>
      <c r="J221" s="4">
        <v>1457</v>
      </c>
      <c r="K221" s="5">
        <v>0.28414550446122167</v>
      </c>
      <c r="L221" s="5">
        <v>1.5099519560741249E-2</v>
      </c>
    </row>
    <row r="222" spans="7:19">
      <c r="G222" t="s">
        <v>780</v>
      </c>
      <c r="H222" t="s">
        <v>80</v>
      </c>
      <c r="I222" t="s">
        <v>358</v>
      </c>
      <c r="J222" s="4">
        <v>3361</v>
      </c>
      <c r="K222" s="5">
        <v>0.28414162451651293</v>
      </c>
      <c r="L222" s="5">
        <v>1.368640285629277E-2</v>
      </c>
    </row>
    <row r="223" spans="7:19">
      <c r="G223" t="s">
        <v>781</v>
      </c>
      <c r="H223" t="s">
        <v>89</v>
      </c>
      <c r="I223" t="s">
        <v>134</v>
      </c>
      <c r="J223" s="4">
        <v>15718</v>
      </c>
      <c r="K223" s="5">
        <v>0.28413284132841327</v>
      </c>
      <c r="L223" s="5">
        <v>2.8247868685583408E-2</v>
      </c>
    </row>
    <row r="224" spans="7:19">
      <c r="G224" t="s">
        <v>782</v>
      </c>
      <c r="H224" t="s">
        <v>236</v>
      </c>
      <c r="I224" t="s">
        <v>226</v>
      </c>
      <c r="J224" s="4">
        <v>1283</v>
      </c>
      <c r="K224" s="5">
        <v>0.28371005455962589</v>
      </c>
      <c r="L224" s="5">
        <v>3.1176929072486361E-3</v>
      </c>
    </row>
    <row r="225" spans="7:12">
      <c r="G225" t="s">
        <v>783</v>
      </c>
      <c r="H225" t="s">
        <v>89</v>
      </c>
      <c r="I225" t="s">
        <v>317</v>
      </c>
      <c r="J225" s="4">
        <v>1181</v>
      </c>
      <c r="K225" s="5">
        <v>0.28365791701947501</v>
      </c>
      <c r="L225" s="5">
        <v>2.8789161727349702E-2</v>
      </c>
    </row>
    <row r="226" spans="7:12">
      <c r="G226" t="s">
        <v>784</v>
      </c>
      <c r="H226" t="s">
        <v>80</v>
      </c>
      <c r="I226" t="s">
        <v>221</v>
      </c>
      <c r="J226" s="4">
        <v>4391</v>
      </c>
      <c r="K226" s="5">
        <v>0.28330676383511727</v>
      </c>
      <c r="L226" s="5">
        <v>1.4347529036665908E-2</v>
      </c>
    </row>
    <row r="227" spans="7:12">
      <c r="G227" t="s">
        <v>785</v>
      </c>
      <c r="H227" t="s">
        <v>118</v>
      </c>
      <c r="I227" t="s">
        <v>113</v>
      </c>
      <c r="J227" s="4">
        <v>3128</v>
      </c>
      <c r="K227" s="5">
        <v>0.28324808184143224</v>
      </c>
      <c r="L227" s="5">
        <v>2.0460358056265986E-2</v>
      </c>
    </row>
    <row r="228" spans="7:12">
      <c r="G228" t="s">
        <v>786</v>
      </c>
      <c r="H228" t="s">
        <v>89</v>
      </c>
      <c r="I228" t="s">
        <v>418</v>
      </c>
      <c r="J228" s="4">
        <v>2183</v>
      </c>
      <c r="K228" s="5">
        <v>0.28263857077416399</v>
      </c>
      <c r="L228" s="5">
        <v>1.6491067338524967E-2</v>
      </c>
    </row>
    <row r="229" spans="7:12">
      <c r="G229" t="s">
        <v>787</v>
      </c>
      <c r="H229" t="s">
        <v>118</v>
      </c>
      <c r="I229" t="s">
        <v>107</v>
      </c>
      <c r="J229" s="4">
        <v>5270</v>
      </c>
      <c r="K229" s="5">
        <v>0.28254269449715369</v>
      </c>
      <c r="L229" s="5">
        <v>2.1821631878557873E-2</v>
      </c>
    </row>
    <row r="230" spans="7:12">
      <c r="G230" t="s">
        <v>788</v>
      </c>
      <c r="H230" t="s">
        <v>189</v>
      </c>
      <c r="I230" t="s">
        <v>398</v>
      </c>
      <c r="J230" s="4">
        <v>1070</v>
      </c>
      <c r="K230" s="5">
        <v>0.28224299065420561</v>
      </c>
      <c r="L230" s="5">
        <v>9.3457943925233649E-4</v>
      </c>
    </row>
    <row r="231" spans="7:12">
      <c r="G231" t="s">
        <v>789</v>
      </c>
      <c r="H231" t="s">
        <v>404</v>
      </c>
      <c r="I231" t="s">
        <v>226</v>
      </c>
      <c r="J231" s="4">
        <v>7400</v>
      </c>
      <c r="K231" s="5">
        <v>0.28216216216216217</v>
      </c>
      <c r="L231" s="5">
        <v>8.7837837837837843E-3</v>
      </c>
    </row>
    <row r="232" spans="7:12">
      <c r="G232" t="s">
        <v>790</v>
      </c>
      <c r="H232" t="s">
        <v>218</v>
      </c>
      <c r="I232" t="s">
        <v>95</v>
      </c>
      <c r="J232" s="4">
        <v>26117</v>
      </c>
      <c r="K232" s="5">
        <v>0.28207680820921238</v>
      </c>
      <c r="L232" s="5">
        <v>1.1180457173488532E-2</v>
      </c>
    </row>
    <row r="233" spans="7:12">
      <c r="G233" t="s">
        <v>791</v>
      </c>
      <c r="H233" t="s">
        <v>352</v>
      </c>
      <c r="I233" t="s">
        <v>398</v>
      </c>
      <c r="J233" s="4">
        <v>1064</v>
      </c>
      <c r="K233" s="5">
        <v>0.28195488721804512</v>
      </c>
      <c r="L233" s="5">
        <v>3.7593984962406013E-3</v>
      </c>
    </row>
    <row r="234" spans="7:12">
      <c r="G234" t="s">
        <v>792</v>
      </c>
      <c r="H234" t="s">
        <v>80</v>
      </c>
      <c r="I234" t="s">
        <v>149</v>
      </c>
      <c r="J234" s="4">
        <v>11722</v>
      </c>
      <c r="K234" s="5">
        <v>0.28194847295683328</v>
      </c>
      <c r="L234" s="5">
        <v>2.5934140931581643E-2</v>
      </c>
    </row>
    <row r="235" spans="7:12">
      <c r="G235" t="s">
        <v>793</v>
      </c>
      <c r="H235" t="s">
        <v>85</v>
      </c>
      <c r="I235" t="s">
        <v>240</v>
      </c>
      <c r="J235" s="4">
        <v>1462</v>
      </c>
      <c r="K235" s="5">
        <v>0.28180574555403559</v>
      </c>
      <c r="L235" s="5">
        <v>1.1627906976744186E-2</v>
      </c>
    </row>
    <row r="236" spans="7:12">
      <c r="G236" t="s">
        <v>794</v>
      </c>
      <c r="H236" t="s">
        <v>80</v>
      </c>
      <c r="I236" t="s">
        <v>218</v>
      </c>
      <c r="J236" s="4">
        <v>22287</v>
      </c>
      <c r="K236" s="5">
        <v>0.28177861533629472</v>
      </c>
      <c r="L236" s="5">
        <v>1.3415892672858616E-2</v>
      </c>
    </row>
    <row r="237" spans="7:12">
      <c r="G237" t="s">
        <v>795</v>
      </c>
      <c r="H237" t="s">
        <v>83</v>
      </c>
      <c r="I237" t="s">
        <v>89</v>
      </c>
      <c r="J237" s="4">
        <v>2583</v>
      </c>
      <c r="K237" s="5">
        <v>0.28145567169957414</v>
      </c>
      <c r="L237" s="5">
        <v>1.5098722415795587E-2</v>
      </c>
    </row>
    <row r="238" spans="7:12">
      <c r="G238" t="s">
        <v>796</v>
      </c>
      <c r="H238" t="s">
        <v>89</v>
      </c>
      <c r="I238" t="s">
        <v>358</v>
      </c>
      <c r="J238" s="4">
        <v>5217</v>
      </c>
      <c r="K238" s="5">
        <v>0.28138777074947285</v>
      </c>
      <c r="L238" s="5">
        <v>1.9743147402721872E-2</v>
      </c>
    </row>
    <row r="239" spans="7:12">
      <c r="G239" t="s">
        <v>797</v>
      </c>
      <c r="H239" t="s">
        <v>798</v>
      </c>
      <c r="I239" t="s">
        <v>149</v>
      </c>
      <c r="J239" s="4">
        <v>1109</v>
      </c>
      <c r="K239" s="5">
        <v>0.28133453561767358</v>
      </c>
      <c r="L239" s="5">
        <v>6.2218214607754736E-2</v>
      </c>
    </row>
    <row r="240" spans="7:12">
      <c r="G240" t="s">
        <v>799</v>
      </c>
      <c r="H240" t="s">
        <v>85</v>
      </c>
      <c r="I240" t="s">
        <v>202</v>
      </c>
      <c r="J240" s="4">
        <v>7827</v>
      </c>
      <c r="K240" s="5">
        <v>0.28133384438482179</v>
      </c>
      <c r="L240" s="5">
        <v>1.7631276351092372E-2</v>
      </c>
    </row>
    <row r="241" spans="7:12">
      <c r="G241" t="s">
        <v>800</v>
      </c>
      <c r="H241" t="s">
        <v>89</v>
      </c>
      <c r="I241" t="s">
        <v>189</v>
      </c>
      <c r="J241" s="4">
        <v>14588</v>
      </c>
      <c r="K241" s="5">
        <v>0.28132711817932549</v>
      </c>
      <c r="L241" s="5">
        <v>2.3512476007677544E-2</v>
      </c>
    </row>
    <row r="242" spans="7:12">
      <c r="G242" t="s">
        <v>801</v>
      </c>
      <c r="H242" t="s">
        <v>80</v>
      </c>
      <c r="I242" t="s">
        <v>89</v>
      </c>
      <c r="J242" s="4">
        <v>8592</v>
      </c>
      <c r="K242" s="5">
        <v>0.2809590316573557</v>
      </c>
      <c r="L242" s="5">
        <v>2.1997206703910616E-2</v>
      </c>
    </row>
    <row r="243" spans="7:12">
      <c r="G243" t="s">
        <v>802</v>
      </c>
      <c r="H243" t="s">
        <v>144</v>
      </c>
      <c r="I243" t="s">
        <v>89</v>
      </c>
      <c r="J243" s="4">
        <v>1883</v>
      </c>
      <c r="K243" s="5">
        <v>0.28093467870419542</v>
      </c>
      <c r="L243" s="5">
        <v>2.1242697822623474E-2</v>
      </c>
    </row>
    <row r="244" spans="7:12">
      <c r="G244" t="s">
        <v>803</v>
      </c>
      <c r="H244" t="s">
        <v>319</v>
      </c>
      <c r="I244" t="s">
        <v>121</v>
      </c>
      <c r="J244" s="4">
        <v>1218</v>
      </c>
      <c r="K244" s="5">
        <v>0.28078817733990147</v>
      </c>
      <c r="L244" s="5">
        <v>1.1494252873563218E-2</v>
      </c>
    </row>
    <row r="245" spans="7:12">
      <c r="G245" t="s">
        <v>804</v>
      </c>
      <c r="H245" t="s">
        <v>85</v>
      </c>
      <c r="I245" t="s">
        <v>252</v>
      </c>
      <c r="J245" s="4">
        <v>7098</v>
      </c>
      <c r="K245" s="5">
        <v>0.28078331924485772</v>
      </c>
      <c r="L245" s="5">
        <v>1.1693434770357848E-2</v>
      </c>
    </row>
    <row r="246" spans="7:12">
      <c r="G246" t="s">
        <v>805</v>
      </c>
      <c r="H246" t="s">
        <v>85</v>
      </c>
      <c r="I246" t="s">
        <v>342</v>
      </c>
      <c r="J246" s="4">
        <v>2504</v>
      </c>
      <c r="K246" s="5">
        <v>0.28075079872204473</v>
      </c>
      <c r="L246" s="5">
        <v>1.3977635782747603E-2</v>
      </c>
    </row>
    <row r="247" spans="7:12">
      <c r="G247" t="s">
        <v>806</v>
      </c>
      <c r="H247" t="s">
        <v>136</v>
      </c>
      <c r="I247" t="s">
        <v>489</v>
      </c>
      <c r="J247" s="4">
        <v>1628</v>
      </c>
      <c r="K247" s="5">
        <v>0.28071253071253072</v>
      </c>
      <c r="L247" s="5">
        <v>5.528255528255528E-3</v>
      </c>
    </row>
    <row r="248" spans="7:12">
      <c r="G248" t="s">
        <v>807</v>
      </c>
      <c r="H248" t="s">
        <v>118</v>
      </c>
      <c r="I248" t="s">
        <v>360</v>
      </c>
      <c r="J248" s="4">
        <v>8701</v>
      </c>
      <c r="K248" s="5">
        <v>0.28054246638317437</v>
      </c>
      <c r="L248" s="5">
        <v>2.1606711872198599E-2</v>
      </c>
    </row>
    <row r="249" spans="7:12">
      <c r="G249" t="s">
        <v>808</v>
      </c>
      <c r="H249" t="s">
        <v>89</v>
      </c>
      <c r="I249" t="s">
        <v>297</v>
      </c>
      <c r="J249" s="4">
        <v>3013</v>
      </c>
      <c r="K249" s="5">
        <v>0.28045137736475273</v>
      </c>
      <c r="L249" s="5">
        <v>2.3896448722203784E-2</v>
      </c>
    </row>
    <row r="250" spans="7:12">
      <c r="G250" t="s">
        <v>809</v>
      </c>
      <c r="H250" t="s">
        <v>89</v>
      </c>
      <c r="I250" t="s">
        <v>372</v>
      </c>
      <c r="J250" s="4">
        <v>7353</v>
      </c>
      <c r="K250" s="5">
        <v>0.28042975656194752</v>
      </c>
      <c r="L250" s="5">
        <v>2.393580851353189E-2</v>
      </c>
    </row>
    <row r="251" spans="7:12">
      <c r="G251" t="s">
        <v>810</v>
      </c>
      <c r="H251" t="s">
        <v>85</v>
      </c>
      <c r="I251" t="s">
        <v>149</v>
      </c>
      <c r="J251" s="4">
        <v>16432</v>
      </c>
      <c r="K251" s="5">
        <v>0.28036757546251218</v>
      </c>
      <c r="L251" s="5">
        <v>1.7952775073028237E-2</v>
      </c>
    </row>
    <row r="252" spans="7:12">
      <c r="G252" t="s">
        <v>811</v>
      </c>
      <c r="H252" t="s">
        <v>89</v>
      </c>
      <c r="I252" t="s">
        <v>497</v>
      </c>
      <c r="J252" s="4">
        <v>6693</v>
      </c>
      <c r="K252" s="5">
        <v>0.2802928432690871</v>
      </c>
      <c r="L252" s="5">
        <v>2.2112655012699836E-2</v>
      </c>
    </row>
    <row r="253" spans="7:12">
      <c r="G253" t="s">
        <v>812</v>
      </c>
      <c r="H253" t="s">
        <v>297</v>
      </c>
      <c r="I253" t="s">
        <v>80</v>
      </c>
      <c r="J253" s="4">
        <v>1131</v>
      </c>
      <c r="K253" s="5">
        <v>0.28028293545534927</v>
      </c>
      <c r="L253" s="5">
        <v>4.0671971706454466E-2</v>
      </c>
    </row>
    <row r="254" spans="7:12">
      <c r="G254" t="s">
        <v>813</v>
      </c>
      <c r="H254" t="s">
        <v>288</v>
      </c>
      <c r="I254" t="s">
        <v>80</v>
      </c>
      <c r="J254" s="4">
        <v>1588</v>
      </c>
      <c r="K254" s="5">
        <v>0.28022670025188917</v>
      </c>
      <c r="L254" s="5">
        <v>1.8261964735516372E-2</v>
      </c>
    </row>
    <row r="255" spans="7:12">
      <c r="G255" t="s">
        <v>814</v>
      </c>
      <c r="H255" t="s">
        <v>105</v>
      </c>
      <c r="I255" t="s">
        <v>140</v>
      </c>
      <c r="J255" s="4">
        <v>6663</v>
      </c>
      <c r="K255" s="5">
        <v>0.28005402971634397</v>
      </c>
      <c r="L255" s="5">
        <v>1.7709740357196458E-2</v>
      </c>
    </row>
    <row r="256" spans="7:12">
      <c r="G256" t="s">
        <v>815</v>
      </c>
      <c r="H256" t="s">
        <v>326</v>
      </c>
      <c r="I256" t="s">
        <v>80</v>
      </c>
      <c r="J256" s="4">
        <v>1082</v>
      </c>
      <c r="K256" s="5">
        <v>0.28003696857670979</v>
      </c>
      <c r="L256" s="5">
        <v>1.8484288354898338E-2</v>
      </c>
    </row>
    <row r="257" spans="7:12">
      <c r="G257" t="s">
        <v>816</v>
      </c>
      <c r="H257" t="s">
        <v>89</v>
      </c>
      <c r="I257" t="s">
        <v>368</v>
      </c>
      <c r="J257" s="4">
        <v>1333</v>
      </c>
      <c r="K257" s="5">
        <v>0.27981995498874718</v>
      </c>
      <c r="L257" s="5">
        <v>2.0255063765941484E-2</v>
      </c>
    </row>
    <row r="258" spans="7:12">
      <c r="G258" t="s">
        <v>817</v>
      </c>
      <c r="H258" t="s">
        <v>226</v>
      </c>
      <c r="I258" t="s">
        <v>236</v>
      </c>
      <c r="J258" s="4">
        <v>1276</v>
      </c>
      <c r="K258" s="5">
        <v>0.27978056426332287</v>
      </c>
      <c r="L258" s="5">
        <v>3.9184952978056423E-3</v>
      </c>
    </row>
    <row r="259" spans="7:12">
      <c r="G259" t="s">
        <v>818</v>
      </c>
      <c r="H259" t="s">
        <v>121</v>
      </c>
      <c r="I259" t="s">
        <v>162</v>
      </c>
      <c r="J259" s="4">
        <v>5998</v>
      </c>
      <c r="K259" s="5">
        <v>0.27975991997332444</v>
      </c>
      <c r="L259" s="5">
        <v>1.3837945981993997E-2</v>
      </c>
    </row>
    <row r="260" spans="7:12">
      <c r="G260" t="s">
        <v>819</v>
      </c>
      <c r="H260" t="s">
        <v>118</v>
      </c>
      <c r="I260" t="s">
        <v>140</v>
      </c>
      <c r="J260" s="4">
        <v>17634</v>
      </c>
      <c r="K260" s="5">
        <v>0.27968696835658385</v>
      </c>
      <c r="L260" s="5">
        <v>2.3363955994102303E-2</v>
      </c>
    </row>
    <row r="261" spans="7:12">
      <c r="G261" t="s">
        <v>820</v>
      </c>
      <c r="H261" t="s">
        <v>344</v>
      </c>
      <c r="I261" t="s">
        <v>80</v>
      </c>
      <c r="J261" s="4">
        <v>1155</v>
      </c>
      <c r="K261" s="5">
        <v>0.27965367965367965</v>
      </c>
      <c r="L261" s="5">
        <v>2.4242424242424242E-2</v>
      </c>
    </row>
    <row r="262" spans="7:12">
      <c r="G262" t="s">
        <v>821</v>
      </c>
      <c r="H262" t="s">
        <v>95</v>
      </c>
      <c r="I262" t="s">
        <v>822</v>
      </c>
      <c r="J262" s="4">
        <v>2032</v>
      </c>
      <c r="K262" s="5">
        <v>0.27952755905511811</v>
      </c>
      <c r="L262" s="5">
        <v>1.0334645669291339E-2</v>
      </c>
    </row>
    <row r="263" spans="7:12">
      <c r="G263" t="s">
        <v>823</v>
      </c>
      <c r="H263" t="s">
        <v>134</v>
      </c>
      <c r="I263" t="s">
        <v>236</v>
      </c>
      <c r="J263" s="4">
        <v>1870</v>
      </c>
      <c r="K263" s="5">
        <v>0.279144385026738</v>
      </c>
      <c r="L263" s="5">
        <v>1.1764705882352941E-2</v>
      </c>
    </row>
    <row r="264" spans="7:12">
      <c r="G264" t="s">
        <v>824</v>
      </c>
      <c r="H264" t="s">
        <v>95</v>
      </c>
      <c r="I264" t="s">
        <v>352</v>
      </c>
      <c r="J264" s="4">
        <v>4859</v>
      </c>
      <c r="K264" s="5">
        <v>0.27906976744186046</v>
      </c>
      <c r="L264" s="5">
        <v>1.2142416135007203E-2</v>
      </c>
    </row>
    <row r="265" spans="7:12">
      <c r="G265" t="s">
        <v>825</v>
      </c>
      <c r="H265" t="s">
        <v>110</v>
      </c>
      <c r="I265" t="s">
        <v>89</v>
      </c>
      <c r="J265" s="4">
        <v>1976</v>
      </c>
      <c r="K265" s="5">
        <v>0.27884615384615385</v>
      </c>
      <c r="L265" s="5">
        <v>1.6700404858299597E-2</v>
      </c>
    </row>
    <row r="266" spans="7:12">
      <c r="G266" t="s">
        <v>826</v>
      </c>
      <c r="H266" t="s">
        <v>89</v>
      </c>
      <c r="I266" t="s">
        <v>215</v>
      </c>
      <c r="J266" s="4">
        <v>14433</v>
      </c>
      <c r="K266" s="5">
        <v>0.27880551513891777</v>
      </c>
      <c r="L266" s="5">
        <v>1.6420702556641031E-2</v>
      </c>
    </row>
    <row r="267" spans="7:12">
      <c r="G267" t="s">
        <v>827</v>
      </c>
      <c r="H267" t="s">
        <v>326</v>
      </c>
      <c r="I267" t="s">
        <v>372</v>
      </c>
      <c r="J267" s="4">
        <v>1403</v>
      </c>
      <c r="K267" s="5">
        <v>0.27868852459016391</v>
      </c>
      <c r="L267" s="5">
        <v>5.7020669992872419E-3</v>
      </c>
    </row>
    <row r="268" spans="7:12">
      <c r="G268" t="s">
        <v>828</v>
      </c>
      <c r="H268" t="s">
        <v>137</v>
      </c>
      <c r="I268" t="s">
        <v>215</v>
      </c>
      <c r="J268" s="4">
        <v>3264</v>
      </c>
      <c r="K268" s="5">
        <v>0.27818627450980393</v>
      </c>
      <c r="L268" s="5">
        <v>1.4093137254901961E-2</v>
      </c>
    </row>
    <row r="269" spans="7:12">
      <c r="G269" t="s">
        <v>829</v>
      </c>
      <c r="H269" t="s">
        <v>182</v>
      </c>
      <c r="I269" t="s">
        <v>495</v>
      </c>
      <c r="J269" s="4">
        <v>4736</v>
      </c>
      <c r="K269" s="5">
        <v>0.27808277027027029</v>
      </c>
      <c r="L269" s="5">
        <v>7.1790540540540545E-3</v>
      </c>
    </row>
    <row r="270" spans="7:12">
      <c r="G270" t="s">
        <v>830</v>
      </c>
      <c r="H270" t="s">
        <v>115</v>
      </c>
      <c r="I270" t="s">
        <v>352</v>
      </c>
      <c r="J270" s="4">
        <v>2478</v>
      </c>
      <c r="K270" s="5">
        <v>0.27804681194511705</v>
      </c>
      <c r="L270" s="5">
        <v>8.0710250201775618E-3</v>
      </c>
    </row>
    <row r="271" spans="7:12">
      <c r="G271" t="s">
        <v>831</v>
      </c>
      <c r="H271" t="s">
        <v>162</v>
      </c>
      <c r="I271" t="s">
        <v>254</v>
      </c>
      <c r="J271" s="4">
        <v>6319</v>
      </c>
      <c r="K271" s="5">
        <v>0.27789207153030543</v>
      </c>
      <c r="L271" s="5">
        <v>1.6933059028327268E-2</v>
      </c>
    </row>
    <row r="272" spans="7:12">
      <c r="G272" t="s">
        <v>832</v>
      </c>
      <c r="H272" t="s">
        <v>301</v>
      </c>
      <c r="I272" t="s">
        <v>95</v>
      </c>
      <c r="J272" s="4">
        <v>2434</v>
      </c>
      <c r="K272" s="5">
        <v>0.27773212818405918</v>
      </c>
      <c r="L272" s="5">
        <v>1.5201314708299097E-2</v>
      </c>
    </row>
    <row r="273" spans="7:12">
      <c r="G273" t="s">
        <v>833</v>
      </c>
      <c r="H273" t="s">
        <v>416</v>
      </c>
      <c r="I273" t="s">
        <v>149</v>
      </c>
      <c r="J273" s="4">
        <v>1624</v>
      </c>
      <c r="K273" s="5">
        <v>0.27770935960591131</v>
      </c>
      <c r="L273" s="5">
        <v>1.6625615763546799E-2</v>
      </c>
    </row>
    <row r="274" spans="7:12">
      <c r="G274" t="s">
        <v>834</v>
      </c>
      <c r="H274" t="s">
        <v>100</v>
      </c>
      <c r="I274" t="s">
        <v>288</v>
      </c>
      <c r="J274" s="4">
        <v>3518</v>
      </c>
      <c r="K274" s="5">
        <v>0.27743035815804434</v>
      </c>
      <c r="L274" s="5">
        <v>1.335986355884025E-2</v>
      </c>
    </row>
    <row r="275" spans="7:12">
      <c r="G275" t="s">
        <v>835</v>
      </c>
      <c r="H275" t="s">
        <v>80</v>
      </c>
      <c r="I275" t="s">
        <v>204</v>
      </c>
      <c r="J275" s="4">
        <v>7182</v>
      </c>
      <c r="K275" s="5">
        <v>0.27736006683375103</v>
      </c>
      <c r="L275" s="5">
        <v>1.6290726817042606E-2</v>
      </c>
    </row>
    <row r="276" spans="7:12">
      <c r="G276" t="s">
        <v>836</v>
      </c>
      <c r="H276" t="s">
        <v>118</v>
      </c>
      <c r="I276" t="s">
        <v>837</v>
      </c>
      <c r="J276" s="4">
        <v>2230</v>
      </c>
      <c r="K276" s="5">
        <v>0.27713004484304932</v>
      </c>
      <c r="L276" s="5">
        <v>4.7533632286995517E-2</v>
      </c>
    </row>
    <row r="277" spans="7:12">
      <c r="G277" t="s">
        <v>838</v>
      </c>
      <c r="H277" t="s">
        <v>89</v>
      </c>
      <c r="I277" t="s">
        <v>461</v>
      </c>
      <c r="J277" s="4">
        <v>11399</v>
      </c>
      <c r="K277" s="5">
        <v>0.2771295727695412</v>
      </c>
      <c r="L277" s="5">
        <v>1.5527677866479515E-2</v>
      </c>
    </row>
    <row r="278" spans="7:12">
      <c r="G278" t="s">
        <v>839</v>
      </c>
      <c r="H278" t="s">
        <v>80</v>
      </c>
      <c r="I278" t="s">
        <v>118</v>
      </c>
      <c r="J278" s="4">
        <v>8706</v>
      </c>
      <c r="K278" s="5">
        <v>0.27705031013094417</v>
      </c>
      <c r="L278" s="5">
        <v>1.286469101768895E-2</v>
      </c>
    </row>
    <row r="279" spans="7:12">
      <c r="G279" t="s">
        <v>840</v>
      </c>
      <c r="H279" t="s">
        <v>342</v>
      </c>
      <c r="I279" t="s">
        <v>162</v>
      </c>
      <c r="J279" s="4">
        <v>3542</v>
      </c>
      <c r="K279" s="5">
        <v>0.2769621682665161</v>
      </c>
      <c r="L279" s="5">
        <v>1.637492941840768E-2</v>
      </c>
    </row>
    <row r="280" spans="7:12">
      <c r="G280" t="s">
        <v>841</v>
      </c>
      <c r="H280" t="s">
        <v>370</v>
      </c>
      <c r="I280" t="s">
        <v>226</v>
      </c>
      <c r="J280" s="4">
        <v>34029</v>
      </c>
      <c r="K280" s="5">
        <v>0.27694025683975432</v>
      </c>
      <c r="L280" s="5">
        <v>7.5229950924211699E-3</v>
      </c>
    </row>
    <row r="281" spans="7:12">
      <c r="G281" t="s">
        <v>842</v>
      </c>
      <c r="H281" t="s">
        <v>144</v>
      </c>
      <c r="I281" t="s">
        <v>204</v>
      </c>
      <c r="J281" s="4">
        <v>1600</v>
      </c>
      <c r="K281" s="5">
        <v>0.27687499999999998</v>
      </c>
      <c r="L281" s="5">
        <v>4.1250000000000002E-2</v>
      </c>
    </row>
    <row r="282" spans="7:12">
      <c r="G282" t="s">
        <v>843</v>
      </c>
      <c r="H282" t="s">
        <v>134</v>
      </c>
      <c r="I282" t="s">
        <v>331</v>
      </c>
      <c r="J282" s="4">
        <v>1901</v>
      </c>
      <c r="K282" s="5">
        <v>0.27669647553918991</v>
      </c>
      <c r="L282" s="5">
        <v>1.3677012098895318E-2</v>
      </c>
    </row>
    <row r="283" spans="7:12">
      <c r="G283" t="s">
        <v>844</v>
      </c>
      <c r="H283" t="s">
        <v>136</v>
      </c>
      <c r="I283" t="s">
        <v>297</v>
      </c>
      <c r="J283" s="4">
        <v>1735</v>
      </c>
      <c r="K283" s="5">
        <v>0.27665706051873201</v>
      </c>
      <c r="L283" s="5">
        <v>8.0691642651296823E-3</v>
      </c>
    </row>
    <row r="284" spans="7:12">
      <c r="G284" t="s">
        <v>845</v>
      </c>
      <c r="H284" t="s">
        <v>118</v>
      </c>
      <c r="I284" t="s">
        <v>197</v>
      </c>
      <c r="J284" s="4">
        <v>4186</v>
      </c>
      <c r="K284" s="5">
        <v>0.27663640707118969</v>
      </c>
      <c r="L284" s="5">
        <v>2.3650262780697564E-2</v>
      </c>
    </row>
    <row r="285" spans="7:12">
      <c r="G285" t="s">
        <v>846</v>
      </c>
      <c r="H285" t="s">
        <v>95</v>
      </c>
      <c r="I285" t="s">
        <v>149</v>
      </c>
      <c r="J285" s="4">
        <v>14510</v>
      </c>
      <c r="K285" s="5">
        <v>0.27656788421778083</v>
      </c>
      <c r="L285" s="5">
        <v>2.0675396278428671E-2</v>
      </c>
    </row>
    <row r="286" spans="7:12">
      <c r="G286" t="s">
        <v>847</v>
      </c>
      <c r="H286" t="s">
        <v>140</v>
      </c>
      <c r="I286" t="s">
        <v>346</v>
      </c>
      <c r="J286" s="4">
        <v>4748</v>
      </c>
      <c r="K286" s="5">
        <v>0.27653748946925022</v>
      </c>
      <c r="L286" s="5">
        <v>2.0219039595619208E-2</v>
      </c>
    </row>
    <row r="287" spans="7:12">
      <c r="G287" t="s">
        <v>848</v>
      </c>
      <c r="H287" t="s">
        <v>449</v>
      </c>
      <c r="I287" t="s">
        <v>495</v>
      </c>
      <c r="J287" s="4">
        <v>2344</v>
      </c>
      <c r="K287" s="5">
        <v>0.2764505119453925</v>
      </c>
      <c r="L287" s="5">
        <v>8.9590443686006823E-3</v>
      </c>
    </row>
    <row r="288" spans="7:12">
      <c r="G288" t="s">
        <v>849</v>
      </c>
      <c r="H288" t="s">
        <v>95</v>
      </c>
      <c r="I288" t="s">
        <v>105</v>
      </c>
      <c r="J288" s="4">
        <v>18974</v>
      </c>
      <c r="K288" s="5">
        <v>0.27643090544956256</v>
      </c>
      <c r="L288" s="5">
        <v>7.7474438705597134E-3</v>
      </c>
    </row>
    <row r="289" spans="7:12">
      <c r="G289" t="s">
        <v>850</v>
      </c>
      <c r="H289" t="s">
        <v>85</v>
      </c>
      <c r="I289" t="s">
        <v>422</v>
      </c>
      <c r="J289" s="4">
        <v>1893</v>
      </c>
      <c r="K289" s="5">
        <v>0.2762810353935552</v>
      </c>
      <c r="L289" s="5">
        <v>6.3391442155309036E-3</v>
      </c>
    </row>
    <row r="290" spans="7:12">
      <c r="G290" t="s">
        <v>851</v>
      </c>
      <c r="H290" t="s">
        <v>204</v>
      </c>
      <c r="I290" t="s">
        <v>445</v>
      </c>
      <c r="J290" s="4">
        <v>1097</v>
      </c>
      <c r="K290" s="5">
        <v>0.27620783956244305</v>
      </c>
      <c r="L290" s="5">
        <v>4.6490428441203283E-2</v>
      </c>
    </row>
    <row r="291" spans="7:12">
      <c r="G291" t="s">
        <v>852</v>
      </c>
      <c r="H291" t="s">
        <v>146</v>
      </c>
      <c r="I291" t="s">
        <v>118</v>
      </c>
      <c r="J291" s="4">
        <v>2745</v>
      </c>
      <c r="K291" s="5">
        <v>0.27613843351548267</v>
      </c>
      <c r="L291" s="5">
        <v>2.0400728597449909E-2</v>
      </c>
    </row>
    <row r="292" spans="7:12">
      <c r="G292" t="s">
        <v>853</v>
      </c>
      <c r="H292" t="s">
        <v>89</v>
      </c>
      <c r="I292" t="s">
        <v>276</v>
      </c>
      <c r="J292" s="4">
        <v>6990</v>
      </c>
      <c r="K292" s="5">
        <v>0.27610872675250359</v>
      </c>
      <c r="L292" s="5">
        <v>2.2317596566523604E-2</v>
      </c>
    </row>
    <row r="293" spans="7:12">
      <c r="G293" t="s">
        <v>854</v>
      </c>
      <c r="H293" t="s">
        <v>95</v>
      </c>
      <c r="I293" t="s">
        <v>131</v>
      </c>
      <c r="J293" s="4">
        <v>4280</v>
      </c>
      <c r="K293" s="5">
        <v>0.27570093457943923</v>
      </c>
      <c r="L293" s="5">
        <v>9.579439252336449E-3</v>
      </c>
    </row>
    <row r="294" spans="7:12">
      <c r="G294" t="s">
        <v>855</v>
      </c>
      <c r="H294" t="s">
        <v>95</v>
      </c>
      <c r="I294" t="s">
        <v>162</v>
      </c>
      <c r="J294" s="4">
        <v>14586</v>
      </c>
      <c r="K294" s="5">
        <v>0.27560674619498149</v>
      </c>
      <c r="L294" s="5">
        <v>1.8236665295488824E-2</v>
      </c>
    </row>
    <row r="295" spans="7:12">
      <c r="G295" t="s">
        <v>856</v>
      </c>
      <c r="H295" t="s">
        <v>103</v>
      </c>
      <c r="I295" t="s">
        <v>252</v>
      </c>
      <c r="J295" s="4">
        <v>5755</v>
      </c>
      <c r="K295" s="5">
        <v>0.27558644656820158</v>
      </c>
      <c r="L295" s="5">
        <v>6.7767158992180715E-3</v>
      </c>
    </row>
    <row r="296" spans="7:12">
      <c r="G296" t="s">
        <v>857</v>
      </c>
      <c r="H296" t="s">
        <v>89</v>
      </c>
      <c r="I296" t="s">
        <v>100</v>
      </c>
      <c r="J296" s="4">
        <v>11913</v>
      </c>
      <c r="K296" s="5">
        <v>0.27558129774196255</v>
      </c>
      <c r="L296" s="5">
        <v>1.5445311844203811E-2</v>
      </c>
    </row>
    <row r="297" spans="7:12">
      <c r="G297" t="s">
        <v>858</v>
      </c>
      <c r="H297" t="s">
        <v>113</v>
      </c>
      <c r="I297" t="s">
        <v>118</v>
      </c>
      <c r="J297" s="4">
        <v>3127</v>
      </c>
      <c r="K297" s="5">
        <v>0.27534377998081228</v>
      </c>
      <c r="L297" s="5">
        <v>2.1106491845219059E-2</v>
      </c>
    </row>
    <row r="298" spans="7:12">
      <c r="G298" t="s">
        <v>859</v>
      </c>
      <c r="H298" t="s">
        <v>89</v>
      </c>
      <c r="I298" t="s">
        <v>137</v>
      </c>
      <c r="J298" s="4">
        <v>10298</v>
      </c>
      <c r="K298" s="5">
        <v>0.27529617401437173</v>
      </c>
      <c r="L298" s="5">
        <v>2.1460477762672365E-2</v>
      </c>
    </row>
    <row r="299" spans="7:12">
      <c r="G299" t="s">
        <v>860</v>
      </c>
      <c r="H299" t="s">
        <v>259</v>
      </c>
      <c r="I299" t="s">
        <v>121</v>
      </c>
      <c r="J299" s="4">
        <v>8693</v>
      </c>
      <c r="K299" s="5">
        <v>0.27527896008282526</v>
      </c>
      <c r="L299" s="5">
        <v>2.1051420683308408E-2</v>
      </c>
    </row>
    <row r="300" spans="7:12">
      <c r="G300" t="s">
        <v>861</v>
      </c>
      <c r="H300" t="s">
        <v>100</v>
      </c>
      <c r="I300" t="s">
        <v>303</v>
      </c>
      <c r="J300" s="4">
        <v>1090</v>
      </c>
      <c r="K300" s="5">
        <v>0.27522935779816515</v>
      </c>
      <c r="L300" s="5">
        <v>1.834862385321101E-2</v>
      </c>
    </row>
    <row r="301" spans="7:12">
      <c r="G301" t="s">
        <v>862</v>
      </c>
      <c r="H301" t="s">
        <v>336</v>
      </c>
      <c r="I301" t="s">
        <v>103</v>
      </c>
      <c r="J301" s="4">
        <v>1186</v>
      </c>
      <c r="K301" s="5">
        <v>0.2748735244519393</v>
      </c>
      <c r="L301" s="5">
        <v>1.0118043844856661E-2</v>
      </c>
    </row>
    <row r="302" spans="7:12">
      <c r="G302" t="s">
        <v>863</v>
      </c>
      <c r="H302" t="s">
        <v>89</v>
      </c>
      <c r="I302" t="s">
        <v>404</v>
      </c>
      <c r="J302" s="4">
        <v>2985</v>
      </c>
      <c r="K302" s="5">
        <v>0.27470686767169178</v>
      </c>
      <c r="L302" s="5">
        <v>1.7755443886097153E-2</v>
      </c>
    </row>
    <row r="303" spans="7:12">
      <c r="G303" t="s">
        <v>864</v>
      </c>
      <c r="H303" t="s">
        <v>85</v>
      </c>
      <c r="I303" t="s">
        <v>140</v>
      </c>
      <c r="J303" s="4">
        <v>12936</v>
      </c>
      <c r="K303" s="5">
        <v>0.27465986394557823</v>
      </c>
      <c r="L303" s="5">
        <v>2.373222016079159E-2</v>
      </c>
    </row>
    <row r="304" spans="7:12">
      <c r="G304" t="s">
        <v>865</v>
      </c>
      <c r="H304" t="s">
        <v>80</v>
      </c>
      <c r="I304" t="s">
        <v>352</v>
      </c>
      <c r="J304" s="4">
        <v>1602</v>
      </c>
      <c r="K304" s="5">
        <v>0.27465667915106118</v>
      </c>
      <c r="L304" s="5">
        <v>1.0611735330836454E-2</v>
      </c>
    </row>
    <row r="305" spans="7:12">
      <c r="G305" t="s">
        <v>866</v>
      </c>
      <c r="H305" t="s">
        <v>382</v>
      </c>
      <c r="I305" t="s">
        <v>103</v>
      </c>
      <c r="J305" s="4">
        <v>2076</v>
      </c>
      <c r="K305" s="5">
        <v>0.27456647398843931</v>
      </c>
      <c r="L305" s="5">
        <v>1.4932562620423893E-2</v>
      </c>
    </row>
    <row r="306" spans="7:12">
      <c r="G306" t="s">
        <v>867</v>
      </c>
      <c r="H306" t="s">
        <v>204</v>
      </c>
      <c r="I306" t="s">
        <v>224</v>
      </c>
      <c r="J306" s="4">
        <v>4058</v>
      </c>
      <c r="K306" s="5">
        <v>0.27451946771808772</v>
      </c>
      <c r="L306" s="5">
        <v>4.1399704287826515E-2</v>
      </c>
    </row>
    <row r="307" spans="7:12">
      <c r="G307" t="s">
        <v>868</v>
      </c>
      <c r="H307" t="s">
        <v>136</v>
      </c>
      <c r="I307" t="s">
        <v>293</v>
      </c>
      <c r="J307" s="4">
        <v>2026</v>
      </c>
      <c r="K307" s="5">
        <v>0.27443237907206319</v>
      </c>
      <c r="L307" s="5">
        <v>4.9358341559723592E-3</v>
      </c>
    </row>
    <row r="308" spans="7:12">
      <c r="G308" t="s">
        <v>869</v>
      </c>
      <c r="H308" t="s">
        <v>136</v>
      </c>
      <c r="I308" t="s">
        <v>370</v>
      </c>
      <c r="J308" s="4">
        <v>4174</v>
      </c>
      <c r="K308" s="5">
        <v>0.27431720172496404</v>
      </c>
      <c r="L308" s="5">
        <v>7.9060852898897947E-3</v>
      </c>
    </row>
    <row r="309" spans="7:12">
      <c r="G309" t="s">
        <v>870</v>
      </c>
      <c r="H309" t="s">
        <v>89</v>
      </c>
      <c r="I309" t="s">
        <v>269</v>
      </c>
      <c r="J309" s="4">
        <v>3029</v>
      </c>
      <c r="K309" s="5">
        <v>0.27368768570485308</v>
      </c>
      <c r="L309" s="5">
        <v>1.9148233740508419E-2</v>
      </c>
    </row>
    <row r="310" spans="7:12">
      <c r="G310" t="s">
        <v>871</v>
      </c>
      <c r="H310" t="s">
        <v>80</v>
      </c>
      <c r="I310" t="s">
        <v>224</v>
      </c>
      <c r="J310" s="4">
        <v>2810</v>
      </c>
      <c r="K310" s="5">
        <v>0.27366548042704625</v>
      </c>
      <c r="L310" s="5">
        <v>1.103202846975089E-2</v>
      </c>
    </row>
    <row r="311" spans="7:12">
      <c r="G311" t="s">
        <v>872</v>
      </c>
      <c r="H311" t="s">
        <v>100</v>
      </c>
      <c r="I311" t="s">
        <v>416</v>
      </c>
      <c r="J311" s="4">
        <v>4196</v>
      </c>
      <c r="K311" s="5">
        <v>0.27359389895138225</v>
      </c>
      <c r="L311" s="5">
        <v>6.4346997140133462E-3</v>
      </c>
    </row>
    <row r="312" spans="7:12">
      <c r="G312" t="s">
        <v>873</v>
      </c>
      <c r="H312" t="s">
        <v>115</v>
      </c>
      <c r="I312" t="s">
        <v>288</v>
      </c>
      <c r="J312" s="4">
        <v>5153</v>
      </c>
      <c r="K312" s="5">
        <v>0.27323888996700951</v>
      </c>
      <c r="L312" s="5">
        <v>1.1643702697457792E-2</v>
      </c>
    </row>
    <row r="313" spans="7:12">
      <c r="G313" t="s">
        <v>874</v>
      </c>
      <c r="H313" t="s">
        <v>136</v>
      </c>
      <c r="I313" t="s">
        <v>317</v>
      </c>
      <c r="J313" s="4">
        <v>1498</v>
      </c>
      <c r="K313" s="5">
        <v>0.27303070761014686</v>
      </c>
      <c r="L313" s="5">
        <v>1.335113484646195E-2</v>
      </c>
    </row>
    <row r="314" spans="7:12">
      <c r="G314" t="s">
        <v>875</v>
      </c>
      <c r="H314" t="s">
        <v>137</v>
      </c>
      <c r="I314" t="s">
        <v>95</v>
      </c>
      <c r="J314" s="4">
        <v>17178</v>
      </c>
      <c r="K314" s="5">
        <v>0.27302363488182557</v>
      </c>
      <c r="L314" s="5">
        <v>1.7755268366515309E-2</v>
      </c>
    </row>
    <row r="315" spans="7:12">
      <c r="G315" t="s">
        <v>876</v>
      </c>
      <c r="H315" t="s">
        <v>121</v>
      </c>
      <c r="I315" t="s">
        <v>118</v>
      </c>
      <c r="J315" s="4">
        <v>2879</v>
      </c>
      <c r="K315" s="5">
        <v>0.27301146231330325</v>
      </c>
      <c r="L315" s="5">
        <v>1.1462313303230288E-2</v>
      </c>
    </row>
    <row r="316" spans="7:12">
      <c r="G316" t="s">
        <v>877</v>
      </c>
      <c r="H316" t="s">
        <v>204</v>
      </c>
      <c r="I316" t="s">
        <v>344</v>
      </c>
      <c r="J316" s="4">
        <v>2568</v>
      </c>
      <c r="K316" s="5">
        <v>0.27297507788161995</v>
      </c>
      <c r="L316" s="5">
        <v>2.9205607476635514E-2</v>
      </c>
    </row>
    <row r="317" spans="7:12">
      <c r="G317" t="s">
        <v>878</v>
      </c>
      <c r="H317" t="s">
        <v>100</v>
      </c>
      <c r="I317" t="s">
        <v>324</v>
      </c>
      <c r="J317" s="4">
        <v>2275</v>
      </c>
      <c r="K317" s="5">
        <v>0.27296703296703295</v>
      </c>
      <c r="L317" s="5">
        <v>1.5824175824175824E-2</v>
      </c>
    </row>
    <row r="318" spans="7:12">
      <c r="G318" t="s">
        <v>879</v>
      </c>
      <c r="H318" t="s">
        <v>215</v>
      </c>
      <c r="I318" t="s">
        <v>226</v>
      </c>
      <c r="J318" s="4">
        <v>20178</v>
      </c>
      <c r="K318" s="5">
        <v>0.27292100307265338</v>
      </c>
      <c r="L318" s="5">
        <v>9.9613440380612542E-3</v>
      </c>
    </row>
    <row r="319" spans="7:12">
      <c r="G319" t="s">
        <v>880</v>
      </c>
      <c r="H319" t="s">
        <v>149</v>
      </c>
      <c r="I319" t="s">
        <v>80</v>
      </c>
      <c r="J319" s="4">
        <v>11727</v>
      </c>
      <c r="K319" s="5">
        <v>0.27278928967340327</v>
      </c>
      <c r="L319" s="5">
        <v>2.3961797561183593E-2</v>
      </c>
    </row>
    <row r="320" spans="7:12">
      <c r="G320" t="s">
        <v>881</v>
      </c>
      <c r="H320" t="s">
        <v>324</v>
      </c>
      <c r="I320" t="s">
        <v>89</v>
      </c>
      <c r="J320" s="4">
        <v>3730</v>
      </c>
      <c r="K320" s="5">
        <v>0.27265415549597855</v>
      </c>
      <c r="L320" s="5">
        <v>2.5201072386058981E-2</v>
      </c>
    </row>
    <row r="321" spans="7:12">
      <c r="G321" t="s">
        <v>882</v>
      </c>
      <c r="H321" t="s">
        <v>100</v>
      </c>
      <c r="I321" t="s">
        <v>202</v>
      </c>
      <c r="J321" s="4">
        <v>10710</v>
      </c>
      <c r="K321" s="5">
        <v>0.27264239028944909</v>
      </c>
      <c r="L321" s="5">
        <v>1.8207282913165267E-2</v>
      </c>
    </row>
    <row r="322" spans="7:12">
      <c r="G322" t="s">
        <v>883</v>
      </c>
      <c r="H322" t="s">
        <v>131</v>
      </c>
      <c r="I322" t="s">
        <v>202</v>
      </c>
      <c r="J322" s="4">
        <v>3082</v>
      </c>
      <c r="K322" s="5">
        <v>0.27255029201816999</v>
      </c>
      <c r="L322" s="5">
        <v>1.0707332900713823E-2</v>
      </c>
    </row>
    <row r="323" spans="7:12">
      <c r="G323" t="s">
        <v>884</v>
      </c>
      <c r="H323" t="s">
        <v>80</v>
      </c>
      <c r="I323" t="s">
        <v>140</v>
      </c>
      <c r="J323" s="4">
        <v>15587</v>
      </c>
      <c r="K323" s="5">
        <v>0.27253480464489638</v>
      </c>
      <c r="L323" s="5">
        <v>2.5405786873676783E-2</v>
      </c>
    </row>
    <row r="324" spans="7:12">
      <c r="G324" t="s">
        <v>885</v>
      </c>
      <c r="H324" t="s">
        <v>85</v>
      </c>
      <c r="I324" t="s">
        <v>259</v>
      </c>
      <c r="J324" s="4">
        <v>17195</v>
      </c>
      <c r="K324" s="5">
        <v>0.27246292526897353</v>
      </c>
      <c r="L324" s="5">
        <v>2.0529223611514977E-2</v>
      </c>
    </row>
    <row r="325" spans="7:12">
      <c r="G325" t="s">
        <v>886</v>
      </c>
      <c r="H325" t="s">
        <v>136</v>
      </c>
      <c r="I325" t="s">
        <v>455</v>
      </c>
      <c r="J325" s="4">
        <v>1762</v>
      </c>
      <c r="K325" s="5">
        <v>0.27241770715096481</v>
      </c>
      <c r="L325" s="5">
        <v>5.1078320090805901E-3</v>
      </c>
    </row>
    <row r="326" spans="7:12">
      <c r="G326" t="s">
        <v>887</v>
      </c>
      <c r="H326" t="s">
        <v>326</v>
      </c>
      <c r="I326" t="s">
        <v>226</v>
      </c>
      <c r="J326" s="4">
        <v>13858</v>
      </c>
      <c r="K326" s="5">
        <v>0.27240583056718143</v>
      </c>
      <c r="L326" s="5">
        <v>6.2779621879059024E-3</v>
      </c>
    </row>
    <row r="327" spans="7:12">
      <c r="G327" t="s">
        <v>888</v>
      </c>
      <c r="H327" t="s">
        <v>89</v>
      </c>
      <c r="I327" t="s">
        <v>370</v>
      </c>
      <c r="J327" s="4">
        <v>20280</v>
      </c>
      <c r="K327" s="5">
        <v>0.27233727810650887</v>
      </c>
      <c r="L327" s="5">
        <v>1.3560157790927022E-2</v>
      </c>
    </row>
    <row r="328" spans="7:12">
      <c r="G328" t="s">
        <v>889</v>
      </c>
      <c r="H328" t="s">
        <v>95</v>
      </c>
      <c r="I328" t="s">
        <v>269</v>
      </c>
      <c r="J328" s="4">
        <v>2912</v>
      </c>
      <c r="K328" s="5">
        <v>0.27232142857142855</v>
      </c>
      <c r="L328" s="5">
        <v>1.1675824175824176E-2</v>
      </c>
    </row>
    <row r="329" spans="7:12">
      <c r="G329" t="s">
        <v>890</v>
      </c>
      <c r="H329" t="s">
        <v>418</v>
      </c>
      <c r="I329" t="s">
        <v>226</v>
      </c>
      <c r="J329" s="4">
        <v>9207</v>
      </c>
      <c r="K329" s="5">
        <v>0.27229282067991745</v>
      </c>
      <c r="L329" s="5">
        <v>1.5640273704789834E-2</v>
      </c>
    </row>
    <row r="330" spans="7:12">
      <c r="G330" t="s">
        <v>891</v>
      </c>
      <c r="H330" t="s">
        <v>100</v>
      </c>
      <c r="I330" t="s">
        <v>103</v>
      </c>
      <c r="J330" s="4">
        <v>8792</v>
      </c>
      <c r="K330" s="5">
        <v>0.27217925386715197</v>
      </c>
      <c r="L330" s="5">
        <v>8.9854413102820746E-3</v>
      </c>
    </row>
    <row r="331" spans="7:12">
      <c r="G331" t="s">
        <v>892</v>
      </c>
      <c r="H331" t="s">
        <v>370</v>
      </c>
      <c r="I331" t="s">
        <v>77</v>
      </c>
      <c r="J331" s="4">
        <v>3241</v>
      </c>
      <c r="K331" s="5">
        <v>0.27213822894168466</v>
      </c>
      <c r="L331" s="5">
        <v>2.4066646096883679E-2</v>
      </c>
    </row>
    <row r="332" spans="7:12">
      <c r="G332" t="s">
        <v>893</v>
      </c>
      <c r="H332" t="s">
        <v>85</v>
      </c>
      <c r="I332" t="s">
        <v>370</v>
      </c>
      <c r="J332" s="4">
        <v>10374</v>
      </c>
      <c r="K332" s="5">
        <v>0.27212261422787737</v>
      </c>
      <c r="L332" s="5">
        <v>4.3377674956622328E-3</v>
      </c>
    </row>
    <row r="333" spans="7:12">
      <c r="G333" t="s">
        <v>894</v>
      </c>
      <c r="H333" t="s">
        <v>118</v>
      </c>
      <c r="I333" t="s">
        <v>123</v>
      </c>
      <c r="J333" s="4">
        <v>4697</v>
      </c>
      <c r="K333" s="5">
        <v>0.27208856717053437</v>
      </c>
      <c r="L333" s="5">
        <v>2.0225675963380881E-2</v>
      </c>
    </row>
    <row r="334" spans="7:12">
      <c r="G334" t="s">
        <v>895</v>
      </c>
      <c r="H334" t="s">
        <v>103</v>
      </c>
      <c r="I334" t="s">
        <v>422</v>
      </c>
      <c r="J334" s="4">
        <v>5139</v>
      </c>
      <c r="K334" s="5">
        <v>0.27164818057987933</v>
      </c>
      <c r="L334" s="5">
        <v>5.4485308425763768E-3</v>
      </c>
    </row>
    <row r="335" spans="7:12">
      <c r="G335" t="s">
        <v>896</v>
      </c>
      <c r="H335" t="s">
        <v>416</v>
      </c>
      <c r="I335" t="s">
        <v>215</v>
      </c>
      <c r="J335" s="4">
        <v>1745</v>
      </c>
      <c r="K335" s="5">
        <v>0.27163323782234955</v>
      </c>
      <c r="L335" s="5">
        <v>6.3037249283667621E-3</v>
      </c>
    </row>
    <row r="336" spans="7:12">
      <c r="G336" t="s">
        <v>897</v>
      </c>
      <c r="H336" t="s">
        <v>103</v>
      </c>
      <c r="I336" t="s">
        <v>160</v>
      </c>
      <c r="J336" s="4">
        <v>9782</v>
      </c>
      <c r="K336" s="5">
        <v>0.27162134532815374</v>
      </c>
      <c r="L336" s="5">
        <v>1.7378859129012471E-2</v>
      </c>
    </row>
    <row r="337" spans="7:12">
      <c r="G337" t="s">
        <v>898</v>
      </c>
      <c r="H337" t="s">
        <v>95</v>
      </c>
      <c r="I337" t="s">
        <v>160</v>
      </c>
      <c r="J337" s="4">
        <v>7891</v>
      </c>
      <c r="K337" s="5">
        <v>0.27144848561652518</v>
      </c>
      <c r="L337" s="5">
        <v>1.5714104676213408E-2</v>
      </c>
    </row>
    <row r="338" spans="7:12">
      <c r="G338" t="s">
        <v>899</v>
      </c>
      <c r="H338" t="s">
        <v>85</v>
      </c>
      <c r="I338" t="s">
        <v>189</v>
      </c>
      <c r="J338" s="4">
        <v>5644</v>
      </c>
      <c r="K338" s="5">
        <v>0.27143869596031184</v>
      </c>
      <c r="L338" s="5">
        <v>1.0807937632884479E-2</v>
      </c>
    </row>
    <row r="339" spans="7:12">
      <c r="G339" t="s">
        <v>900</v>
      </c>
      <c r="H339" t="s">
        <v>390</v>
      </c>
      <c r="I339" t="s">
        <v>149</v>
      </c>
      <c r="J339" s="4">
        <v>1098</v>
      </c>
      <c r="K339" s="5">
        <v>0.27140255009107467</v>
      </c>
      <c r="L339" s="5">
        <v>8.1967213114754103E-3</v>
      </c>
    </row>
    <row r="340" spans="7:12">
      <c r="G340" t="s">
        <v>901</v>
      </c>
      <c r="H340" t="s">
        <v>218</v>
      </c>
      <c r="I340" t="s">
        <v>80</v>
      </c>
      <c r="J340" s="4">
        <v>22293</v>
      </c>
      <c r="K340" s="5">
        <v>0.27138563674696092</v>
      </c>
      <c r="L340" s="5">
        <v>1.2918853451756156E-2</v>
      </c>
    </row>
    <row r="341" spans="7:12">
      <c r="G341" t="s">
        <v>902</v>
      </c>
      <c r="H341" t="s">
        <v>140</v>
      </c>
      <c r="I341" t="s">
        <v>366</v>
      </c>
      <c r="J341" s="4">
        <v>1113</v>
      </c>
      <c r="K341" s="5">
        <v>0.27133872416891286</v>
      </c>
      <c r="L341" s="5">
        <v>5.6603773584905662E-2</v>
      </c>
    </row>
    <row r="342" spans="7:12">
      <c r="G342" t="s">
        <v>903</v>
      </c>
      <c r="H342" t="s">
        <v>100</v>
      </c>
      <c r="I342" t="s">
        <v>137</v>
      </c>
      <c r="J342" s="4">
        <v>11096</v>
      </c>
      <c r="K342" s="5">
        <v>0.27126892573900507</v>
      </c>
      <c r="L342" s="5">
        <v>1.6943042537851477E-2</v>
      </c>
    </row>
    <row r="343" spans="7:12">
      <c r="G343" t="s">
        <v>904</v>
      </c>
      <c r="H343" t="s">
        <v>360</v>
      </c>
      <c r="I343" t="s">
        <v>89</v>
      </c>
      <c r="J343" s="4">
        <v>3394</v>
      </c>
      <c r="K343" s="5">
        <v>0.27077195050088393</v>
      </c>
      <c r="L343" s="5">
        <v>2.357100766057749E-2</v>
      </c>
    </row>
    <row r="344" spans="7:12">
      <c r="G344" t="s">
        <v>905</v>
      </c>
      <c r="H344" t="s">
        <v>346</v>
      </c>
      <c r="I344" t="s">
        <v>140</v>
      </c>
      <c r="J344" s="4">
        <v>4765</v>
      </c>
      <c r="K344" s="5">
        <v>0.2707240293809024</v>
      </c>
      <c r="L344" s="5">
        <v>2.5813221406086044E-2</v>
      </c>
    </row>
    <row r="345" spans="7:12">
      <c r="G345" t="s">
        <v>906</v>
      </c>
      <c r="H345" t="s">
        <v>100</v>
      </c>
      <c r="I345" t="s">
        <v>80</v>
      </c>
      <c r="J345" s="4">
        <v>9860</v>
      </c>
      <c r="K345" s="5">
        <v>0.27068965517241378</v>
      </c>
      <c r="L345" s="5">
        <v>1.4807302231237322E-2</v>
      </c>
    </row>
    <row r="346" spans="7:12">
      <c r="G346" t="s">
        <v>907</v>
      </c>
      <c r="H346" t="s">
        <v>463</v>
      </c>
      <c r="I346" t="s">
        <v>89</v>
      </c>
      <c r="J346" s="4">
        <v>1101</v>
      </c>
      <c r="K346" s="5">
        <v>0.2706630336058129</v>
      </c>
      <c r="L346" s="5">
        <v>2.7247956403269754E-3</v>
      </c>
    </row>
    <row r="347" spans="7:12">
      <c r="G347" t="s">
        <v>908</v>
      </c>
      <c r="H347" t="s">
        <v>97</v>
      </c>
      <c r="I347" t="s">
        <v>95</v>
      </c>
      <c r="J347" s="4">
        <v>3126</v>
      </c>
      <c r="K347" s="5">
        <v>0.2706333973128599</v>
      </c>
      <c r="L347" s="5">
        <v>1.3435700575815739E-2</v>
      </c>
    </row>
    <row r="348" spans="7:12">
      <c r="G348" t="s">
        <v>909</v>
      </c>
      <c r="H348" t="s">
        <v>182</v>
      </c>
      <c r="I348" t="s">
        <v>416</v>
      </c>
      <c r="J348" s="4">
        <v>1808</v>
      </c>
      <c r="K348" s="5">
        <v>0.27046460176991149</v>
      </c>
      <c r="L348" s="5">
        <v>4.4247787610619468E-3</v>
      </c>
    </row>
    <row r="349" spans="7:12">
      <c r="G349" t="s">
        <v>910</v>
      </c>
      <c r="H349" t="s">
        <v>215</v>
      </c>
      <c r="I349" t="s">
        <v>495</v>
      </c>
      <c r="J349" s="4">
        <v>8632</v>
      </c>
      <c r="K349" s="5">
        <v>0.27027340129749766</v>
      </c>
      <c r="L349" s="5">
        <v>8.804448563484708E-3</v>
      </c>
    </row>
    <row r="350" spans="7:12">
      <c r="G350" t="s">
        <v>911</v>
      </c>
      <c r="H350" t="s">
        <v>121</v>
      </c>
      <c r="I350" t="s">
        <v>137</v>
      </c>
      <c r="J350" s="4">
        <v>4648</v>
      </c>
      <c r="K350" s="5">
        <v>0.27022375215146299</v>
      </c>
      <c r="L350" s="5">
        <v>1.6996557659208263E-2</v>
      </c>
    </row>
    <row r="351" spans="7:12">
      <c r="G351" t="s">
        <v>912</v>
      </c>
      <c r="H351" t="s">
        <v>103</v>
      </c>
      <c r="I351" t="s">
        <v>80</v>
      </c>
      <c r="J351" s="4">
        <v>4937</v>
      </c>
      <c r="K351" s="5">
        <v>0.27020457767875228</v>
      </c>
      <c r="L351" s="5">
        <v>9.5199513874822759E-3</v>
      </c>
    </row>
    <row r="352" spans="7:12">
      <c r="G352" t="s">
        <v>913</v>
      </c>
      <c r="H352" t="s">
        <v>136</v>
      </c>
      <c r="I352" t="s">
        <v>398</v>
      </c>
      <c r="J352" s="4">
        <v>1792</v>
      </c>
      <c r="K352" s="5">
        <v>0.2700892857142857</v>
      </c>
      <c r="L352" s="5">
        <v>6.138392857142857E-3</v>
      </c>
    </row>
    <row r="353" spans="7:12">
      <c r="G353" t="s">
        <v>914</v>
      </c>
      <c r="H353" t="s">
        <v>89</v>
      </c>
      <c r="I353" t="s">
        <v>236</v>
      </c>
      <c r="J353" s="4">
        <v>6702</v>
      </c>
      <c r="K353" s="5">
        <v>0.27006863622799165</v>
      </c>
      <c r="L353" s="5">
        <v>2.1784541927782751E-2</v>
      </c>
    </row>
    <row r="354" spans="7:12">
      <c r="G354" t="s">
        <v>915</v>
      </c>
      <c r="H354" t="s">
        <v>85</v>
      </c>
      <c r="I354" t="s">
        <v>160</v>
      </c>
      <c r="J354" s="4">
        <v>1389</v>
      </c>
      <c r="K354" s="5">
        <v>0.26997840172786175</v>
      </c>
      <c r="L354" s="5">
        <v>1.4398848092152628E-2</v>
      </c>
    </row>
    <row r="355" spans="7:12">
      <c r="G355" t="s">
        <v>916</v>
      </c>
      <c r="H355" t="s">
        <v>372</v>
      </c>
      <c r="I355" t="s">
        <v>89</v>
      </c>
      <c r="J355" s="4">
        <v>7357</v>
      </c>
      <c r="K355" s="5">
        <v>0.26981106429251056</v>
      </c>
      <c r="L355" s="5">
        <v>2.460241946445562E-2</v>
      </c>
    </row>
    <row r="356" spans="7:12">
      <c r="G356" t="s">
        <v>917</v>
      </c>
      <c r="H356" t="s">
        <v>118</v>
      </c>
      <c r="I356" t="s">
        <v>178</v>
      </c>
      <c r="J356" s="4">
        <v>6101</v>
      </c>
      <c r="K356" s="5">
        <v>0.26979183740370433</v>
      </c>
      <c r="L356" s="5">
        <v>2.3274872971643993E-2</v>
      </c>
    </row>
    <row r="357" spans="7:12">
      <c r="G357" t="s">
        <v>918</v>
      </c>
      <c r="H357" t="s">
        <v>136</v>
      </c>
      <c r="I357" t="s">
        <v>162</v>
      </c>
      <c r="J357" s="4">
        <v>4101</v>
      </c>
      <c r="K357" s="5">
        <v>0.26969031943428434</v>
      </c>
      <c r="L357" s="5">
        <v>1.1216776396000975E-2</v>
      </c>
    </row>
    <row r="358" spans="7:12">
      <c r="G358" t="s">
        <v>919</v>
      </c>
      <c r="H358" t="s">
        <v>121</v>
      </c>
      <c r="I358" t="s">
        <v>149</v>
      </c>
      <c r="J358" s="4">
        <v>6549</v>
      </c>
      <c r="K358" s="5">
        <v>0.26965948999847306</v>
      </c>
      <c r="L358" s="5">
        <v>2.3362345396243701E-2</v>
      </c>
    </row>
    <row r="359" spans="7:12">
      <c r="G359" t="s">
        <v>920</v>
      </c>
      <c r="H359" t="s">
        <v>95</v>
      </c>
      <c r="I359" t="s">
        <v>126</v>
      </c>
      <c r="J359" s="4">
        <v>1948</v>
      </c>
      <c r="K359" s="5">
        <v>0.26950718685831621</v>
      </c>
      <c r="L359" s="5">
        <v>2.1047227926078028E-2</v>
      </c>
    </row>
    <row r="360" spans="7:12">
      <c r="G360" t="s">
        <v>921</v>
      </c>
      <c r="H360" t="s">
        <v>400</v>
      </c>
      <c r="I360" t="s">
        <v>226</v>
      </c>
      <c r="J360" s="4">
        <v>3994</v>
      </c>
      <c r="K360" s="5">
        <v>0.26940410615923888</v>
      </c>
      <c r="L360" s="5">
        <v>1.9779669504256383E-2</v>
      </c>
    </row>
    <row r="361" spans="7:12">
      <c r="G361" t="s">
        <v>922</v>
      </c>
      <c r="H361" t="s">
        <v>103</v>
      </c>
      <c r="I361" t="s">
        <v>131</v>
      </c>
      <c r="J361" s="4">
        <v>24767</v>
      </c>
      <c r="K361" s="5">
        <v>0.26918883998869464</v>
      </c>
      <c r="L361" s="5">
        <v>1.1951386926151735E-2</v>
      </c>
    </row>
    <row r="362" spans="7:12">
      <c r="G362" t="s">
        <v>923</v>
      </c>
      <c r="H362" t="s">
        <v>268</v>
      </c>
      <c r="I362" t="s">
        <v>414</v>
      </c>
      <c r="J362" s="4">
        <v>1074</v>
      </c>
      <c r="K362" s="5">
        <v>0.26908752327746743</v>
      </c>
      <c r="L362" s="5">
        <v>3.7243947858472998E-3</v>
      </c>
    </row>
    <row r="363" spans="7:12">
      <c r="G363" t="s">
        <v>924</v>
      </c>
      <c r="H363" t="s">
        <v>162</v>
      </c>
      <c r="I363" t="s">
        <v>202</v>
      </c>
      <c r="J363" s="4">
        <v>8409</v>
      </c>
      <c r="K363" s="5">
        <v>0.2689975026757046</v>
      </c>
      <c r="L363" s="5">
        <v>1.9740753954096801E-2</v>
      </c>
    </row>
    <row r="364" spans="7:12">
      <c r="G364" t="s">
        <v>925</v>
      </c>
      <c r="H364" t="s">
        <v>162</v>
      </c>
      <c r="I364" t="s">
        <v>189</v>
      </c>
      <c r="J364" s="4">
        <v>4796</v>
      </c>
      <c r="K364" s="5">
        <v>0.26897414512093409</v>
      </c>
      <c r="L364" s="5">
        <v>9.7998331943286079E-3</v>
      </c>
    </row>
    <row r="365" spans="7:12">
      <c r="G365" t="s">
        <v>926</v>
      </c>
      <c r="H365" t="s">
        <v>100</v>
      </c>
      <c r="I365" t="s">
        <v>374</v>
      </c>
      <c r="J365" s="4">
        <v>2335</v>
      </c>
      <c r="K365" s="5">
        <v>0.26895074946466807</v>
      </c>
      <c r="L365" s="5">
        <v>1.3276231263383297E-2</v>
      </c>
    </row>
    <row r="366" spans="7:12">
      <c r="G366" t="s">
        <v>927</v>
      </c>
      <c r="H366" t="s">
        <v>928</v>
      </c>
      <c r="I366" t="s">
        <v>103</v>
      </c>
      <c r="J366" s="4">
        <v>1596</v>
      </c>
      <c r="K366" s="5">
        <v>0.26879699248120303</v>
      </c>
      <c r="L366" s="5">
        <v>1.7543859649122806E-2</v>
      </c>
    </row>
    <row r="367" spans="7:12">
      <c r="G367" t="s">
        <v>929</v>
      </c>
      <c r="H367" t="s">
        <v>85</v>
      </c>
      <c r="I367" t="s">
        <v>134</v>
      </c>
      <c r="J367" s="4">
        <v>10032</v>
      </c>
      <c r="K367" s="5">
        <v>0.26874003189792661</v>
      </c>
      <c r="L367" s="5">
        <v>1.7543859649122806E-2</v>
      </c>
    </row>
    <row r="368" spans="7:12">
      <c r="G368" t="s">
        <v>930</v>
      </c>
      <c r="H368" t="s">
        <v>77</v>
      </c>
      <c r="I368" t="s">
        <v>103</v>
      </c>
      <c r="J368" s="4">
        <v>8009</v>
      </c>
      <c r="K368" s="5">
        <v>0.26869771507054563</v>
      </c>
      <c r="L368" s="5">
        <v>6.0556873517293046E-2</v>
      </c>
    </row>
    <row r="369" spans="7:12">
      <c r="G369" t="s">
        <v>931</v>
      </c>
      <c r="H369" t="s">
        <v>103</v>
      </c>
      <c r="I369" t="s">
        <v>414</v>
      </c>
      <c r="J369" s="4">
        <v>5297</v>
      </c>
      <c r="K369" s="5">
        <v>0.26864262790258636</v>
      </c>
      <c r="L369" s="5">
        <v>6.0411553709646968E-3</v>
      </c>
    </row>
    <row r="370" spans="7:12">
      <c r="G370" t="s">
        <v>932</v>
      </c>
      <c r="H370" t="s">
        <v>89</v>
      </c>
      <c r="I370" t="s">
        <v>414</v>
      </c>
      <c r="J370" s="4">
        <v>5230</v>
      </c>
      <c r="K370" s="5">
        <v>0.26864244741873805</v>
      </c>
      <c r="L370" s="5">
        <v>1.8738049713193115E-2</v>
      </c>
    </row>
    <row r="371" spans="7:12">
      <c r="G371" t="s">
        <v>933</v>
      </c>
      <c r="H371" t="s">
        <v>160</v>
      </c>
      <c r="I371" t="s">
        <v>100</v>
      </c>
      <c r="J371" s="4">
        <v>1128</v>
      </c>
      <c r="K371" s="5">
        <v>0.26861702127659576</v>
      </c>
      <c r="L371" s="5">
        <v>4.4326241134751776E-3</v>
      </c>
    </row>
    <row r="372" spans="7:12">
      <c r="G372" t="s">
        <v>934</v>
      </c>
      <c r="H372" t="s">
        <v>80</v>
      </c>
      <c r="I372" t="s">
        <v>95</v>
      </c>
      <c r="J372" s="4">
        <v>3954</v>
      </c>
      <c r="K372" s="5">
        <v>0.26858877086494687</v>
      </c>
      <c r="L372" s="5">
        <v>1.1380880121396054E-2</v>
      </c>
    </row>
    <row r="373" spans="7:12">
      <c r="G373" t="s">
        <v>935</v>
      </c>
      <c r="H373" t="s">
        <v>410</v>
      </c>
      <c r="I373" t="s">
        <v>80</v>
      </c>
      <c r="J373" s="4">
        <v>1229</v>
      </c>
      <c r="K373" s="5">
        <v>0.26851098454027666</v>
      </c>
      <c r="L373" s="5">
        <v>1.627339300244101E-2</v>
      </c>
    </row>
    <row r="374" spans="7:12">
      <c r="G374" t="s">
        <v>936</v>
      </c>
      <c r="H374" t="s">
        <v>131</v>
      </c>
      <c r="I374" t="s">
        <v>95</v>
      </c>
      <c r="J374" s="4">
        <v>4277</v>
      </c>
      <c r="K374" s="5">
        <v>0.26841243862520459</v>
      </c>
      <c r="L374" s="5">
        <v>9.8199672667757774E-3</v>
      </c>
    </row>
    <row r="375" spans="7:12">
      <c r="G375" t="s">
        <v>937</v>
      </c>
      <c r="H375" t="s">
        <v>100</v>
      </c>
      <c r="I375" t="s">
        <v>358</v>
      </c>
      <c r="J375" s="4">
        <v>5642</v>
      </c>
      <c r="K375" s="5">
        <v>0.26816731655441334</v>
      </c>
      <c r="L375" s="5">
        <v>1.2406947890818859E-2</v>
      </c>
    </row>
    <row r="376" spans="7:12">
      <c r="G376" t="s">
        <v>938</v>
      </c>
      <c r="H376" t="s">
        <v>85</v>
      </c>
      <c r="I376" t="s">
        <v>322</v>
      </c>
      <c r="J376" s="4">
        <v>4971</v>
      </c>
      <c r="K376" s="5">
        <v>0.26815530074431704</v>
      </c>
      <c r="L376" s="5">
        <v>1.2472339569503117E-2</v>
      </c>
    </row>
    <row r="377" spans="7:12">
      <c r="G377" t="s">
        <v>939</v>
      </c>
      <c r="H377" t="s">
        <v>89</v>
      </c>
      <c r="I377" t="s">
        <v>489</v>
      </c>
      <c r="J377" s="4">
        <v>3898</v>
      </c>
      <c r="K377" s="5">
        <v>0.26808619805028222</v>
      </c>
      <c r="L377" s="5">
        <v>1.4366341713699333E-2</v>
      </c>
    </row>
    <row r="378" spans="7:12">
      <c r="G378" t="s">
        <v>940</v>
      </c>
      <c r="H378" t="s">
        <v>123</v>
      </c>
      <c r="I378" t="s">
        <v>118</v>
      </c>
      <c r="J378" s="4">
        <v>4700</v>
      </c>
      <c r="K378" s="5">
        <v>0.26808510638297872</v>
      </c>
      <c r="L378" s="5">
        <v>2.3404255319148935E-2</v>
      </c>
    </row>
    <row r="379" spans="7:12">
      <c r="G379" t="s">
        <v>941</v>
      </c>
      <c r="H379" t="s">
        <v>189</v>
      </c>
      <c r="I379" t="s">
        <v>162</v>
      </c>
      <c r="J379" s="4">
        <v>4794</v>
      </c>
      <c r="K379" s="5">
        <v>0.26804338756779306</v>
      </c>
      <c r="L379" s="5">
        <v>1.2724238631622862E-2</v>
      </c>
    </row>
    <row r="380" spans="7:12">
      <c r="G380" t="s">
        <v>942</v>
      </c>
      <c r="H380" t="s">
        <v>136</v>
      </c>
      <c r="I380" t="s">
        <v>347</v>
      </c>
      <c r="J380" s="4">
        <v>1164</v>
      </c>
      <c r="K380" s="5">
        <v>0.26804123711340205</v>
      </c>
      <c r="L380" s="5">
        <v>9.4501718213058413E-3</v>
      </c>
    </row>
    <row r="381" spans="7:12">
      <c r="G381" t="s">
        <v>943</v>
      </c>
      <c r="H381" t="s">
        <v>218</v>
      </c>
      <c r="I381" t="s">
        <v>77</v>
      </c>
      <c r="J381" s="4">
        <v>1127</v>
      </c>
      <c r="K381" s="5">
        <v>0.26796805678793256</v>
      </c>
      <c r="L381" s="5">
        <v>1.5084294587400177E-2</v>
      </c>
    </row>
    <row r="382" spans="7:12">
      <c r="G382" t="s">
        <v>944</v>
      </c>
      <c r="H382" t="s">
        <v>100</v>
      </c>
      <c r="I382" t="s">
        <v>408</v>
      </c>
      <c r="J382" s="4">
        <v>5573</v>
      </c>
      <c r="K382" s="5">
        <v>0.26771936120581374</v>
      </c>
      <c r="L382" s="5">
        <v>1.1304503857886236E-2</v>
      </c>
    </row>
    <row r="383" spans="7:12">
      <c r="G383" t="s">
        <v>945</v>
      </c>
      <c r="H383" t="s">
        <v>80</v>
      </c>
      <c r="I383" t="s">
        <v>215</v>
      </c>
      <c r="J383" s="4">
        <v>2729</v>
      </c>
      <c r="K383" s="5">
        <v>0.26749725174056432</v>
      </c>
      <c r="L383" s="5">
        <v>2.1986075485525832E-2</v>
      </c>
    </row>
    <row r="384" spans="7:12">
      <c r="G384" t="s">
        <v>946</v>
      </c>
      <c r="H384" t="s">
        <v>131</v>
      </c>
      <c r="I384" t="s">
        <v>404</v>
      </c>
      <c r="J384" s="4">
        <v>2244</v>
      </c>
      <c r="K384" s="5">
        <v>0.26693404634581103</v>
      </c>
      <c r="L384" s="5">
        <v>6.2388591800356507E-3</v>
      </c>
    </row>
    <row r="385" spans="7:12">
      <c r="G385" t="s">
        <v>947</v>
      </c>
      <c r="H385" t="s">
        <v>134</v>
      </c>
      <c r="I385" t="s">
        <v>352</v>
      </c>
      <c r="J385" s="4">
        <v>1536</v>
      </c>
      <c r="K385" s="5">
        <v>0.26692708333333331</v>
      </c>
      <c r="L385" s="5">
        <v>2.0182291666666668E-2</v>
      </c>
    </row>
    <row r="386" spans="7:12">
      <c r="G386" t="s">
        <v>948</v>
      </c>
      <c r="H386" t="s">
        <v>218</v>
      </c>
      <c r="I386" t="s">
        <v>140</v>
      </c>
      <c r="J386" s="4">
        <v>18069</v>
      </c>
      <c r="K386" s="5">
        <v>0.26686590292766615</v>
      </c>
      <c r="L386" s="5">
        <v>2.324423044994189E-2</v>
      </c>
    </row>
    <row r="387" spans="7:12">
      <c r="G387" t="s">
        <v>949</v>
      </c>
      <c r="H387" t="s">
        <v>89</v>
      </c>
      <c r="I387" t="s">
        <v>140</v>
      </c>
      <c r="J387" s="4">
        <v>10789</v>
      </c>
      <c r="K387" s="5">
        <v>0.26684586152562795</v>
      </c>
      <c r="L387" s="5">
        <v>2.6601167856149781E-2</v>
      </c>
    </row>
    <row r="388" spans="7:12">
      <c r="G388" t="s">
        <v>950</v>
      </c>
      <c r="H388" t="s">
        <v>103</v>
      </c>
      <c r="I388" t="s">
        <v>466</v>
      </c>
      <c r="J388" s="4">
        <v>8459</v>
      </c>
      <c r="K388" s="5">
        <v>0.2668164085589313</v>
      </c>
      <c r="L388" s="5">
        <v>7.9205579855774911E-3</v>
      </c>
    </row>
    <row r="389" spans="7:12">
      <c r="G389" t="s">
        <v>951</v>
      </c>
      <c r="H389" t="s">
        <v>317</v>
      </c>
      <c r="I389" t="s">
        <v>118</v>
      </c>
      <c r="J389" s="4">
        <v>2273</v>
      </c>
      <c r="K389" s="5">
        <v>0.26660800703915533</v>
      </c>
      <c r="L389" s="5">
        <v>1.4518257809062912E-2</v>
      </c>
    </row>
    <row r="390" spans="7:12">
      <c r="G390" t="s">
        <v>952</v>
      </c>
      <c r="H390" t="s">
        <v>103</v>
      </c>
      <c r="I390" t="s">
        <v>137</v>
      </c>
      <c r="J390" s="4">
        <v>8763</v>
      </c>
      <c r="K390" s="5">
        <v>0.26657537373045759</v>
      </c>
      <c r="L390" s="5">
        <v>1.1411617026132604E-2</v>
      </c>
    </row>
    <row r="391" spans="7:12">
      <c r="G391" t="s">
        <v>953</v>
      </c>
      <c r="H391" t="s">
        <v>100</v>
      </c>
      <c r="I391" t="s">
        <v>259</v>
      </c>
      <c r="J391" s="4">
        <v>16271</v>
      </c>
      <c r="K391" s="5">
        <v>0.26617909163542497</v>
      </c>
      <c r="L391" s="5">
        <v>2.3969024645074059E-2</v>
      </c>
    </row>
    <row r="392" spans="7:12">
      <c r="G392" t="s">
        <v>954</v>
      </c>
      <c r="H392" t="s">
        <v>140</v>
      </c>
      <c r="I392" t="s">
        <v>352</v>
      </c>
      <c r="J392" s="4">
        <v>1642</v>
      </c>
      <c r="K392" s="5">
        <v>0.26613885505481122</v>
      </c>
      <c r="L392" s="5">
        <v>3.2277710109622409E-2</v>
      </c>
    </row>
    <row r="393" spans="7:12">
      <c r="G393" t="s">
        <v>955</v>
      </c>
      <c r="H393" t="s">
        <v>254</v>
      </c>
      <c r="I393" t="s">
        <v>89</v>
      </c>
      <c r="J393" s="4">
        <v>3880</v>
      </c>
      <c r="K393" s="5">
        <v>0.26597938144329897</v>
      </c>
      <c r="L393" s="5">
        <v>2.88659793814433E-2</v>
      </c>
    </row>
    <row r="394" spans="7:12">
      <c r="G394" t="s">
        <v>956</v>
      </c>
      <c r="H394" t="s">
        <v>118</v>
      </c>
      <c r="I394" t="s">
        <v>152</v>
      </c>
      <c r="J394" s="4">
        <v>2256</v>
      </c>
      <c r="K394" s="5">
        <v>0.26595744680851063</v>
      </c>
      <c r="L394" s="5">
        <v>2.1276595744680851E-2</v>
      </c>
    </row>
    <row r="395" spans="7:12">
      <c r="G395" t="s">
        <v>957</v>
      </c>
      <c r="H395" t="s">
        <v>103</v>
      </c>
      <c r="I395" t="s">
        <v>278</v>
      </c>
      <c r="J395" s="4">
        <v>2181</v>
      </c>
      <c r="K395" s="5">
        <v>0.26593305823016966</v>
      </c>
      <c r="L395" s="5">
        <v>1.0087116001834021E-2</v>
      </c>
    </row>
    <row r="396" spans="7:12">
      <c r="G396" t="s">
        <v>958</v>
      </c>
      <c r="H396" t="s">
        <v>165</v>
      </c>
      <c r="I396" t="s">
        <v>202</v>
      </c>
      <c r="J396" s="4">
        <v>1538</v>
      </c>
      <c r="K396" s="5">
        <v>0.26592977893368008</v>
      </c>
      <c r="L396" s="5">
        <v>2.4057217165149546E-2</v>
      </c>
    </row>
    <row r="397" spans="7:12">
      <c r="G397" t="s">
        <v>959</v>
      </c>
      <c r="H397" t="s">
        <v>85</v>
      </c>
      <c r="I397" t="s">
        <v>233</v>
      </c>
      <c r="J397" s="4">
        <v>7128</v>
      </c>
      <c r="K397" s="5">
        <v>0.26585297418630754</v>
      </c>
      <c r="L397" s="5">
        <v>1.1363636363636364E-2</v>
      </c>
    </row>
    <row r="398" spans="7:12">
      <c r="G398" t="s">
        <v>960</v>
      </c>
      <c r="H398" t="s">
        <v>221</v>
      </c>
      <c r="I398" t="s">
        <v>89</v>
      </c>
      <c r="J398" s="4">
        <v>8791</v>
      </c>
      <c r="K398" s="5">
        <v>0.26584006370151292</v>
      </c>
      <c r="L398" s="5">
        <v>2.5594357865999319E-2</v>
      </c>
    </row>
    <row r="399" spans="7:12">
      <c r="G399" t="s">
        <v>961</v>
      </c>
      <c r="H399" t="s">
        <v>100</v>
      </c>
      <c r="I399" t="s">
        <v>189</v>
      </c>
      <c r="J399" s="4">
        <v>5543</v>
      </c>
      <c r="K399" s="5">
        <v>0.26574057369655424</v>
      </c>
      <c r="L399" s="5">
        <v>1.0824463287028685E-2</v>
      </c>
    </row>
    <row r="400" spans="7:12">
      <c r="G400" t="s">
        <v>962</v>
      </c>
      <c r="H400" t="s">
        <v>226</v>
      </c>
      <c r="I400" t="s">
        <v>131</v>
      </c>
      <c r="J400" s="4">
        <v>17459</v>
      </c>
      <c r="K400" s="5">
        <v>0.26570823071195371</v>
      </c>
      <c r="L400" s="5">
        <v>1.1627240964545506E-2</v>
      </c>
    </row>
    <row r="401" spans="7:12">
      <c r="G401" t="s">
        <v>963</v>
      </c>
      <c r="H401" t="s">
        <v>103</v>
      </c>
      <c r="I401" t="s">
        <v>140</v>
      </c>
      <c r="J401" s="4">
        <v>9563</v>
      </c>
      <c r="K401" s="5">
        <v>0.26560702708355116</v>
      </c>
      <c r="L401" s="5">
        <v>2.0600230053330545E-2</v>
      </c>
    </row>
    <row r="402" spans="7:12">
      <c r="G402" t="s">
        <v>964</v>
      </c>
      <c r="H402" t="s">
        <v>313</v>
      </c>
      <c r="I402" t="s">
        <v>89</v>
      </c>
      <c r="J402" s="4">
        <v>3167</v>
      </c>
      <c r="K402" s="5">
        <v>0.26555099463214399</v>
      </c>
      <c r="L402" s="5">
        <v>2.3365961477739186E-2</v>
      </c>
    </row>
    <row r="403" spans="7:12">
      <c r="G403" t="s">
        <v>965</v>
      </c>
      <c r="H403" t="s">
        <v>182</v>
      </c>
      <c r="I403" t="s">
        <v>95</v>
      </c>
      <c r="J403" s="4">
        <v>2075</v>
      </c>
      <c r="K403" s="5">
        <v>0.26554216867469882</v>
      </c>
      <c r="L403" s="5">
        <v>1.6385542168674699E-2</v>
      </c>
    </row>
    <row r="404" spans="7:12">
      <c r="G404" t="s">
        <v>966</v>
      </c>
      <c r="H404" t="s">
        <v>89</v>
      </c>
      <c r="I404" t="s">
        <v>362</v>
      </c>
      <c r="J404" s="4">
        <v>3702</v>
      </c>
      <c r="K404" s="5">
        <v>0.26553214478660181</v>
      </c>
      <c r="L404" s="5">
        <v>1.917882225823879E-2</v>
      </c>
    </row>
    <row r="405" spans="7:12">
      <c r="G405" t="s">
        <v>967</v>
      </c>
      <c r="H405" t="s">
        <v>85</v>
      </c>
      <c r="I405" t="s">
        <v>95</v>
      </c>
      <c r="J405" s="4">
        <v>11476</v>
      </c>
      <c r="K405" s="5">
        <v>0.26551063088184035</v>
      </c>
      <c r="L405" s="5">
        <v>1.4900662251655629E-2</v>
      </c>
    </row>
    <row r="406" spans="7:12">
      <c r="G406" t="s">
        <v>968</v>
      </c>
      <c r="H406" t="s">
        <v>463</v>
      </c>
      <c r="I406" t="s">
        <v>670</v>
      </c>
      <c r="J406" s="4">
        <v>1085</v>
      </c>
      <c r="K406" s="5">
        <v>0.26543778801843321</v>
      </c>
      <c r="L406" s="5">
        <v>3.3179723502304151E-2</v>
      </c>
    </row>
    <row r="407" spans="7:12">
      <c r="G407" t="s">
        <v>969</v>
      </c>
      <c r="H407" t="s">
        <v>368</v>
      </c>
      <c r="I407" t="s">
        <v>204</v>
      </c>
      <c r="J407" s="4">
        <v>1688</v>
      </c>
      <c r="K407" s="5">
        <v>0.26540284360189575</v>
      </c>
      <c r="L407" s="5">
        <v>3.5545023696682464E-2</v>
      </c>
    </row>
    <row r="408" spans="7:12">
      <c r="G408" t="s">
        <v>970</v>
      </c>
      <c r="H408" t="s">
        <v>134</v>
      </c>
      <c r="I408" t="s">
        <v>455</v>
      </c>
      <c r="J408" s="4">
        <v>1594</v>
      </c>
      <c r="K408" s="5">
        <v>0.26537013801756587</v>
      </c>
      <c r="L408" s="5">
        <v>9.4102885821831864E-3</v>
      </c>
    </row>
    <row r="409" spans="7:12">
      <c r="G409" t="s">
        <v>971</v>
      </c>
      <c r="H409" t="s">
        <v>77</v>
      </c>
      <c r="I409" t="s">
        <v>370</v>
      </c>
      <c r="J409" s="4">
        <v>3241</v>
      </c>
      <c r="K409" s="5">
        <v>0.26535020055538416</v>
      </c>
      <c r="L409" s="5">
        <v>6.6646096883677883E-2</v>
      </c>
    </row>
    <row r="410" spans="7:12">
      <c r="G410" t="s">
        <v>972</v>
      </c>
      <c r="H410" t="s">
        <v>103</v>
      </c>
      <c r="I410" t="s">
        <v>372</v>
      </c>
      <c r="J410" s="4">
        <v>3765</v>
      </c>
      <c r="K410" s="5">
        <v>0.26533864541832669</v>
      </c>
      <c r="L410" s="5">
        <v>7.9681274900398405E-3</v>
      </c>
    </row>
    <row r="411" spans="7:12">
      <c r="G411" t="s">
        <v>973</v>
      </c>
      <c r="H411" t="s">
        <v>103</v>
      </c>
      <c r="I411" t="s">
        <v>202</v>
      </c>
      <c r="J411" s="4">
        <v>9602</v>
      </c>
      <c r="K411" s="5">
        <v>0.26525723807540097</v>
      </c>
      <c r="L411" s="5">
        <v>1.3226411164340762E-2</v>
      </c>
    </row>
    <row r="412" spans="7:12">
      <c r="G412" t="s">
        <v>974</v>
      </c>
      <c r="H412" t="s">
        <v>87</v>
      </c>
      <c r="I412" t="s">
        <v>299</v>
      </c>
      <c r="J412" s="4">
        <v>1135</v>
      </c>
      <c r="K412" s="5">
        <v>0.26519823788546254</v>
      </c>
      <c r="L412" s="5">
        <v>2.6431718061674008E-3</v>
      </c>
    </row>
    <row r="413" spans="7:12">
      <c r="G413" t="s">
        <v>975</v>
      </c>
      <c r="H413" t="s">
        <v>115</v>
      </c>
      <c r="I413" t="s">
        <v>347</v>
      </c>
      <c r="J413" s="4">
        <v>3375</v>
      </c>
      <c r="K413" s="5">
        <v>0.26518518518518519</v>
      </c>
      <c r="L413" s="5">
        <v>8.5925925925925926E-3</v>
      </c>
    </row>
    <row r="414" spans="7:12">
      <c r="G414" t="s">
        <v>976</v>
      </c>
      <c r="H414" t="s">
        <v>317</v>
      </c>
      <c r="I414" t="s">
        <v>204</v>
      </c>
      <c r="J414" s="4">
        <v>1139</v>
      </c>
      <c r="K414" s="5">
        <v>0.26514486391571557</v>
      </c>
      <c r="L414" s="5">
        <v>1.8437225636523266E-2</v>
      </c>
    </row>
    <row r="415" spans="7:12">
      <c r="G415" t="s">
        <v>977</v>
      </c>
      <c r="H415" t="s">
        <v>80</v>
      </c>
      <c r="I415" t="s">
        <v>160</v>
      </c>
      <c r="J415" s="4">
        <v>2331</v>
      </c>
      <c r="K415" s="5">
        <v>0.26512226512226511</v>
      </c>
      <c r="L415" s="5">
        <v>1.4157014157014158E-2</v>
      </c>
    </row>
    <row r="416" spans="7:12">
      <c r="G416" t="s">
        <v>978</v>
      </c>
      <c r="H416" t="s">
        <v>172</v>
      </c>
      <c r="I416" t="s">
        <v>95</v>
      </c>
      <c r="J416" s="4">
        <v>1392</v>
      </c>
      <c r="K416" s="5">
        <v>0.26508620689655171</v>
      </c>
      <c r="L416" s="5">
        <v>1.1494252873563218E-2</v>
      </c>
    </row>
    <row r="417" spans="7:12">
      <c r="G417" t="s">
        <v>979</v>
      </c>
      <c r="H417" t="s">
        <v>80</v>
      </c>
      <c r="I417" t="s">
        <v>288</v>
      </c>
      <c r="J417" s="4">
        <v>1592</v>
      </c>
      <c r="K417" s="5">
        <v>0.26507537688442212</v>
      </c>
      <c r="L417" s="5">
        <v>1.7587939698492462E-2</v>
      </c>
    </row>
    <row r="418" spans="7:12">
      <c r="G418" t="s">
        <v>980</v>
      </c>
      <c r="H418" t="s">
        <v>100</v>
      </c>
      <c r="I418" t="s">
        <v>282</v>
      </c>
      <c r="J418" s="4">
        <v>6664</v>
      </c>
      <c r="K418" s="5">
        <v>0.26500600240096039</v>
      </c>
      <c r="L418" s="5">
        <v>1.2605042016806723E-2</v>
      </c>
    </row>
    <row r="419" spans="7:12">
      <c r="G419" t="s">
        <v>981</v>
      </c>
      <c r="H419" t="s">
        <v>160</v>
      </c>
      <c r="I419" t="s">
        <v>466</v>
      </c>
      <c r="J419" s="4">
        <v>1151</v>
      </c>
      <c r="K419" s="5">
        <v>0.26498696785403997</v>
      </c>
      <c r="L419" s="5">
        <v>8.6880973066898355E-3</v>
      </c>
    </row>
    <row r="420" spans="7:12">
      <c r="G420" t="s">
        <v>982</v>
      </c>
      <c r="H420" t="s">
        <v>358</v>
      </c>
      <c r="I420" t="s">
        <v>131</v>
      </c>
      <c r="J420" s="4">
        <v>2832</v>
      </c>
      <c r="K420" s="5">
        <v>0.26483050847457629</v>
      </c>
      <c r="L420" s="5">
        <v>1.3771186440677966E-2</v>
      </c>
    </row>
    <row r="421" spans="7:12">
      <c r="G421" t="s">
        <v>983</v>
      </c>
      <c r="H421" t="s">
        <v>95</v>
      </c>
      <c r="I421" t="s">
        <v>140</v>
      </c>
      <c r="J421" s="4">
        <v>20421</v>
      </c>
      <c r="K421" s="5">
        <v>0.2647764556094217</v>
      </c>
      <c r="L421" s="5">
        <v>2.3358307624504186E-2</v>
      </c>
    </row>
    <row r="422" spans="7:12">
      <c r="G422" t="s">
        <v>984</v>
      </c>
      <c r="H422" t="s">
        <v>344</v>
      </c>
      <c r="I422" t="s">
        <v>95</v>
      </c>
      <c r="J422" s="4">
        <v>1258</v>
      </c>
      <c r="K422" s="5">
        <v>0.26470588235294118</v>
      </c>
      <c r="L422" s="5">
        <v>3.1001589825119236E-2</v>
      </c>
    </row>
    <row r="423" spans="7:12">
      <c r="G423" t="s">
        <v>985</v>
      </c>
      <c r="H423" t="s">
        <v>118</v>
      </c>
      <c r="I423" t="s">
        <v>137</v>
      </c>
      <c r="J423" s="4">
        <v>13151</v>
      </c>
      <c r="K423" s="5">
        <v>0.26469470002281198</v>
      </c>
      <c r="L423" s="5">
        <v>1.4599650216713557E-2</v>
      </c>
    </row>
    <row r="424" spans="7:12">
      <c r="G424" t="s">
        <v>986</v>
      </c>
      <c r="H424" t="s">
        <v>100</v>
      </c>
      <c r="I424" t="s">
        <v>299</v>
      </c>
      <c r="J424" s="4">
        <v>2974</v>
      </c>
      <c r="K424" s="5">
        <v>0.26462676529926027</v>
      </c>
      <c r="L424" s="5">
        <v>9.4149293880295901E-3</v>
      </c>
    </row>
    <row r="425" spans="7:12">
      <c r="G425" t="s">
        <v>987</v>
      </c>
      <c r="H425" t="s">
        <v>215</v>
      </c>
      <c r="I425" t="s">
        <v>408</v>
      </c>
      <c r="J425" s="4">
        <v>1629</v>
      </c>
      <c r="K425" s="5">
        <v>0.26457949662369551</v>
      </c>
      <c r="L425" s="5">
        <v>9.2081031307550652E-3</v>
      </c>
    </row>
    <row r="426" spans="7:12">
      <c r="G426" t="s">
        <v>988</v>
      </c>
      <c r="H426" t="s">
        <v>189</v>
      </c>
      <c r="I426" t="s">
        <v>455</v>
      </c>
      <c r="J426" s="4">
        <v>1781</v>
      </c>
      <c r="K426" s="5">
        <v>0.26445816956765861</v>
      </c>
      <c r="L426" s="5">
        <v>5.614823133071308E-3</v>
      </c>
    </row>
    <row r="427" spans="7:12">
      <c r="G427" t="s">
        <v>989</v>
      </c>
      <c r="H427" t="s">
        <v>118</v>
      </c>
      <c r="I427" t="s">
        <v>263</v>
      </c>
      <c r="J427" s="4">
        <v>3861</v>
      </c>
      <c r="K427" s="5">
        <v>0.26443926443926447</v>
      </c>
      <c r="L427" s="5">
        <v>1.320901320901321E-2</v>
      </c>
    </row>
    <row r="428" spans="7:12">
      <c r="G428" t="s">
        <v>990</v>
      </c>
      <c r="H428" t="s">
        <v>218</v>
      </c>
      <c r="I428" t="s">
        <v>89</v>
      </c>
      <c r="J428" s="4">
        <v>19525</v>
      </c>
      <c r="K428" s="5">
        <v>0.2644302176696543</v>
      </c>
      <c r="L428" s="5">
        <v>1.884763124199744E-2</v>
      </c>
    </row>
    <row r="429" spans="7:12">
      <c r="G429" t="s">
        <v>991</v>
      </c>
      <c r="H429" t="s">
        <v>103</v>
      </c>
      <c r="I429" t="s">
        <v>495</v>
      </c>
      <c r="J429" s="4">
        <v>1717</v>
      </c>
      <c r="K429" s="5">
        <v>0.26441467676179381</v>
      </c>
      <c r="L429" s="5">
        <v>1.3977868375072802E-2</v>
      </c>
    </row>
    <row r="430" spans="7:12">
      <c r="G430" t="s">
        <v>992</v>
      </c>
      <c r="H430" t="s">
        <v>103</v>
      </c>
      <c r="I430" t="s">
        <v>210</v>
      </c>
      <c r="J430" s="4">
        <v>2497</v>
      </c>
      <c r="K430" s="5">
        <v>0.26431718061674009</v>
      </c>
      <c r="L430" s="5">
        <v>1.0812975570684821E-2</v>
      </c>
    </row>
    <row r="431" spans="7:12">
      <c r="G431" t="s">
        <v>993</v>
      </c>
      <c r="H431" t="s">
        <v>215</v>
      </c>
      <c r="I431" t="s">
        <v>162</v>
      </c>
      <c r="J431" s="4">
        <v>7696</v>
      </c>
      <c r="K431" s="5">
        <v>0.2642931392931393</v>
      </c>
      <c r="L431" s="5">
        <v>7.016632016632017E-3</v>
      </c>
    </row>
    <row r="432" spans="7:12">
      <c r="G432" t="s">
        <v>994</v>
      </c>
      <c r="H432" t="s">
        <v>204</v>
      </c>
      <c r="I432" t="s">
        <v>146</v>
      </c>
      <c r="J432" s="4">
        <v>1033</v>
      </c>
      <c r="K432" s="5">
        <v>0.26427879961277834</v>
      </c>
      <c r="L432" s="5">
        <v>6.5827686350435621E-2</v>
      </c>
    </row>
    <row r="433" spans="7:12">
      <c r="G433" t="s">
        <v>995</v>
      </c>
      <c r="H433" t="s">
        <v>259</v>
      </c>
      <c r="I433" t="s">
        <v>80</v>
      </c>
      <c r="J433" s="4">
        <v>13605</v>
      </c>
      <c r="K433" s="5">
        <v>0.26424108783535466</v>
      </c>
      <c r="L433" s="5">
        <v>2.4035281146637267E-2</v>
      </c>
    </row>
    <row r="434" spans="7:12">
      <c r="G434" t="s">
        <v>996</v>
      </c>
      <c r="H434" t="s">
        <v>103</v>
      </c>
      <c r="I434" t="s">
        <v>349</v>
      </c>
      <c r="J434" s="4">
        <v>5560</v>
      </c>
      <c r="K434" s="5">
        <v>0.26402877697841726</v>
      </c>
      <c r="L434" s="5">
        <v>8.8129496402877695E-3</v>
      </c>
    </row>
    <row r="435" spans="7:12">
      <c r="G435" t="s">
        <v>997</v>
      </c>
      <c r="H435" t="s">
        <v>134</v>
      </c>
      <c r="I435" t="s">
        <v>89</v>
      </c>
      <c r="J435" s="4">
        <v>15732</v>
      </c>
      <c r="K435" s="5">
        <v>0.26385710653445205</v>
      </c>
      <c r="L435" s="5">
        <v>2.7205695397915078E-2</v>
      </c>
    </row>
    <row r="436" spans="7:12">
      <c r="G436" t="s">
        <v>998</v>
      </c>
      <c r="H436" t="s">
        <v>240</v>
      </c>
      <c r="I436" t="s">
        <v>95</v>
      </c>
      <c r="J436" s="4">
        <v>6013</v>
      </c>
      <c r="K436" s="5">
        <v>0.26359554299018795</v>
      </c>
      <c r="L436" s="5">
        <v>1.3138200565441543E-2</v>
      </c>
    </row>
    <row r="437" spans="7:12">
      <c r="G437" t="s">
        <v>999</v>
      </c>
      <c r="H437" t="s">
        <v>136</v>
      </c>
      <c r="I437" t="s">
        <v>288</v>
      </c>
      <c r="J437" s="4">
        <v>2452</v>
      </c>
      <c r="K437" s="5">
        <v>0.2634584013050571</v>
      </c>
      <c r="L437" s="5">
        <v>1.0603588907014683E-2</v>
      </c>
    </row>
    <row r="438" spans="7:12">
      <c r="G438" t="s">
        <v>1000</v>
      </c>
      <c r="H438" t="s">
        <v>121</v>
      </c>
      <c r="I438" t="s">
        <v>322</v>
      </c>
      <c r="J438" s="4">
        <v>1245</v>
      </c>
      <c r="K438" s="5">
        <v>0.26345381526104417</v>
      </c>
      <c r="L438" s="5">
        <v>8.0321285140562242E-3</v>
      </c>
    </row>
    <row r="439" spans="7:12">
      <c r="G439" t="s">
        <v>1001</v>
      </c>
      <c r="H439" t="s">
        <v>233</v>
      </c>
      <c r="I439" t="s">
        <v>89</v>
      </c>
      <c r="J439" s="4">
        <v>9851</v>
      </c>
      <c r="K439" s="5">
        <v>0.26342503299157444</v>
      </c>
      <c r="L439" s="5">
        <v>2.7509897472337834E-2</v>
      </c>
    </row>
    <row r="440" spans="7:12">
      <c r="G440" t="s">
        <v>1002</v>
      </c>
      <c r="H440" t="s">
        <v>317</v>
      </c>
      <c r="I440" t="s">
        <v>149</v>
      </c>
      <c r="J440" s="4">
        <v>1196</v>
      </c>
      <c r="K440" s="5">
        <v>0.26337792642140467</v>
      </c>
      <c r="L440" s="5">
        <v>2.6755852842809364E-2</v>
      </c>
    </row>
    <row r="441" spans="7:12">
      <c r="G441" t="s">
        <v>1003</v>
      </c>
      <c r="H441" t="s">
        <v>259</v>
      </c>
      <c r="I441" t="s">
        <v>221</v>
      </c>
      <c r="J441" s="4">
        <v>4511</v>
      </c>
      <c r="K441" s="5">
        <v>0.26335624030148524</v>
      </c>
      <c r="L441" s="5">
        <v>1.6404344934604301E-2</v>
      </c>
    </row>
    <row r="442" spans="7:12">
      <c r="G442" t="s">
        <v>1004</v>
      </c>
      <c r="H442" t="s">
        <v>105</v>
      </c>
      <c r="I442" t="s">
        <v>162</v>
      </c>
      <c r="J442" s="4">
        <v>6122</v>
      </c>
      <c r="K442" s="5">
        <v>0.26331264292714801</v>
      </c>
      <c r="L442" s="5">
        <v>1.3067624959163672E-2</v>
      </c>
    </row>
    <row r="443" spans="7:12">
      <c r="G443" t="s">
        <v>1005</v>
      </c>
      <c r="H443" t="s">
        <v>95</v>
      </c>
      <c r="I443" t="s">
        <v>422</v>
      </c>
      <c r="J443" s="4">
        <v>6781</v>
      </c>
      <c r="K443" s="5">
        <v>0.26323551098658016</v>
      </c>
      <c r="L443" s="5">
        <v>1.017549034065772E-2</v>
      </c>
    </row>
    <row r="444" spans="7:12">
      <c r="G444" t="s">
        <v>1006</v>
      </c>
      <c r="H444" t="s">
        <v>95</v>
      </c>
      <c r="I444" t="s">
        <v>259</v>
      </c>
      <c r="J444" s="4">
        <v>15775</v>
      </c>
      <c r="K444" s="5">
        <v>0.26320126782884312</v>
      </c>
      <c r="L444" s="5">
        <v>2.1236133122028527E-2</v>
      </c>
    </row>
    <row r="445" spans="7:12">
      <c r="G445" t="s">
        <v>1007</v>
      </c>
      <c r="H445" t="s">
        <v>259</v>
      </c>
      <c r="I445" t="s">
        <v>95</v>
      </c>
      <c r="J445" s="4">
        <v>15779</v>
      </c>
      <c r="K445" s="5">
        <v>0.26307117054312695</v>
      </c>
      <c r="L445" s="5">
        <v>2.1801128081627479E-2</v>
      </c>
    </row>
    <row r="446" spans="7:12">
      <c r="G446" t="s">
        <v>1008</v>
      </c>
      <c r="H446" t="s">
        <v>268</v>
      </c>
      <c r="I446" t="s">
        <v>85</v>
      </c>
      <c r="J446" s="4">
        <v>1977</v>
      </c>
      <c r="K446" s="5">
        <v>0.26302478502781995</v>
      </c>
      <c r="L446" s="5">
        <v>1.0116337885685382E-2</v>
      </c>
    </row>
    <row r="447" spans="7:12">
      <c r="G447" t="s">
        <v>1009</v>
      </c>
      <c r="H447" t="s">
        <v>118</v>
      </c>
      <c r="I447" t="s">
        <v>243</v>
      </c>
      <c r="J447" s="4">
        <v>2833</v>
      </c>
      <c r="K447" s="5">
        <v>0.26297211436639606</v>
      </c>
      <c r="L447" s="5">
        <v>1.906106600776562E-2</v>
      </c>
    </row>
    <row r="448" spans="7:12">
      <c r="G448" t="s">
        <v>1010</v>
      </c>
      <c r="H448" t="s">
        <v>118</v>
      </c>
      <c r="I448" t="s">
        <v>149</v>
      </c>
      <c r="J448" s="4">
        <v>7440</v>
      </c>
      <c r="K448" s="5">
        <v>0.26290322580645159</v>
      </c>
      <c r="L448" s="5">
        <v>2.2715053763440862E-2</v>
      </c>
    </row>
    <row r="449" spans="7:12">
      <c r="G449" t="s">
        <v>1011</v>
      </c>
      <c r="H449" t="s">
        <v>105</v>
      </c>
      <c r="I449" t="s">
        <v>252</v>
      </c>
      <c r="J449" s="4">
        <v>1537</v>
      </c>
      <c r="K449" s="5">
        <v>0.26284970722186074</v>
      </c>
      <c r="L449" s="5">
        <v>1.2361743656473649E-2</v>
      </c>
    </row>
    <row r="450" spans="7:12">
      <c r="G450" t="s">
        <v>1012</v>
      </c>
      <c r="H450" t="s">
        <v>105</v>
      </c>
      <c r="I450" t="s">
        <v>172</v>
      </c>
      <c r="J450" s="4">
        <v>1507</v>
      </c>
      <c r="K450" s="5">
        <v>0.26277372262773724</v>
      </c>
      <c r="L450" s="5">
        <v>1.0617120106171201E-2</v>
      </c>
    </row>
    <row r="451" spans="7:12">
      <c r="G451" t="s">
        <v>1013</v>
      </c>
      <c r="H451" t="s">
        <v>95</v>
      </c>
      <c r="I451" t="s">
        <v>326</v>
      </c>
      <c r="J451" s="4">
        <v>5172</v>
      </c>
      <c r="K451" s="5">
        <v>0.26276102088167053</v>
      </c>
      <c r="L451" s="5">
        <v>7.1539056457849961E-3</v>
      </c>
    </row>
    <row r="452" spans="7:12">
      <c r="G452" t="s">
        <v>1014</v>
      </c>
      <c r="H452" t="s">
        <v>115</v>
      </c>
      <c r="I452" t="s">
        <v>121</v>
      </c>
      <c r="J452" s="4">
        <v>4008</v>
      </c>
      <c r="K452" s="5">
        <v>0.26272455089820357</v>
      </c>
      <c r="L452" s="5">
        <v>5.4890219560878245E-3</v>
      </c>
    </row>
    <row r="453" spans="7:12">
      <c r="G453" t="s">
        <v>1015</v>
      </c>
      <c r="H453" t="s">
        <v>95</v>
      </c>
      <c r="I453" t="s">
        <v>221</v>
      </c>
      <c r="J453" s="4">
        <v>7211</v>
      </c>
      <c r="K453" s="5">
        <v>0.26265427818610454</v>
      </c>
      <c r="L453" s="5">
        <v>1.2480931909582582E-2</v>
      </c>
    </row>
    <row r="454" spans="7:12">
      <c r="G454" t="s">
        <v>1016</v>
      </c>
      <c r="H454" t="s">
        <v>115</v>
      </c>
      <c r="I454" t="s">
        <v>358</v>
      </c>
      <c r="J454" s="4">
        <v>2985</v>
      </c>
      <c r="K454" s="5">
        <v>0.2626465661641541</v>
      </c>
      <c r="L454" s="5">
        <v>1.1725293132328308E-2</v>
      </c>
    </row>
    <row r="455" spans="7:12">
      <c r="G455" t="s">
        <v>1017</v>
      </c>
      <c r="H455" t="s">
        <v>144</v>
      </c>
      <c r="I455" t="s">
        <v>180</v>
      </c>
      <c r="J455" s="4">
        <v>1436</v>
      </c>
      <c r="K455" s="5">
        <v>0.26253481894150416</v>
      </c>
      <c r="L455" s="5">
        <v>1.532033426183844E-2</v>
      </c>
    </row>
    <row r="456" spans="7:12">
      <c r="G456" t="s">
        <v>1018</v>
      </c>
      <c r="H456" t="s">
        <v>319</v>
      </c>
      <c r="I456" t="s">
        <v>80</v>
      </c>
      <c r="J456" s="4">
        <v>1516</v>
      </c>
      <c r="K456" s="5">
        <v>0.26253298153034299</v>
      </c>
      <c r="L456" s="5">
        <v>1.2532981530343008E-2</v>
      </c>
    </row>
    <row r="457" spans="7:12">
      <c r="G457" t="s">
        <v>1019</v>
      </c>
      <c r="H457" t="s">
        <v>85</v>
      </c>
      <c r="I457" t="s">
        <v>340</v>
      </c>
      <c r="J457" s="4">
        <v>1143</v>
      </c>
      <c r="K457" s="5">
        <v>0.26246719160104987</v>
      </c>
      <c r="L457" s="5">
        <v>6.1242344706911632E-3</v>
      </c>
    </row>
    <row r="458" spans="7:12">
      <c r="G458" t="s">
        <v>1020</v>
      </c>
      <c r="H458" t="s">
        <v>100</v>
      </c>
      <c r="I458" t="s">
        <v>372</v>
      </c>
      <c r="J458" s="4">
        <v>5704</v>
      </c>
      <c r="K458" s="5">
        <v>0.26244740532959326</v>
      </c>
      <c r="L458" s="5">
        <v>1.0869565217391304E-2</v>
      </c>
    </row>
    <row r="459" spans="7:12">
      <c r="G459" t="s">
        <v>1021</v>
      </c>
      <c r="H459" t="s">
        <v>263</v>
      </c>
      <c r="I459" t="s">
        <v>89</v>
      </c>
      <c r="J459" s="4">
        <v>8417</v>
      </c>
      <c r="K459" s="5">
        <v>0.26244505168112153</v>
      </c>
      <c r="L459" s="5">
        <v>2.3642628014732089E-2</v>
      </c>
    </row>
    <row r="460" spans="7:12">
      <c r="G460" t="s">
        <v>1022</v>
      </c>
      <c r="H460" t="s">
        <v>100</v>
      </c>
      <c r="I460" t="s">
        <v>331</v>
      </c>
      <c r="J460" s="4">
        <v>5994</v>
      </c>
      <c r="K460" s="5">
        <v>0.26242909576242912</v>
      </c>
      <c r="L460" s="5">
        <v>1.1344678011344677E-2</v>
      </c>
    </row>
    <row r="461" spans="7:12">
      <c r="G461" t="s">
        <v>1023</v>
      </c>
      <c r="H461" t="s">
        <v>118</v>
      </c>
      <c r="I461" t="s">
        <v>269</v>
      </c>
      <c r="J461" s="4">
        <v>3152</v>
      </c>
      <c r="K461" s="5">
        <v>0.26237309644670048</v>
      </c>
      <c r="L461" s="5">
        <v>1.4276649746192893E-2</v>
      </c>
    </row>
    <row r="462" spans="7:12">
      <c r="G462" t="s">
        <v>1024</v>
      </c>
      <c r="H462" t="s">
        <v>95</v>
      </c>
      <c r="I462" t="s">
        <v>240</v>
      </c>
      <c r="J462" s="4">
        <v>6007</v>
      </c>
      <c r="K462" s="5">
        <v>0.26219410687531214</v>
      </c>
      <c r="L462" s="5">
        <v>1.2318961211919428E-2</v>
      </c>
    </row>
    <row r="463" spans="7:12">
      <c r="G463" t="s">
        <v>1025</v>
      </c>
      <c r="H463" t="s">
        <v>95</v>
      </c>
      <c r="I463" t="s">
        <v>368</v>
      </c>
      <c r="J463" s="4">
        <v>1297</v>
      </c>
      <c r="K463" s="5">
        <v>0.26214340786430224</v>
      </c>
      <c r="L463" s="5">
        <v>1.6962220508866616E-2</v>
      </c>
    </row>
    <row r="464" spans="7:12">
      <c r="G464" t="s">
        <v>1026</v>
      </c>
      <c r="H464" t="s">
        <v>269</v>
      </c>
      <c r="I464" t="s">
        <v>89</v>
      </c>
      <c r="J464" s="4">
        <v>3029</v>
      </c>
      <c r="K464" s="5">
        <v>0.2621327170683394</v>
      </c>
      <c r="L464" s="5">
        <v>1.9808517662594914E-2</v>
      </c>
    </row>
    <row r="465" spans="7:12">
      <c r="G465" t="s">
        <v>1027</v>
      </c>
      <c r="H465" t="s">
        <v>218</v>
      </c>
      <c r="I465" t="s">
        <v>226</v>
      </c>
      <c r="J465" s="4">
        <v>9713</v>
      </c>
      <c r="K465" s="5">
        <v>0.26212292803459281</v>
      </c>
      <c r="L465" s="5">
        <v>8.8541130443735207E-3</v>
      </c>
    </row>
    <row r="466" spans="7:12">
      <c r="G466" t="s">
        <v>1028</v>
      </c>
      <c r="H466" t="s">
        <v>103</v>
      </c>
      <c r="I466" t="s">
        <v>342</v>
      </c>
      <c r="J466" s="4">
        <v>2068</v>
      </c>
      <c r="K466" s="5">
        <v>0.26208897485493232</v>
      </c>
      <c r="L466" s="5">
        <v>5.8027079303675051E-3</v>
      </c>
    </row>
    <row r="467" spans="7:12">
      <c r="G467" t="s">
        <v>1029</v>
      </c>
      <c r="H467" t="s">
        <v>131</v>
      </c>
      <c r="I467" t="s">
        <v>406</v>
      </c>
      <c r="J467" s="4">
        <v>3300</v>
      </c>
      <c r="K467" s="5">
        <v>0.26181818181818184</v>
      </c>
      <c r="L467" s="5">
        <v>7.8787878787878792E-3</v>
      </c>
    </row>
    <row r="468" spans="7:12">
      <c r="G468" t="s">
        <v>1030</v>
      </c>
      <c r="H468" t="s">
        <v>131</v>
      </c>
      <c r="I468" t="s">
        <v>495</v>
      </c>
      <c r="J468" s="4">
        <v>5184</v>
      </c>
      <c r="K468" s="5">
        <v>0.26176697530864196</v>
      </c>
      <c r="L468" s="5">
        <v>1.736111111111111E-3</v>
      </c>
    </row>
    <row r="469" spans="7:12">
      <c r="G469" t="s">
        <v>1031</v>
      </c>
      <c r="H469" t="s">
        <v>115</v>
      </c>
      <c r="I469" t="s">
        <v>414</v>
      </c>
      <c r="J469" s="4">
        <v>3255</v>
      </c>
      <c r="K469" s="5">
        <v>0.26175115207373273</v>
      </c>
      <c r="L469" s="5">
        <v>7.9877112135176651E-3</v>
      </c>
    </row>
    <row r="470" spans="7:12">
      <c r="G470" t="s">
        <v>1032</v>
      </c>
      <c r="H470" t="s">
        <v>215</v>
      </c>
      <c r="I470" t="s">
        <v>434</v>
      </c>
      <c r="J470" s="4">
        <v>1456</v>
      </c>
      <c r="K470" s="5">
        <v>0.26167582417582419</v>
      </c>
      <c r="L470" s="5">
        <v>2.7472527472527475E-3</v>
      </c>
    </row>
    <row r="471" spans="7:12">
      <c r="G471" t="s">
        <v>1033</v>
      </c>
      <c r="H471" t="s">
        <v>218</v>
      </c>
      <c r="I471" t="s">
        <v>131</v>
      </c>
      <c r="J471" s="4">
        <v>15033</v>
      </c>
      <c r="K471" s="5">
        <v>0.2616244262622231</v>
      </c>
      <c r="L471" s="5">
        <v>9.4458857180868758E-3</v>
      </c>
    </row>
    <row r="472" spans="7:12">
      <c r="G472" t="s">
        <v>1034</v>
      </c>
      <c r="H472" t="s">
        <v>110</v>
      </c>
      <c r="I472" t="s">
        <v>118</v>
      </c>
      <c r="J472" s="4">
        <v>2076</v>
      </c>
      <c r="K472" s="5">
        <v>0.26156069364161849</v>
      </c>
      <c r="L472" s="5">
        <v>1.0115606936416185E-2</v>
      </c>
    </row>
    <row r="473" spans="7:12">
      <c r="G473" t="s">
        <v>1035</v>
      </c>
      <c r="H473" t="s">
        <v>95</v>
      </c>
      <c r="I473" t="s">
        <v>414</v>
      </c>
      <c r="J473" s="4">
        <v>6654</v>
      </c>
      <c r="K473" s="5">
        <v>0.26149684400360684</v>
      </c>
      <c r="L473" s="5">
        <v>1.0670273519687407E-2</v>
      </c>
    </row>
    <row r="474" spans="7:12">
      <c r="G474" t="s">
        <v>1036</v>
      </c>
      <c r="H474" t="s">
        <v>95</v>
      </c>
      <c r="I474" t="s">
        <v>204</v>
      </c>
      <c r="J474" s="4">
        <v>14059</v>
      </c>
      <c r="K474" s="5">
        <v>0.26146952130307988</v>
      </c>
      <c r="L474" s="5">
        <v>1.4723664556511843E-2</v>
      </c>
    </row>
    <row r="475" spans="7:12">
      <c r="G475" t="s">
        <v>1037</v>
      </c>
      <c r="H475" t="s">
        <v>299</v>
      </c>
      <c r="I475" t="s">
        <v>95</v>
      </c>
      <c r="J475" s="4">
        <v>1266</v>
      </c>
      <c r="K475" s="5">
        <v>0.26145339652448657</v>
      </c>
      <c r="L475" s="5">
        <v>1.9747235387045814E-2</v>
      </c>
    </row>
    <row r="476" spans="7:12">
      <c r="G476" t="s">
        <v>1038</v>
      </c>
      <c r="H476" t="s">
        <v>226</v>
      </c>
      <c r="I476" t="s">
        <v>182</v>
      </c>
      <c r="J476" s="4">
        <v>19233</v>
      </c>
      <c r="K476" s="5">
        <v>0.26142567462174388</v>
      </c>
      <c r="L476" s="5">
        <v>1.169864295741694E-2</v>
      </c>
    </row>
    <row r="477" spans="7:12">
      <c r="G477" t="s">
        <v>1039</v>
      </c>
      <c r="H477" t="s">
        <v>140</v>
      </c>
      <c r="I477" t="s">
        <v>118</v>
      </c>
      <c r="J477" s="4">
        <v>17634</v>
      </c>
      <c r="K477" s="5">
        <v>0.26131337189520243</v>
      </c>
      <c r="L477" s="5">
        <v>2.4101168197799706E-2</v>
      </c>
    </row>
    <row r="478" spans="7:12">
      <c r="G478" t="s">
        <v>1040</v>
      </c>
      <c r="H478" t="s">
        <v>80</v>
      </c>
      <c r="I478" t="s">
        <v>259</v>
      </c>
      <c r="J478" s="4">
        <v>13600</v>
      </c>
      <c r="K478" s="5">
        <v>0.26110294117647059</v>
      </c>
      <c r="L478" s="5">
        <v>2.1102941176470588E-2</v>
      </c>
    </row>
    <row r="479" spans="7:12">
      <c r="G479" t="s">
        <v>1041</v>
      </c>
      <c r="H479" t="s">
        <v>202</v>
      </c>
      <c r="I479" t="s">
        <v>215</v>
      </c>
      <c r="J479" s="4">
        <v>3103</v>
      </c>
      <c r="K479" s="5">
        <v>0.26103770544634225</v>
      </c>
      <c r="L479" s="5">
        <v>1.3857557202707057E-2</v>
      </c>
    </row>
    <row r="480" spans="7:12">
      <c r="G480" t="s">
        <v>1042</v>
      </c>
      <c r="H480" t="s">
        <v>358</v>
      </c>
      <c r="I480" t="s">
        <v>202</v>
      </c>
      <c r="J480" s="4">
        <v>3166</v>
      </c>
      <c r="K480" s="5">
        <v>0.260897030953885</v>
      </c>
      <c r="L480" s="5">
        <v>2.3057485786481365E-2</v>
      </c>
    </row>
    <row r="481" spans="7:12">
      <c r="G481" t="s">
        <v>1043</v>
      </c>
      <c r="H481" t="s">
        <v>140</v>
      </c>
      <c r="I481" t="s">
        <v>226</v>
      </c>
      <c r="J481" s="4">
        <v>12631</v>
      </c>
      <c r="K481" s="5">
        <v>0.2607869527353337</v>
      </c>
      <c r="L481" s="5">
        <v>1.8921700577943155E-2</v>
      </c>
    </row>
    <row r="482" spans="7:12">
      <c r="G482" t="s">
        <v>1044</v>
      </c>
      <c r="H482" t="s">
        <v>252</v>
      </c>
      <c r="I482" t="s">
        <v>137</v>
      </c>
      <c r="J482" s="4">
        <v>6827</v>
      </c>
      <c r="K482" s="5">
        <v>0.26072945656950341</v>
      </c>
      <c r="L482" s="5">
        <v>2.0506811190859821E-2</v>
      </c>
    </row>
    <row r="483" spans="7:12">
      <c r="G483" t="s">
        <v>1045</v>
      </c>
      <c r="H483" t="s">
        <v>121</v>
      </c>
      <c r="I483" t="s">
        <v>204</v>
      </c>
      <c r="J483" s="4">
        <v>5109</v>
      </c>
      <c r="K483" s="5">
        <v>0.26071638285378745</v>
      </c>
      <c r="L483" s="5">
        <v>1.4288510471716578E-2</v>
      </c>
    </row>
    <row r="484" spans="7:12">
      <c r="G484" t="s">
        <v>1046</v>
      </c>
      <c r="H484" t="s">
        <v>118</v>
      </c>
      <c r="I484" t="s">
        <v>207</v>
      </c>
      <c r="J484" s="4">
        <v>5508</v>
      </c>
      <c r="K484" s="5">
        <v>0.26071169208424111</v>
      </c>
      <c r="L484" s="5">
        <v>1.9789397240377631E-2</v>
      </c>
    </row>
    <row r="485" spans="7:12">
      <c r="G485" t="s">
        <v>1047</v>
      </c>
      <c r="H485" t="s">
        <v>103</v>
      </c>
      <c r="I485" t="s">
        <v>77</v>
      </c>
      <c r="J485" s="4">
        <v>8007</v>
      </c>
      <c r="K485" s="5">
        <v>0.2606469339328088</v>
      </c>
      <c r="L485" s="5">
        <v>6.0447108779817661E-2</v>
      </c>
    </row>
    <row r="486" spans="7:12">
      <c r="G486" t="s">
        <v>1048</v>
      </c>
      <c r="H486" t="s">
        <v>103</v>
      </c>
      <c r="I486" t="s">
        <v>299</v>
      </c>
      <c r="J486" s="4">
        <v>3784</v>
      </c>
      <c r="K486" s="5">
        <v>0.26057082452431291</v>
      </c>
      <c r="L486" s="5">
        <v>4.2283298097251587E-3</v>
      </c>
    </row>
    <row r="487" spans="7:12">
      <c r="G487" t="s">
        <v>1049</v>
      </c>
      <c r="H487" t="s">
        <v>100</v>
      </c>
      <c r="I487" t="s">
        <v>115</v>
      </c>
      <c r="J487" s="4">
        <v>9119</v>
      </c>
      <c r="K487" s="5">
        <v>0.26055488540410132</v>
      </c>
      <c r="L487" s="5">
        <v>1.3488321087838579E-2</v>
      </c>
    </row>
    <row r="488" spans="7:12">
      <c r="G488" t="s">
        <v>1050</v>
      </c>
      <c r="H488" t="s">
        <v>107</v>
      </c>
      <c r="I488" t="s">
        <v>118</v>
      </c>
      <c r="J488" s="4">
        <v>5267</v>
      </c>
      <c r="K488" s="5">
        <v>0.26048984241503703</v>
      </c>
      <c r="L488" s="5">
        <v>2.4302259350674007E-2</v>
      </c>
    </row>
    <row r="489" spans="7:12">
      <c r="G489" t="s">
        <v>1051</v>
      </c>
      <c r="H489" t="s">
        <v>207</v>
      </c>
      <c r="I489" t="s">
        <v>118</v>
      </c>
      <c r="J489" s="4">
        <v>5510</v>
      </c>
      <c r="K489" s="5">
        <v>0.26043557168784032</v>
      </c>
      <c r="L489" s="5">
        <v>2.3230490018148819E-2</v>
      </c>
    </row>
    <row r="490" spans="7:12">
      <c r="G490" t="s">
        <v>1052</v>
      </c>
      <c r="H490" t="s">
        <v>103</v>
      </c>
      <c r="I490" t="s">
        <v>418</v>
      </c>
      <c r="J490" s="4">
        <v>6040</v>
      </c>
      <c r="K490" s="5">
        <v>0.26026490066225166</v>
      </c>
      <c r="L490" s="5">
        <v>6.7880794701986758E-3</v>
      </c>
    </row>
    <row r="491" spans="7:12">
      <c r="G491" t="s">
        <v>1053</v>
      </c>
      <c r="H491" t="s">
        <v>115</v>
      </c>
      <c r="I491" t="s">
        <v>160</v>
      </c>
      <c r="J491" s="4">
        <v>5449</v>
      </c>
      <c r="K491" s="5">
        <v>0.26023123508900714</v>
      </c>
      <c r="L491" s="5">
        <v>1.5415672600477152E-2</v>
      </c>
    </row>
    <row r="492" spans="7:12">
      <c r="G492" t="s">
        <v>1054</v>
      </c>
      <c r="H492" t="s">
        <v>95</v>
      </c>
      <c r="I492" t="s">
        <v>331</v>
      </c>
      <c r="J492" s="4">
        <v>5211</v>
      </c>
      <c r="K492" s="5">
        <v>0.26021876799078869</v>
      </c>
      <c r="L492" s="5">
        <v>1.0746497793129918E-2</v>
      </c>
    </row>
    <row r="493" spans="7:12">
      <c r="G493" t="s">
        <v>1055</v>
      </c>
      <c r="H493" t="s">
        <v>224</v>
      </c>
      <c r="I493" t="s">
        <v>204</v>
      </c>
      <c r="J493" s="4">
        <v>4060</v>
      </c>
      <c r="K493" s="5">
        <v>0.26009852216748769</v>
      </c>
      <c r="L493" s="5">
        <v>3.8177339901477834E-2</v>
      </c>
    </row>
    <row r="494" spans="7:12">
      <c r="G494" t="s">
        <v>1056</v>
      </c>
      <c r="H494" t="s">
        <v>118</v>
      </c>
      <c r="I494" t="s">
        <v>162</v>
      </c>
      <c r="J494" s="4">
        <v>20451</v>
      </c>
      <c r="K494" s="5">
        <v>0.26003618404967971</v>
      </c>
      <c r="L494" s="5">
        <v>1.4278030414160677E-2</v>
      </c>
    </row>
    <row r="495" spans="7:12">
      <c r="G495" t="s">
        <v>1057</v>
      </c>
      <c r="H495" t="s">
        <v>149</v>
      </c>
      <c r="I495" t="s">
        <v>103</v>
      </c>
      <c r="J495" s="4">
        <v>4575</v>
      </c>
      <c r="K495" s="5">
        <v>0.25989071038251366</v>
      </c>
      <c r="L495" s="5">
        <v>1.8797814207650275E-2</v>
      </c>
    </row>
    <row r="496" spans="7:12">
      <c r="G496" t="s">
        <v>1058</v>
      </c>
      <c r="H496" t="s">
        <v>95</v>
      </c>
      <c r="I496" t="s">
        <v>322</v>
      </c>
      <c r="J496" s="4">
        <v>11817</v>
      </c>
      <c r="K496" s="5">
        <v>0.25962596259625964</v>
      </c>
      <c r="L496" s="5">
        <v>1.0577980875010579E-2</v>
      </c>
    </row>
    <row r="497" spans="7:12">
      <c r="G497" t="s">
        <v>1059</v>
      </c>
      <c r="H497" t="s">
        <v>118</v>
      </c>
      <c r="I497" t="s">
        <v>280</v>
      </c>
      <c r="J497" s="4">
        <v>1926</v>
      </c>
      <c r="K497" s="5">
        <v>0.25960539979231567</v>
      </c>
      <c r="L497" s="5">
        <v>1.7133956386292833E-2</v>
      </c>
    </row>
    <row r="498" spans="7:12">
      <c r="G498" t="s">
        <v>1060</v>
      </c>
      <c r="H498" t="s">
        <v>218</v>
      </c>
      <c r="I498" t="s">
        <v>149</v>
      </c>
      <c r="J498" s="4">
        <v>11618</v>
      </c>
      <c r="K498" s="5">
        <v>0.25951110346014805</v>
      </c>
      <c r="L498" s="5">
        <v>1.2222413496298847E-2</v>
      </c>
    </row>
    <row r="499" spans="7:12">
      <c r="G499" t="s">
        <v>1061</v>
      </c>
      <c r="H499" t="s">
        <v>761</v>
      </c>
      <c r="I499" t="s">
        <v>118</v>
      </c>
      <c r="J499" s="4">
        <v>1685</v>
      </c>
      <c r="K499" s="5">
        <v>0.25934718100890208</v>
      </c>
      <c r="L499" s="5">
        <v>2.2551928783382788E-2</v>
      </c>
    </row>
    <row r="500" spans="7:12">
      <c r="G500" t="s">
        <v>1062</v>
      </c>
      <c r="H500" t="s">
        <v>461</v>
      </c>
      <c r="I500" t="s">
        <v>226</v>
      </c>
      <c r="J500" s="4">
        <v>10575</v>
      </c>
      <c r="K500" s="5">
        <v>0.25929078014184398</v>
      </c>
      <c r="L500" s="5">
        <v>7.0921985815602835E-3</v>
      </c>
    </row>
    <row r="501" spans="7:12">
      <c r="G501" t="s">
        <v>1063</v>
      </c>
      <c r="H501" t="s">
        <v>144</v>
      </c>
      <c r="I501" t="s">
        <v>87</v>
      </c>
      <c r="J501" s="4">
        <v>1508</v>
      </c>
      <c r="K501" s="5">
        <v>0.25928381962864722</v>
      </c>
      <c r="L501" s="5">
        <v>1.2599469496021221E-2</v>
      </c>
    </row>
    <row r="502" spans="7:12">
      <c r="G502" t="s">
        <v>1064</v>
      </c>
      <c r="H502" t="s">
        <v>338</v>
      </c>
      <c r="I502" t="s">
        <v>118</v>
      </c>
      <c r="J502" s="4">
        <v>1759</v>
      </c>
      <c r="K502" s="5">
        <v>0.25923820352472998</v>
      </c>
      <c r="L502" s="5">
        <v>2.1603183627060828E-2</v>
      </c>
    </row>
    <row r="503" spans="7:12">
      <c r="G503" t="s">
        <v>1065</v>
      </c>
      <c r="H503" t="s">
        <v>100</v>
      </c>
      <c r="I503" t="s">
        <v>366</v>
      </c>
      <c r="J503" s="4">
        <v>2843</v>
      </c>
      <c r="K503" s="5">
        <v>0.25923320436158986</v>
      </c>
      <c r="L503" s="5">
        <v>8.0900457263454097E-3</v>
      </c>
    </row>
    <row r="504" spans="7:12">
      <c r="G504" t="s">
        <v>1066</v>
      </c>
      <c r="H504" t="s">
        <v>100</v>
      </c>
      <c r="I504" t="s">
        <v>410</v>
      </c>
      <c r="J504" s="4">
        <v>5613</v>
      </c>
      <c r="K504" s="5">
        <v>0.259219668626403</v>
      </c>
      <c r="L504" s="5">
        <v>1.4074469980402637E-2</v>
      </c>
    </row>
    <row r="505" spans="7:12">
      <c r="G505" t="s">
        <v>1067</v>
      </c>
      <c r="H505" t="s">
        <v>297</v>
      </c>
      <c r="I505" t="s">
        <v>89</v>
      </c>
      <c r="J505" s="4">
        <v>3013</v>
      </c>
      <c r="K505" s="5">
        <v>0.25921008961168268</v>
      </c>
      <c r="L505" s="5">
        <v>2.4228343843345504E-2</v>
      </c>
    </row>
    <row r="506" spans="7:12">
      <c r="G506" t="s">
        <v>1068</v>
      </c>
      <c r="H506" t="s">
        <v>297</v>
      </c>
      <c r="I506" t="s">
        <v>95</v>
      </c>
      <c r="J506" s="4">
        <v>2284</v>
      </c>
      <c r="K506" s="5">
        <v>0.25919439579684761</v>
      </c>
      <c r="L506" s="5">
        <v>1.4010507880910683E-2</v>
      </c>
    </row>
    <row r="507" spans="7:12">
      <c r="G507" t="s">
        <v>1069</v>
      </c>
      <c r="H507" t="s">
        <v>115</v>
      </c>
      <c r="I507" t="s">
        <v>221</v>
      </c>
      <c r="J507" s="4">
        <v>3322</v>
      </c>
      <c r="K507" s="5">
        <v>0.25918121613485851</v>
      </c>
      <c r="L507" s="5">
        <v>9.9337748344370865E-3</v>
      </c>
    </row>
    <row r="508" spans="7:12">
      <c r="G508" t="s">
        <v>1070</v>
      </c>
      <c r="H508" t="s">
        <v>134</v>
      </c>
      <c r="I508" t="s">
        <v>162</v>
      </c>
      <c r="J508" s="4">
        <v>5873</v>
      </c>
      <c r="K508" s="5">
        <v>0.25915205176230205</v>
      </c>
      <c r="L508" s="5">
        <v>1.3281116975991826E-2</v>
      </c>
    </row>
    <row r="509" spans="7:12">
      <c r="G509" t="s">
        <v>1071</v>
      </c>
      <c r="H509" t="s">
        <v>80</v>
      </c>
      <c r="I509" t="s">
        <v>137</v>
      </c>
      <c r="J509" s="4">
        <v>7926</v>
      </c>
      <c r="K509" s="5">
        <v>0.25914711077466568</v>
      </c>
      <c r="L509" s="5">
        <v>1.8420388594499116E-2</v>
      </c>
    </row>
    <row r="510" spans="7:12">
      <c r="G510" t="s">
        <v>1072</v>
      </c>
      <c r="H510" t="s">
        <v>131</v>
      </c>
      <c r="I510" t="s">
        <v>398</v>
      </c>
      <c r="J510" s="4">
        <v>13860</v>
      </c>
      <c r="K510" s="5">
        <v>0.25909090909090909</v>
      </c>
      <c r="L510" s="5">
        <v>7.5036075036075036E-3</v>
      </c>
    </row>
    <row r="511" spans="7:12">
      <c r="G511" t="s">
        <v>1073</v>
      </c>
      <c r="H511" t="s">
        <v>352</v>
      </c>
      <c r="I511" t="s">
        <v>80</v>
      </c>
      <c r="J511" s="4">
        <v>1598</v>
      </c>
      <c r="K511" s="5">
        <v>0.25907384230287861</v>
      </c>
      <c r="L511" s="5">
        <v>1.0012515644555695E-2</v>
      </c>
    </row>
    <row r="512" spans="7:12">
      <c r="G512" t="s">
        <v>1074</v>
      </c>
      <c r="H512" t="s">
        <v>254</v>
      </c>
      <c r="I512" t="s">
        <v>162</v>
      </c>
      <c r="J512" s="4">
        <v>6319</v>
      </c>
      <c r="K512" s="5">
        <v>0.25905997784459567</v>
      </c>
      <c r="L512" s="5">
        <v>1.9306852350055387E-2</v>
      </c>
    </row>
    <row r="513" spans="7:12">
      <c r="G513" t="s">
        <v>1075</v>
      </c>
      <c r="H513" t="s">
        <v>100</v>
      </c>
      <c r="I513" t="s">
        <v>356</v>
      </c>
      <c r="J513" s="4">
        <v>3397</v>
      </c>
      <c r="K513" s="5">
        <v>0.2590521047983515</v>
      </c>
      <c r="L513" s="5">
        <v>1.0303208713570797E-2</v>
      </c>
    </row>
    <row r="514" spans="7:12">
      <c r="G514" t="s">
        <v>1076</v>
      </c>
      <c r="H514" t="s">
        <v>118</v>
      </c>
      <c r="I514" t="s">
        <v>146</v>
      </c>
      <c r="J514" s="4">
        <v>2746</v>
      </c>
      <c r="K514" s="5">
        <v>0.25892206846321925</v>
      </c>
      <c r="L514" s="5">
        <v>1.930080116533139E-2</v>
      </c>
    </row>
    <row r="515" spans="7:12">
      <c r="G515" t="s">
        <v>1077</v>
      </c>
      <c r="H515" t="s">
        <v>438</v>
      </c>
      <c r="I515" t="s">
        <v>89</v>
      </c>
      <c r="J515" s="4">
        <v>1464</v>
      </c>
      <c r="K515" s="5">
        <v>0.25887978142076501</v>
      </c>
      <c r="L515" s="5">
        <v>1.6393442622950821E-2</v>
      </c>
    </row>
    <row r="516" spans="7:12">
      <c r="G516" t="s">
        <v>1078</v>
      </c>
      <c r="H516" t="s">
        <v>115</v>
      </c>
      <c r="I516" t="s">
        <v>360</v>
      </c>
      <c r="J516" s="4">
        <v>2600</v>
      </c>
      <c r="K516" s="5">
        <v>0.25884615384615384</v>
      </c>
      <c r="L516" s="5">
        <v>9.2307692307692316E-3</v>
      </c>
    </row>
    <row r="517" spans="7:12">
      <c r="G517" t="s">
        <v>1079</v>
      </c>
      <c r="H517" t="s">
        <v>118</v>
      </c>
      <c r="I517" t="s">
        <v>226</v>
      </c>
      <c r="J517" s="4">
        <v>15115</v>
      </c>
      <c r="K517" s="5">
        <v>0.25881574594773404</v>
      </c>
      <c r="L517" s="5">
        <v>1.0453192193185577E-2</v>
      </c>
    </row>
    <row r="518" spans="7:12">
      <c r="G518" t="s">
        <v>1080</v>
      </c>
      <c r="H518" t="s">
        <v>115</v>
      </c>
      <c r="I518" t="s">
        <v>282</v>
      </c>
      <c r="J518" s="4">
        <v>4233</v>
      </c>
      <c r="K518" s="5">
        <v>0.25868178596739899</v>
      </c>
      <c r="L518" s="5">
        <v>9.922041105598866E-3</v>
      </c>
    </row>
    <row r="519" spans="7:12">
      <c r="G519" t="s">
        <v>1081</v>
      </c>
      <c r="H519" t="s">
        <v>103</v>
      </c>
      <c r="I519" t="s">
        <v>519</v>
      </c>
      <c r="J519" s="4">
        <v>2192</v>
      </c>
      <c r="K519" s="5">
        <v>0.25866788321167883</v>
      </c>
      <c r="L519" s="5">
        <v>5.0182481751824817E-3</v>
      </c>
    </row>
    <row r="520" spans="7:12">
      <c r="G520" t="s">
        <v>1082</v>
      </c>
      <c r="H520" t="s">
        <v>297</v>
      </c>
      <c r="I520" t="s">
        <v>162</v>
      </c>
      <c r="J520" s="4">
        <v>1087</v>
      </c>
      <c r="K520" s="5">
        <v>0.25850965961361544</v>
      </c>
      <c r="L520" s="5">
        <v>2.1159153633854646E-2</v>
      </c>
    </row>
    <row r="521" spans="7:12">
      <c r="G521" t="s">
        <v>1083</v>
      </c>
      <c r="H521" t="s">
        <v>118</v>
      </c>
      <c r="I521" t="s">
        <v>311</v>
      </c>
      <c r="J521" s="4">
        <v>5382</v>
      </c>
      <c r="K521" s="5">
        <v>0.25845410628019322</v>
      </c>
      <c r="L521" s="5">
        <v>1.5979189892233372E-2</v>
      </c>
    </row>
    <row r="522" spans="7:12">
      <c r="G522" t="s">
        <v>1084</v>
      </c>
      <c r="H522" t="s">
        <v>103</v>
      </c>
      <c r="I522" t="s">
        <v>89</v>
      </c>
      <c r="J522" s="4">
        <v>18086</v>
      </c>
      <c r="K522" s="5">
        <v>0.25837664491872164</v>
      </c>
      <c r="L522" s="5">
        <v>1.8190865863098531E-2</v>
      </c>
    </row>
    <row r="523" spans="7:12">
      <c r="G523" t="s">
        <v>1085</v>
      </c>
      <c r="H523" t="s">
        <v>282</v>
      </c>
      <c r="I523" t="s">
        <v>162</v>
      </c>
      <c r="J523" s="4">
        <v>4022</v>
      </c>
      <c r="K523" s="5">
        <v>0.25832918945798111</v>
      </c>
      <c r="L523" s="5">
        <v>1.6658378915962207E-2</v>
      </c>
    </row>
    <row r="524" spans="7:12">
      <c r="G524" t="s">
        <v>1086</v>
      </c>
      <c r="H524" t="s">
        <v>160</v>
      </c>
      <c r="I524" t="s">
        <v>80</v>
      </c>
      <c r="J524" s="4">
        <v>2331</v>
      </c>
      <c r="K524" s="5">
        <v>0.25825825825825827</v>
      </c>
      <c r="L524" s="5">
        <v>1.4157014157014158E-2</v>
      </c>
    </row>
    <row r="525" spans="7:12">
      <c r="G525" t="s">
        <v>1087</v>
      </c>
      <c r="H525" t="s">
        <v>95</v>
      </c>
      <c r="I525" t="s">
        <v>189</v>
      </c>
      <c r="J525" s="4">
        <v>8384</v>
      </c>
      <c r="K525" s="5">
        <v>0.25822996183206109</v>
      </c>
      <c r="L525" s="5">
        <v>9.1841603053435111E-3</v>
      </c>
    </row>
    <row r="526" spans="7:12">
      <c r="G526" t="s">
        <v>1088</v>
      </c>
      <c r="H526" t="s">
        <v>259</v>
      </c>
      <c r="I526" t="s">
        <v>202</v>
      </c>
      <c r="J526" s="4">
        <v>8032</v>
      </c>
      <c r="K526" s="5">
        <v>0.25821713147410358</v>
      </c>
      <c r="L526" s="5">
        <v>2.1912350597609563E-2</v>
      </c>
    </row>
    <row r="527" spans="7:12">
      <c r="G527" t="s">
        <v>1089</v>
      </c>
      <c r="H527" t="s">
        <v>95</v>
      </c>
      <c r="I527" t="s">
        <v>218</v>
      </c>
      <c r="J527" s="4">
        <v>26137</v>
      </c>
      <c r="K527" s="5">
        <v>0.25802502199946437</v>
      </c>
      <c r="L527" s="5">
        <v>1.0827562459348817E-2</v>
      </c>
    </row>
    <row r="528" spans="7:12">
      <c r="G528" t="s">
        <v>1090</v>
      </c>
      <c r="H528" t="s">
        <v>160</v>
      </c>
      <c r="I528" t="s">
        <v>202</v>
      </c>
      <c r="J528" s="4">
        <v>4050</v>
      </c>
      <c r="K528" s="5">
        <v>0.25802469135802469</v>
      </c>
      <c r="L528" s="5">
        <v>1.7037037037037038E-2</v>
      </c>
    </row>
    <row r="529" spans="7:12">
      <c r="G529" t="s">
        <v>1091</v>
      </c>
      <c r="H529" t="s">
        <v>236</v>
      </c>
      <c r="I529" t="s">
        <v>182</v>
      </c>
      <c r="J529" s="4">
        <v>1543</v>
      </c>
      <c r="K529" s="5">
        <v>0.2579390797148412</v>
      </c>
      <c r="L529" s="5">
        <v>2.592352559948153E-3</v>
      </c>
    </row>
    <row r="530" spans="7:12">
      <c r="G530" t="s">
        <v>1092</v>
      </c>
      <c r="H530" t="s">
        <v>80</v>
      </c>
      <c r="I530" t="s">
        <v>368</v>
      </c>
      <c r="J530" s="4">
        <v>1330</v>
      </c>
      <c r="K530" s="5">
        <v>0.25789473684210529</v>
      </c>
      <c r="L530" s="5">
        <v>1.4285714285714285E-2</v>
      </c>
    </row>
    <row r="531" spans="7:12">
      <c r="G531" t="s">
        <v>1093</v>
      </c>
      <c r="H531" t="s">
        <v>95</v>
      </c>
      <c r="I531" t="s">
        <v>344</v>
      </c>
      <c r="J531" s="4">
        <v>1257</v>
      </c>
      <c r="K531" s="5">
        <v>0.25775656324582341</v>
      </c>
      <c r="L531" s="5">
        <v>2.6252983293556086E-2</v>
      </c>
    </row>
    <row r="532" spans="7:12">
      <c r="G532" t="s">
        <v>1094</v>
      </c>
      <c r="H532" t="s">
        <v>136</v>
      </c>
      <c r="I532" t="s">
        <v>134</v>
      </c>
      <c r="J532" s="4">
        <v>1521</v>
      </c>
      <c r="K532" s="5">
        <v>0.25772518080210388</v>
      </c>
      <c r="L532" s="5">
        <v>1.1834319526627219E-2</v>
      </c>
    </row>
    <row r="533" spans="7:12">
      <c r="G533" t="s">
        <v>1095</v>
      </c>
      <c r="H533" t="s">
        <v>80</v>
      </c>
      <c r="I533" t="s">
        <v>331</v>
      </c>
      <c r="J533" s="4">
        <v>2507</v>
      </c>
      <c r="K533" s="5">
        <v>0.25767850019944155</v>
      </c>
      <c r="L533" s="5">
        <v>1.1567610690067811E-2</v>
      </c>
    </row>
    <row r="534" spans="7:12">
      <c r="G534" t="s">
        <v>1096</v>
      </c>
      <c r="H534" t="s">
        <v>118</v>
      </c>
      <c r="I534" t="s">
        <v>430</v>
      </c>
      <c r="J534" s="4">
        <v>2903</v>
      </c>
      <c r="K534" s="5">
        <v>0.25766448501550121</v>
      </c>
      <c r="L534" s="5">
        <v>1.722356183258698E-2</v>
      </c>
    </row>
    <row r="535" spans="7:12">
      <c r="G535" t="s">
        <v>1097</v>
      </c>
      <c r="H535" t="s">
        <v>263</v>
      </c>
      <c r="I535" t="s">
        <v>118</v>
      </c>
      <c r="J535" s="4">
        <v>3858</v>
      </c>
      <c r="K535" s="5">
        <v>0.25764644893727318</v>
      </c>
      <c r="L535" s="5">
        <v>1.4515292897874546E-2</v>
      </c>
    </row>
    <row r="536" spans="7:12">
      <c r="G536" t="s">
        <v>1098</v>
      </c>
      <c r="H536" t="s">
        <v>95</v>
      </c>
      <c r="I536" t="s">
        <v>388</v>
      </c>
      <c r="J536" s="4">
        <v>2162</v>
      </c>
      <c r="K536" s="5">
        <v>0.25763182238667898</v>
      </c>
      <c r="L536" s="5">
        <v>6.938020351526364E-3</v>
      </c>
    </row>
    <row r="537" spans="7:12">
      <c r="G537" t="s">
        <v>1099</v>
      </c>
      <c r="H537" t="s">
        <v>118</v>
      </c>
      <c r="I537" t="s">
        <v>1100</v>
      </c>
      <c r="J537" s="4">
        <v>1355</v>
      </c>
      <c r="K537" s="5">
        <v>0.25756457564575647</v>
      </c>
      <c r="L537" s="5">
        <v>2.5830258302583026E-2</v>
      </c>
    </row>
    <row r="538" spans="7:12">
      <c r="G538" t="s">
        <v>1101</v>
      </c>
      <c r="H538" t="s">
        <v>118</v>
      </c>
      <c r="I538" t="s">
        <v>1102</v>
      </c>
      <c r="J538" s="4">
        <v>1091</v>
      </c>
      <c r="K538" s="5">
        <v>0.25756186984417967</v>
      </c>
      <c r="L538" s="5">
        <v>2.7497708524289642E-2</v>
      </c>
    </row>
    <row r="539" spans="7:12">
      <c r="G539" t="s">
        <v>1103</v>
      </c>
      <c r="H539" t="s">
        <v>137</v>
      </c>
      <c r="I539" t="s">
        <v>131</v>
      </c>
      <c r="J539" s="4">
        <v>4951</v>
      </c>
      <c r="K539" s="5">
        <v>0.25752373257927691</v>
      </c>
      <c r="L539" s="5">
        <v>1.3936578468996163E-2</v>
      </c>
    </row>
    <row r="540" spans="7:12">
      <c r="G540" t="s">
        <v>1104</v>
      </c>
      <c r="H540" t="s">
        <v>118</v>
      </c>
      <c r="I540" t="s">
        <v>406</v>
      </c>
      <c r="J540" s="4">
        <v>7020</v>
      </c>
      <c r="K540" s="5">
        <v>0.25740740740740742</v>
      </c>
      <c r="L540" s="5">
        <v>1.3817663817663818E-2</v>
      </c>
    </row>
    <row r="541" spans="7:12">
      <c r="G541" t="s">
        <v>1105</v>
      </c>
      <c r="H541" t="s">
        <v>149</v>
      </c>
      <c r="I541" t="s">
        <v>495</v>
      </c>
      <c r="J541" s="4">
        <v>2040</v>
      </c>
      <c r="K541" s="5">
        <v>0.25735294117647056</v>
      </c>
      <c r="L541" s="5">
        <v>6.372549019607843E-3</v>
      </c>
    </row>
    <row r="542" spans="7:12">
      <c r="G542" t="s">
        <v>1106</v>
      </c>
      <c r="H542" t="s">
        <v>103</v>
      </c>
      <c r="I542" t="s">
        <v>507</v>
      </c>
      <c r="J542" s="4">
        <v>5802</v>
      </c>
      <c r="K542" s="5">
        <v>0.25732506032402619</v>
      </c>
      <c r="L542" s="5">
        <v>7.066528783178214E-3</v>
      </c>
    </row>
    <row r="543" spans="7:12">
      <c r="G543" t="s">
        <v>1107</v>
      </c>
      <c r="H543" t="s">
        <v>160</v>
      </c>
      <c r="I543" t="s">
        <v>398</v>
      </c>
      <c r="J543" s="4">
        <v>1912</v>
      </c>
      <c r="K543" s="5">
        <v>0.25732217573221755</v>
      </c>
      <c r="L543" s="5">
        <v>1.0983263598326359E-2</v>
      </c>
    </row>
    <row r="544" spans="7:12">
      <c r="G544" t="s">
        <v>1108</v>
      </c>
      <c r="H544" t="s">
        <v>215</v>
      </c>
      <c r="I544" t="s">
        <v>149</v>
      </c>
      <c r="J544" s="4">
        <v>8955</v>
      </c>
      <c r="K544" s="5">
        <v>0.25728643216080405</v>
      </c>
      <c r="L544" s="5">
        <v>1.340033500837521E-2</v>
      </c>
    </row>
    <row r="545" spans="7:12">
      <c r="G545" t="s">
        <v>1109</v>
      </c>
      <c r="H545" t="s">
        <v>140</v>
      </c>
      <c r="I545" t="s">
        <v>85</v>
      </c>
      <c r="J545" s="4">
        <v>12941</v>
      </c>
      <c r="K545" s="5">
        <v>0.25724441696932232</v>
      </c>
      <c r="L545" s="5">
        <v>2.3336681863843599E-2</v>
      </c>
    </row>
    <row r="546" spans="7:12">
      <c r="G546" t="s">
        <v>1110</v>
      </c>
      <c r="H546" t="s">
        <v>89</v>
      </c>
      <c r="I546" t="s">
        <v>110</v>
      </c>
      <c r="J546" s="4">
        <v>1975</v>
      </c>
      <c r="K546" s="5">
        <v>0.25721518987341774</v>
      </c>
      <c r="L546" s="5">
        <v>1.4177215189873417E-2</v>
      </c>
    </row>
    <row r="547" spans="7:12">
      <c r="G547" t="s">
        <v>1111</v>
      </c>
      <c r="H547" t="s">
        <v>115</v>
      </c>
      <c r="I547" t="s">
        <v>268</v>
      </c>
      <c r="J547" s="4">
        <v>4138</v>
      </c>
      <c r="K547" s="5">
        <v>0.25712904784920249</v>
      </c>
      <c r="L547" s="5">
        <v>1.1599806669888834E-2</v>
      </c>
    </row>
    <row r="548" spans="7:12">
      <c r="G548" t="s">
        <v>1112</v>
      </c>
      <c r="H548" t="s">
        <v>100</v>
      </c>
      <c r="I548" t="s">
        <v>360</v>
      </c>
      <c r="J548" s="4">
        <v>3070</v>
      </c>
      <c r="K548" s="5">
        <v>0.25700325732899021</v>
      </c>
      <c r="L548" s="5">
        <v>1.3355048859934854E-2</v>
      </c>
    </row>
    <row r="549" spans="7:12">
      <c r="G549" t="s">
        <v>1113</v>
      </c>
      <c r="H549" t="s">
        <v>155</v>
      </c>
      <c r="I549" t="s">
        <v>215</v>
      </c>
      <c r="J549" s="4">
        <v>1432</v>
      </c>
      <c r="K549" s="5">
        <v>0.25698324022346369</v>
      </c>
      <c r="L549" s="5">
        <v>9.0782122905027941E-3</v>
      </c>
    </row>
    <row r="550" spans="7:12">
      <c r="G550" t="s">
        <v>1114</v>
      </c>
      <c r="H550" t="s">
        <v>89</v>
      </c>
      <c r="I550" t="s">
        <v>495</v>
      </c>
      <c r="J550" s="4">
        <v>1834</v>
      </c>
      <c r="K550" s="5">
        <v>0.2568157033805889</v>
      </c>
      <c r="L550" s="5">
        <v>3.8167938931297708E-3</v>
      </c>
    </row>
    <row r="551" spans="7:12">
      <c r="G551" t="s">
        <v>1115</v>
      </c>
      <c r="H551" t="s">
        <v>218</v>
      </c>
      <c r="I551" t="s">
        <v>202</v>
      </c>
      <c r="J551" s="4">
        <v>19561</v>
      </c>
      <c r="K551" s="5">
        <v>0.25673534072900156</v>
      </c>
      <c r="L551" s="5">
        <v>1.5183272838811922E-2</v>
      </c>
    </row>
    <row r="552" spans="7:12">
      <c r="G552" t="s">
        <v>1116</v>
      </c>
      <c r="H552" t="s">
        <v>204</v>
      </c>
      <c r="I552" t="s">
        <v>336</v>
      </c>
      <c r="J552" s="4">
        <v>2688</v>
      </c>
      <c r="K552" s="5">
        <v>0.25669642857142855</v>
      </c>
      <c r="L552" s="5">
        <v>3.0133928571428572E-2</v>
      </c>
    </row>
    <row r="553" spans="7:12">
      <c r="G553" t="s">
        <v>1117</v>
      </c>
      <c r="H553" t="s">
        <v>115</v>
      </c>
      <c r="I553" t="s">
        <v>416</v>
      </c>
      <c r="J553" s="4">
        <v>2548</v>
      </c>
      <c r="K553" s="5">
        <v>0.2566718995290424</v>
      </c>
      <c r="L553" s="5">
        <v>7.0643642072213504E-3</v>
      </c>
    </row>
    <row r="554" spans="7:12">
      <c r="G554" t="s">
        <v>1118</v>
      </c>
      <c r="H554" t="s">
        <v>366</v>
      </c>
      <c r="I554" t="s">
        <v>89</v>
      </c>
      <c r="J554" s="4">
        <v>3212</v>
      </c>
      <c r="K554" s="5">
        <v>0.25653798256537985</v>
      </c>
      <c r="L554" s="5">
        <v>1.8057285180572851E-2</v>
      </c>
    </row>
    <row r="555" spans="7:12">
      <c r="G555" t="s">
        <v>1119</v>
      </c>
      <c r="H555" t="s">
        <v>118</v>
      </c>
      <c r="I555" t="s">
        <v>89</v>
      </c>
      <c r="J555" s="4">
        <v>19082</v>
      </c>
      <c r="K555" s="5">
        <v>0.25647206791740906</v>
      </c>
      <c r="L555" s="5">
        <v>1.6874541452677916E-2</v>
      </c>
    </row>
    <row r="556" spans="7:12">
      <c r="G556" t="s">
        <v>1120</v>
      </c>
      <c r="H556" t="s">
        <v>95</v>
      </c>
      <c r="I556" t="s">
        <v>136</v>
      </c>
      <c r="J556" s="4">
        <v>8908</v>
      </c>
      <c r="K556" s="5">
        <v>0.25639874270318813</v>
      </c>
      <c r="L556" s="5">
        <v>1.5042658284687921E-2</v>
      </c>
    </row>
    <row r="557" spans="7:12">
      <c r="G557" t="s">
        <v>1121</v>
      </c>
      <c r="H557" t="s">
        <v>100</v>
      </c>
      <c r="I557" t="s">
        <v>134</v>
      </c>
      <c r="J557" s="4">
        <v>7138</v>
      </c>
      <c r="K557" s="5">
        <v>0.25637433454749231</v>
      </c>
      <c r="L557" s="5">
        <v>1.63911459792659E-2</v>
      </c>
    </row>
    <row r="558" spans="7:12">
      <c r="G558" t="s">
        <v>1122</v>
      </c>
      <c r="H558" t="s">
        <v>140</v>
      </c>
      <c r="I558" t="s">
        <v>80</v>
      </c>
      <c r="J558" s="4">
        <v>15597</v>
      </c>
      <c r="K558" s="5">
        <v>0.25633134577162275</v>
      </c>
      <c r="L558" s="5">
        <v>2.6543566070398154E-2</v>
      </c>
    </row>
    <row r="559" spans="7:12">
      <c r="G559" t="s">
        <v>1123</v>
      </c>
      <c r="H559" t="s">
        <v>100</v>
      </c>
      <c r="I559" t="s">
        <v>305</v>
      </c>
      <c r="J559" s="4">
        <v>4629</v>
      </c>
      <c r="K559" s="5">
        <v>0.25621084467487576</v>
      </c>
      <c r="L559" s="5">
        <v>1.0153380859796932E-2</v>
      </c>
    </row>
    <row r="560" spans="7:12">
      <c r="G560" t="s">
        <v>1124</v>
      </c>
      <c r="H560" t="s">
        <v>115</v>
      </c>
      <c r="I560" t="s">
        <v>85</v>
      </c>
      <c r="J560" s="4">
        <v>7179</v>
      </c>
      <c r="K560" s="5">
        <v>0.25616381111575426</v>
      </c>
      <c r="L560" s="5">
        <v>1.6854715141384594E-2</v>
      </c>
    </row>
    <row r="561" spans="7:12">
      <c r="G561" t="s">
        <v>1125</v>
      </c>
      <c r="H561" t="s">
        <v>103</v>
      </c>
      <c r="I561" t="s">
        <v>382</v>
      </c>
      <c r="J561" s="4">
        <v>2073</v>
      </c>
      <c r="K561" s="5">
        <v>0.25615050651230103</v>
      </c>
      <c r="L561" s="5">
        <v>1.8330921369995177E-2</v>
      </c>
    </row>
    <row r="562" spans="7:12">
      <c r="G562" t="s">
        <v>1126</v>
      </c>
      <c r="H562" t="s">
        <v>137</v>
      </c>
      <c r="I562" t="s">
        <v>331</v>
      </c>
      <c r="J562" s="4">
        <v>3340</v>
      </c>
      <c r="K562" s="5">
        <v>0.2559880239520958</v>
      </c>
      <c r="L562" s="5">
        <v>1.6167664670658683E-2</v>
      </c>
    </row>
    <row r="563" spans="7:12">
      <c r="G563" t="s">
        <v>1127</v>
      </c>
      <c r="H563" t="s">
        <v>204</v>
      </c>
      <c r="I563" t="s">
        <v>305</v>
      </c>
      <c r="J563" s="4">
        <v>1086</v>
      </c>
      <c r="K563" s="5">
        <v>0.2559852670349908</v>
      </c>
      <c r="L563" s="5">
        <v>3.4069981583793742E-2</v>
      </c>
    </row>
    <row r="564" spans="7:12">
      <c r="G564" t="s">
        <v>1128</v>
      </c>
      <c r="H564" t="s">
        <v>100</v>
      </c>
      <c r="I564" t="s">
        <v>301</v>
      </c>
      <c r="J564" s="4">
        <v>3372</v>
      </c>
      <c r="K564" s="5">
        <v>0.25593119810201659</v>
      </c>
      <c r="L564" s="5">
        <v>9.1933570581257413E-3</v>
      </c>
    </row>
    <row r="565" spans="7:12">
      <c r="G565" t="s">
        <v>1129</v>
      </c>
      <c r="H565" t="s">
        <v>85</v>
      </c>
      <c r="I565" t="s">
        <v>326</v>
      </c>
      <c r="J565" s="4">
        <v>5021</v>
      </c>
      <c r="K565" s="5">
        <v>0.25592511451902011</v>
      </c>
      <c r="L565" s="5">
        <v>6.7715594503087034E-3</v>
      </c>
    </row>
    <row r="566" spans="7:12">
      <c r="G566" t="s">
        <v>1130</v>
      </c>
      <c r="H566" t="s">
        <v>356</v>
      </c>
      <c r="I566" t="s">
        <v>89</v>
      </c>
      <c r="J566" s="4">
        <v>4099</v>
      </c>
      <c r="K566" s="5">
        <v>0.25591607709197367</v>
      </c>
      <c r="L566" s="5">
        <v>2.6103927787265186E-2</v>
      </c>
    </row>
    <row r="567" spans="7:12">
      <c r="G567" t="s">
        <v>1131</v>
      </c>
      <c r="H567" t="s">
        <v>461</v>
      </c>
      <c r="I567" t="s">
        <v>140</v>
      </c>
      <c r="J567" s="4">
        <v>3513</v>
      </c>
      <c r="K567" s="5">
        <v>0.25590663250782808</v>
      </c>
      <c r="L567" s="5">
        <v>1.4802163393111301E-2</v>
      </c>
    </row>
    <row r="568" spans="7:12">
      <c r="G568" t="s">
        <v>1132</v>
      </c>
      <c r="H568" t="s">
        <v>495</v>
      </c>
      <c r="I568" t="s">
        <v>463</v>
      </c>
      <c r="J568" s="4">
        <v>1106</v>
      </c>
      <c r="K568" s="5">
        <v>0.25587703435804704</v>
      </c>
      <c r="L568" s="5">
        <v>1.62748643761302E-2</v>
      </c>
    </row>
    <row r="569" spans="7:12">
      <c r="G569" t="s">
        <v>1133</v>
      </c>
      <c r="H569" t="s">
        <v>100</v>
      </c>
      <c r="I569" t="s">
        <v>89</v>
      </c>
      <c r="J569" s="4">
        <v>11914</v>
      </c>
      <c r="K569" s="5">
        <v>0.25583347322477756</v>
      </c>
      <c r="L569" s="5">
        <v>1.6451233842538191E-2</v>
      </c>
    </row>
    <row r="570" spans="7:12">
      <c r="G570" t="s">
        <v>1134</v>
      </c>
      <c r="H570" t="s">
        <v>103</v>
      </c>
      <c r="I570" t="s">
        <v>259</v>
      </c>
      <c r="J570" s="4">
        <v>14451</v>
      </c>
      <c r="K570" s="5">
        <v>0.25583004636357348</v>
      </c>
      <c r="L570" s="5">
        <v>1.6953844024634974E-2</v>
      </c>
    </row>
    <row r="571" spans="7:12">
      <c r="G571" t="s">
        <v>1135</v>
      </c>
      <c r="H571" t="s">
        <v>189</v>
      </c>
      <c r="I571" t="s">
        <v>418</v>
      </c>
      <c r="J571" s="4">
        <v>1165</v>
      </c>
      <c r="K571" s="5">
        <v>0.25579399141630899</v>
      </c>
      <c r="L571" s="5">
        <v>1.7167381974248926E-3</v>
      </c>
    </row>
    <row r="572" spans="7:12">
      <c r="G572" t="s">
        <v>1136</v>
      </c>
      <c r="H572" t="s">
        <v>103</v>
      </c>
      <c r="I572" t="s">
        <v>268</v>
      </c>
      <c r="J572" s="4">
        <v>7854</v>
      </c>
      <c r="K572" s="5">
        <v>0.25579322638146168</v>
      </c>
      <c r="L572" s="5">
        <v>1.1713776419658773E-2</v>
      </c>
    </row>
    <row r="573" spans="7:12">
      <c r="G573" t="s">
        <v>1137</v>
      </c>
      <c r="H573" t="s">
        <v>89</v>
      </c>
      <c r="I573" t="s">
        <v>422</v>
      </c>
      <c r="J573" s="4">
        <v>4623</v>
      </c>
      <c r="K573" s="5">
        <v>0.2556781310837119</v>
      </c>
      <c r="L573" s="5">
        <v>1.36275146009085E-2</v>
      </c>
    </row>
    <row r="574" spans="7:12">
      <c r="G574" t="s">
        <v>1138</v>
      </c>
      <c r="H574" t="s">
        <v>118</v>
      </c>
      <c r="I574" t="s">
        <v>340</v>
      </c>
      <c r="J574" s="4">
        <v>5258</v>
      </c>
      <c r="K574" s="5">
        <v>0.25561049828832255</v>
      </c>
      <c r="L574" s="5">
        <v>1.502472422974515E-2</v>
      </c>
    </row>
    <row r="575" spans="7:12">
      <c r="G575" t="s">
        <v>1139</v>
      </c>
      <c r="H575" t="s">
        <v>100</v>
      </c>
      <c r="I575" t="s">
        <v>269</v>
      </c>
      <c r="J575" s="4">
        <v>7731</v>
      </c>
      <c r="K575" s="5">
        <v>0.25559436036735222</v>
      </c>
      <c r="L575" s="5">
        <v>1.1900142284309922E-2</v>
      </c>
    </row>
    <row r="576" spans="7:12">
      <c r="G576" t="s">
        <v>1140</v>
      </c>
      <c r="H576" t="s">
        <v>89</v>
      </c>
      <c r="I576" t="s">
        <v>374</v>
      </c>
      <c r="J576" s="4">
        <v>9329</v>
      </c>
      <c r="K576" s="5">
        <v>0.25554721835137745</v>
      </c>
      <c r="L576" s="5">
        <v>2.4868689034194449E-2</v>
      </c>
    </row>
    <row r="577" spans="7:12">
      <c r="G577" t="s">
        <v>1141</v>
      </c>
      <c r="H577" t="s">
        <v>95</v>
      </c>
      <c r="I577" t="s">
        <v>402</v>
      </c>
      <c r="J577" s="4">
        <v>2716</v>
      </c>
      <c r="K577" s="5">
        <v>0.25552282768777612</v>
      </c>
      <c r="L577" s="5">
        <v>1.2518409425625921E-2</v>
      </c>
    </row>
    <row r="578" spans="7:12">
      <c r="G578" t="s">
        <v>1142</v>
      </c>
      <c r="H578" t="s">
        <v>115</v>
      </c>
      <c r="I578" t="s">
        <v>326</v>
      </c>
      <c r="J578" s="4">
        <v>3695</v>
      </c>
      <c r="K578" s="5">
        <v>0.25548037889039243</v>
      </c>
      <c r="L578" s="5">
        <v>5.953991880920162E-3</v>
      </c>
    </row>
    <row r="579" spans="7:12">
      <c r="G579" t="s">
        <v>1143</v>
      </c>
      <c r="H579" t="s">
        <v>215</v>
      </c>
      <c r="I579" t="s">
        <v>137</v>
      </c>
      <c r="J579" s="4">
        <v>3265</v>
      </c>
      <c r="K579" s="5">
        <v>0.25543644716692188</v>
      </c>
      <c r="L579" s="5">
        <v>1.1944869831546707E-2</v>
      </c>
    </row>
    <row r="580" spans="7:12">
      <c r="G580" t="s">
        <v>1144</v>
      </c>
      <c r="H580" t="s">
        <v>134</v>
      </c>
      <c r="I580" t="s">
        <v>414</v>
      </c>
      <c r="J580" s="4">
        <v>1888</v>
      </c>
      <c r="K580" s="5">
        <v>0.25529661016949151</v>
      </c>
      <c r="L580" s="5">
        <v>1.3241525423728813E-2</v>
      </c>
    </row>
    <row r="581" spans="7:12">
      <c r="G581" t="s">
        <v>1145</v>
      </c>
      <c r="H581" t="s">
        <v>85</v>
      </c>
      <c r="I581" t="s">
        <v>282</v>
      </c>
      <c r="J581" s="4">
        <v>5436</v>
      </c>
      <c r="K581" s="5">
        <v>0.25515084621044887</v>
      </c>
      <c r="L581" s="5">
        <v>1.5636497424576894E-2</v>
      </c>
    </row>
    <row r="582" spans="7:12">
      <c r="G582" t="s">
        <v>1146</v>
      </c>
      <c r="H582" t="s">
        <v>118</v>
      </c>
      <c r="I582" t="s">
        <v>245</v>
      </c>
      <c r="J582" s="4">
        <v>6260</v>
      </c>
      <c r="K582" s="5">
        <v>0.25511182108626196</v>
      </c>
      <c r="L582" s="5">
        <v>2.1405750798722045E-2</v>
      </c>
    </row>
    <row r="583" spans="7:12">
      <c r="G583" t="s">
        <v>1147</v>
      </c>
      <c r="H583" t="s">
        <v>103</v>
      </c>
      <c r="I583" t="s">
        <v>344</v>
      </c>
      <c r="J583" s="4">
        <v>1239</v>
      </c>
      <c r="K583" s="5">
        <v>0.25504439063761097</v>
      </c>
      <c r="L583" s="5">
        <v>8.8781275221953195E-3</v>
      </c>
    </row>
    <row r="584" spans="7:12">
      <c r="G584" t="s">
        <v>1148</v>
      </c>
      <c r="H584" t="s">
        <v>100</v>
      </c>
      <c r="I584" t="s">
        <v>85</v>
      </c>
      <c r="J584" s="4">
        <v>10731</v>
      </c>
      <c r="K584" s="5">
        <v>0.2549622588761532</v>
      </c>
      <c r="L584" s="5">
        <v>1.1834870934675241E-2</v>
      </c>
    </row>
    <row r="585" spans="7:12">
      <c r="G585" t="s">
        <v>1149</v>
      </c>
      <c r="H585" t="s">
        <v>160</v>
      </c>
      <c r="I585" t="s">
        <v>259</v>
      </c>
      <c r="J585" s="4">
        <v>4138</v>
      </c>
      <c r="K585" s="5">
        <v>0.25495408409859838</v>
      </c>
      <c r="L585" s="5">
        <v>1.7399710004833254E-2</v>
      </c>
    </row>
    <row r="586" spans="7:12">
      <c r="G586" t="s">
        <v>1150</v>
      </c>
      <c r="H586" t="s">
        <v>80</v>
      </c>
      <c r="I586" t="s">
        <v>342</v>
      </c>
      <c r="J586" s="4">
        <v>1820</v>
      </c>
      <c r="K586" s="5">
        <v>0.25494505494505493</v>
      </c>
      <c r="L586" s="5">
        <v>1.6483516483516484E-2</v>
      </c>
    </row>
    <row r="587" spans="7:12">
      <c r="G587" t="s">
        <v>1151</v>
      </c>
      <c r="H587" t="s">
        <v>85</v>
      </c>
      <c r="I587" t="s">
        <v>103</v>
      </c>
      <c r="J587" s="4">
        <v>7372</v>
      </c>
      <c r="K587" s="5">
        <v>0.25461204557786216</v>
      </c>
      <c r="L587" s="5">
        <v>8.6814975583288118E-3</v>
      </c>
    </row>
    <row r="588" spans="7:12">
      <c r="G588" t="s">
        <v>1152</v>
      </c>
      <c r="H588" t="s">
        <v>100</v>
      </c>
      <c r="I588" t="s">
        <v>329</v>
      </c>
      <c r="J588" s="4">
        <v>2035</v>
      </c>
      <c r="K588" s="5">
        <v>0.25454545454545452</v>
      </c>
      <c r="L588" s="5">
        <v>1.425061425061425E-2</v>
      </c>
    </row>
    <row r="589" spans="7:12">
      <c r="G589" t="s">
        <v>1153</v>
      </c>
      <c r="H589" t="s">
        <v>100</v>
      </c>
      <c r="I589" t="s">
        <v>182</v>
      </c>
      <c r="J589" s="4">
        <v>4742</v>
      </c>
      <c r="K589" s="5">
        <v>0.25453395191902151</v>
      </c>
      <c r="L589" s="5">
        <v>5.9046815689582453E-3</v>
      </c>
    </row>
    <row r="590" spans="7:12">
      <c r="G590" t="s">
        <v>1154</v>
      </c>
      <c r="H590" t="s">
        <v>182</v>
      </c>
      <c r="I590" t="s">
        <v>438</v>
      </c>
      <c r="J590" s="4">
        <v>1572</v>
      </c>
      <c r="K590" s="5">
        <v>0.2544529262086514</v>
      </c>
      <c r="L590" s="5">
        <v>1.5267175572519083E-2</v>
      </c>
    </row>
    <row r="591" spans="7:12">
      <c r="G591" t="s">
        <v>1155</v>
      </c>
      <c r="H591" t="s">
        <v>115</v>
      </c>
      <c r="I591" t="s">
        <v>165</v>
      </c>
      <c r="J591" s="4">
        <v>3903</v>
      </c>
      <c r="K591" s="5">
        <v>0.25441967717140662</v>
      </c>
      <c r="L591" s="5">
        <v>8.7112477581347686E-3</v>
      </c>
    </row>
    <row r="592" spans="7:12">
      <c r="G592" t="s">
        <v>1156</v>
      </c>
      <c r="H592" t="s">
        <v>100</v>
      </c>
      <c r="I592" t="s">
        <v>162</v>
      </c>
      <c r="J592" s="4">
        <v>14097</v>
      </c>
      <c r="K592" s="5">
        <v>0.25438036461658509</v>
      </c>
      <c r="L592" s="5">
        <v>1.5038660707952047E-2</v>
      </c>
    </row>
    <row r="593" spans="7:12">
      <c r="G593" t="s">
        <v>1157</v>
      </c>
      <c r="H593" t="s">
        <v>115</v>
      </c>
      <c r="I593" t="s">
        <v>80</v>
      </c>
      <c r="J593" s="4">
        <v>11188</v>
      </c>
      <c r="K593" s="5">
        <v>0.25437969252770826</v>
      </c>
      <c r="L593" s="5">
        <v>1.5105470146585627E-2</v>
      </c>
    </row>
    <row r="594" spans="7:12">
      <c r="G594" t="s">
        <v>1158</v>
      </c>
      <c r="H594" t="s">
        <v>115</v>
      </c>
      <c r="I594" t="s">
        <v>254</v>
      </c>
      <c r="J594" s="4">
        <v>4372</v>
      </c>
      <c r="K594" s="5">
        <v>0.25434583714547115</v>
      </c>
      <c r="L594" s="5">
        <v>1.3723696248856358E-2</v>
      </c>
    </row>
    <row r="595" spans="7:12">
      <c r="G595" t="s">
        <v>1159</v>
      </c>
      <c r="H595" t="s">
        <v>134</v>
      </c>
      <c r="I595" t="s">
        <v>282</v>
      </c>
      <c r="J595" s="4">
        <v>2084</v>
      </c>
      <c r="K595" s="5">
        <v>0.2543186180422265</v>
      </c>
      <c r="L595" s="5">
        <v>1.199616122840691E-2</v>
      </c>
    </row>
    <row r="596" spans="7:12">
      <c r="G596" t="s">
        <v>1160</v>
      </c>
      <c r="H596" t="s">
        <v>293</v>
      </c>
      <c r="I596" t="s">
        <v>204</v>
      </c>
      <c r="J596" s="4">
        <v>3729</v>
      </c>
      <c r="K596" s="5">
        <v>0.25422365245374096</v>
      </c>
      <c r="L596" s="5">
        <v>4.1297935103244837E-2</v>
      </c>
    </row>
    <row r="597" spans="7:12">
      <c r="G597" t="s">
        <v>1161</v>
      </c>
      <c r="H597" t="s">
        <v>134</v>
      </c>
      <c r="I597" t="s">
        <v>238</v>
      </c>
      <c r="J597" s="4">
        <v>1204</v>
      </c>
      <c r="K597" s="5">
        <v>0.25415282392026578</v>
      </c>
      <c r="L597" s="5">
        <v>1.8272425249169437E-2</v>
      </c>
    </row>
    <row r="598" spans="7:12">
      <c r="G598" t="s">
        <v>1162</v>
      </c>
      <c r="H598" t="s">
        <v>356</v>
      </c>
      <c r="I598" t="s">
        <v>331</v>
      </c>
      <c r="J598" s="4">
        <v>1212</v>
      </c>
      <c r="K598" s="5">
        <v>0.25412541254125415</v>
      </c>
      <c r="L598" s="5">
        <v>1.0726072607260726E-2</v>
      </c>
    </row>
    <row r="599" spans="7:12">
      <c r="G599" t="s">
        <v>1163</v>
      </c>
      <c r="H599" t="s">
        <v>443</v>
      </c>
      <c r="I599" t="s">
        <v>131</v>
      </c>
      <c r="J599" s="4">
        <v>1480</v>
      </c>
      <c r="K599" s="5">
        <v>0.25405405405405407</v>
      </c>
      <c r="L599" s="5">
        <v>1.0135135135135136E-2</v>
      </c>
    </row>
    <row r="600" spans="7:12">
      <c r="G600" t="s">
        <v>1164</v>
      </c>
      <c r="H600" t="s">
        <v>115</v>
      </c>
      <c r="I600" t="s">
        <v>95</v>
      </c>
      <c r="J600" s="4">
        <v>15840</v>
      </c>
      <c r="K600" s="5">
        <v>0.25404040404040407</v>
      </c>
      <c r="L600" s="5">
        <v>1.672979797979798E-2</v>
      </c>
    </row>
    <row r="601" spans="7:12">
      <c r="G601" t="s">
        <v>1165</v>
      </c>
      <c r="H601" t="s">
        <v>85</v>
      </c>
      <c r="I601" t="s">
        <v>461</v>
      </c>
      <c r="J601" s="4">
        <v>1752</v>
      </c>
      <c r="K601" s="5">
        <v>0.25399543378995432</v>
      </c>
      <c r="L601" s="5">
        <v>5.7077625570776253E-3</v>
      </c>
    </row>
    <row r="602" spans="7:12">
      <c r="G602" t="s">
        <v>1166</v>
      </c>
      <c r="H602" t="s">
        <v>115</v>
      </c>
      <c r="I602" t="s">
        <v>182</v>
      </c>
      <c r="J602" s="4">
        <v>2560</v>
      </c>
      <c r="K602" s="5">
        <v>0.25390625</v>
      </c>
      <c r="L602" s="5">
        <v>8.5937500000000007E-3</v>
      </c>
    </row>
    <row r="603" spans="7:12">
      <c r="G603" t="s">
        <v>1167</v>
      </c>
      <c r="H603" t="s">
        <v>136</v>
      </c>
      <c r="I603" t="s">
        <v>392</v>
      </c>
      <c r="J603" s="4">
        <v>1564</v>
      </c>
      <c r="K603" s="5">
        <v>0.25383631713554988</v>
      </c>
      <c r="L603" s="5">
        <v>9.5907928388746806E-3</v>
      </c>
    </row>
    <row r="604" spans="7:12">
      <c r="G604" t="s">
        <v>1168</v>
      </c>
      <c r="H604" t="s">
        <v>149</v>
      </c>
      <c r="I604" t="s">
        <v>202</v>
      </c>
      <c r="J604" s="4">
        <v>7068</v>
      </c>
      <c r="K604" s="5">
        <v>0.25382003395585739</v>
      </c>
      <c r="L604" s="5">
        <v>2.2071307300509338E-2</v>
      </c>
    </row>
    <row r="605" spans="7:12">
      <c r="G605" t="s">
        <v>1169</v>
      </c>
      <c r="H605" t="s">
        <v>233</v>
      </c>
      <c r="I605" t="s">
        <v>226</v>
      </c>
      <c r="J605" s="4">
        <v>2238</v>
      </c>
      <c r="K605" s="5">
        <v>0.25379803395889189</v>
      </c>
      <c r="L605" s="5">
        <v>1.7873100983020553E-2</v>
      </c>
    </row>
    <row r="606" spans="7:12">
      <c r="G606" t="s">
        <v>1170</v>
      </c>
      <c r="H606" t="s">
        <v>360</v>
      </c>
      <c r="I606" t="s">
        <v>118</v>
      </c>
      <c r="J606" s="4">
        <v>8701</v>
      </c>
      <c r="K606" s="5">
        <v>0.2537639351798644</v>
      </c>
      <c r="L606" s="5">
        <v>2.2066429146075164E-2</v>
      </c>
    </row>
    <row r="607" spans="7:12">
      <c r="G607" t="s">
        <v>1171</v>
      </c>
      <c r="H607" t="s">
        <v>136</v>
      </c>
      <c r="I607" t="s">
        <v>100</v>
      </c>
      <c r="J607" s="4">
        <v>2400</v>
      </c>
      <c r="K607" s="5">
        <v>0.25374999999999998</v>
      </c>
      <c r="L607" s="5">
        <v>6.6666666666666671E-3</v>
      </c>
    </row>
    <row r="608" spans="7:12">
      <c r="G608" t="s">
        <v>1172</v>
      </c>
      <c r="H608" t="s">
        <v>134</v>
      </c>
      <c r="I608" t="s">
        <v>372</v>
      </c>
      <c r="J608" s="4">
        <v>1975</v>
      </c>
      <c r="K608" s="5">
        <v>0.25367088607594934</v>
      </c>
      <c r="L608" s="5">
        <v>1.6708860759493672E-2</v>
      </c>
    </row>
    <row r="609" spans="7:12">
      <c r="G609" t="s">
        <v>1173</v>
      </c>
      <c r="H609" t="s">
        <v>103</v>
      </c>
      <c r="I609" t="s">
        <v>134</v>
      </c>
      <c r="J609" s="4">
        <v>14689</v>
      </c>
      <c r="K609" s="5">
        <v>0.25365920076247533</v>
      </c>
      <c r="L609" s="5">
        <v>1.0415957519232079E-2</v>
      </c>
    </row>
    <row r="610" spans="7:12">
      <c r="G610" t="s">
        <v>1174</v>
      </c>
      <c r="H610" t="s">
        <v>89</v>
      </c>
      <c r="I610" t="s">
        <v>228</v>
      </c>
      <c r="J610" s="4">
        <v>1992</v>
      </c>
      <c r="K610" s="5">
        <v>0.25351405622489959</v>
      </c>
      <c r="L610" s="5">
        <v>7.5301204819277108E-3</v>
      </c>
    </row>
    <row r="611" spans="7:12">
      <c r="G611" t="s">
        <v>1175</v>
      </c>
      <c r="H611" t="s">
        <v>182</v>
      </c>
      <c r="I611" t="s">
        <v>131</v>
      </c>
      <c r="J611" s="4">
        <v>20721</v>
      </c>
      <c r="K611" s="5">
        <v>0.25346267072052509</v>
      </c>
      <c r="L611" s="5">
        <v>1.6456734713575599E-2</v>
      </c>
    </row>
    <row r="612" spans="7:12">
      <c r="G612" t="s">
        <v>1176</v>
      </c>
      <c r="H612" t="s">
        <v>85</v>
      </c>
      <c r="I612" t="s">
        <v>268</v>
      </c>
      <c r="J612" s="4">
        <v>1973</v>
      </c>
      <c r="K612" s="5">
        <v>0.25342118601115055</v>
      </c>
      <c r="L612" s="5">
        <v>1.1150532184490624E-2</v>
      </c>
    </row>
    <row r="613" spans="7:12">
      <c r="G613" t="s">
        <v>1177</v>
      </c>
      <c r="H613" t="s">
        <v>95</v>
      </c>
      <c r="I613" t="s">
        <v>236</v>
      </c>
      <c r="J613" s="4">
        <v>7317</v>
      </c>
      <c r="K613" s="5">
        <v>0.25338253382533826</v>
      </c>
      <c r="L613" s="5">
        <v>1.079677463441301E-2</v>
      </c>
    </row>
    <row r="614" spans="7:12">
      <c r="G614" t="s">
        <v>1178</v>
      </c>
      <c r="H614" t="s">
        <v>204</v>
      </c>
      <c r="I614" t="s">
        <v>374</v>
      </c>
      <c r="J614" s="4">
        <v>2104</v>
      </c>
      <c r="K614" s="5">
        <v>0.25332699619771865</v>
      </c>
      <c r="L614" s="5">
        <v>1.2832699619771864E-2</v>
      </c>
    </row>
    <row r="615" spans="7:12">
      <c r="G615" t="s">
        <v>1179</v>
      </c>
      <c r="H615" t="s">
        <v>95</v>
      </c>
      <c r="I615" t="s">
        <v>288</v>
      </c>
      <c r="J615" s="4">
        <v>5107</v>
      </c>
      <c r="K615" s="5">
        <v>0.25318190718621497</v>
      </c>
      <c r="L615" s="5">
        <v>1.3315057763853534E-2</v>
      </c>
    </row>
    <row r="616" spans="7:12">
      <c r="G616" t="s">
        <v>1180</v>
      </c>
      <c r="H616" t="s">
        <v>103</v>
      </c>
      <c r="I616" t="s">
        <v>457</v>
      </c>
      <c r="J616" s="4">
        <v>6533</v>
      </c>
      <c r="K616" s="5">
        <v>0.25317618245828871</v>
      </c>
      <c r="L616" s="5">
        <v>6.8881065360477571E-3</v>
      </c>
    </row>
    <row r="617" spans="7:12">
      <c r="G617" t="s">
        <v>1181</v>
      </c>
      <c r="H617" t="s">
        <v>204</v>
      </c>
      <c r="I617" t="s">
        <v>80</v>
      </c>
      <c r="J617" s="4">
        <v>7181</v>
      </c>
      <c r="K617" s="5">
        <v>0.25316808243977162</v>
      </c>
      <c r="L617" s="5">
        <v>1.6710764517476676E-2</v>
      </c>
    </row>
    <row r="618" spans="7:12">
      <c r="G618" t="s">
        <v>1182</v>
      </c>
      <c r="H618" t="s">
        <v>95</v>
      </c>
      <c r="I618" t="s">
        <v>118</v>
      </c>
      <c r="J618" s="4">
        <v>16211</v>
      </c>
      <c r="K618" s="5">
        <v>0.25316143359447291</v>
      </c>
      <c r="L618" s="5">
        <v>1.3509345506137808E-2</v>
      </c>
    </row>
    <row r="619" spans="7:12">
      <c r="G619" t="s">
        <v>1183</v>
      </c>
      <c r="H619" t="s">
        <v>228</v>
      </c>
      <c r="I619" t="s">
        <v>131</v>
      </c>
      <c r="J619" s="4">
        <v>2098</v>
      </c>
      <c r="K619" s="5">
        <v>0.25309818875119161</v>
      </c>
      <c r="L619" s="5">
        <v>6.6730219256434702E-3</v>
      </c>
    </row>
    <row r="620" spans="7:12">
      <c r="G620" t="s">
        <v>1184</v>
      </c>
      <c r="H620" t="s">
        <v>134</v>
      </c>
      <c r="I620" t="s">
        <v>291</v>
      </c>
      <c r="J620" s="4">
        <v>1059</v>
      </c>
      <c r="K620" s="5">
        <v>0.2530689329556185</v>
      </c>
      <c r="L620" s="5">
        <v>1.4164305949008499E-2</v>
      </c>
    </row>
    <row r="621" spans="7:12">
      <c r="G621" t="s">
        <v>1185</v>
      </c>
      <c r="H621" t="s">
        <v>149</v>
      </c>
      <c r="I621" t="s">
        <v>347</v>
      </c>
      <c r="J621" s="4">
        <v>4489</v>
      </c>
      <c r="K621" s="5">
        <v>0.2530630429939853</v>
      </c>
      <c r="L621" s="5">
        <v>3.4306081532635334E-2</v>
      </c>
    </row>
    <row r="622" spans="7:12">
      <c r="G622" t="s">
        <v>1186</v>
      </c>
      <c r="H622" t="s">
        <v>136</v>
      </c>
      <c r="I622" t="s">
        <v>374</v>
      </c>
      <c r="J622" s="4">
        <v>1569</v>
      </c>
      <c r="K622" s="5">
        <v>0.25302740599107709</v>
      </c>
      <c r="L622" s="5">
        <v>8.9228808158062466E-3</v>
      </c>
    </row>
    <row r="623" spans="7:12">
      <c r="G623" t="s">
        <v>1187</v>
      </c>
      <c r="H623" t="s">
        <v>115</v>
      </c>
      <c r="I623" t="s">
        <v>422</v>
      </c>
      <c r="J623" s="4">
        <v>3170</v>
      </c>
      <c r="K623" s="5">
        <v>0.25299684542586753</v>
      </c>
      <c r="L623" s="5">
        <v>8.8328075709779175E-3</v>
      </c>
    </row>
    <row r="624" spans="7:12">
      <c r="G624" t="s">
        <v>1188</v>
      </c>
      <c r="H624" t="s">
        <v>131</v>
      </c>
      <c r="I624" t="s">
        <v>374</v>
      </c>
      <c r="J624" s="4">
        <v>3313</v>
      </c>
      <c r="K624" s="5">
        <v>0.2529429520072442</v>
      </c>
      <c r="L624" s="5">
        <v>5.4331421672200427E-3</v>
      </c>
    </row>
    <row r="625" spans="7:12">
      <c r="G625" t="s">
        <v>1189</v>
      </c>
      <c r="H625" t="s">
        <v>228</v>
      </c>
      <c r="I625" t="s">
        <v>89</v>
      </c>
      <c r="J625" s="4">
        <v>1993</v>
      </c>
      <c r="K625" s="5">
        <v>0.25288509784244856</v>
      </c>
      <c r="L625" s="5">
        <v>8.0280983442047159E-3</v>
      </c>
    </row>
    <row r="626" spans="7:12">
      <c r="G626" t="s">
        <v>1190</v>
      </c>
      <c r="H626" t="s">
        <v>280</v>
      </c>
      <c r="I626" t="s">
        <v>118</v>
      </c>
      <c r="J626" s="4">
        <v>1926</v>
      </c>
      <c r="K626" s="5">
        <v>0.25285565939771548</v>
      </c>
      <c r="L626" s="5">
        <v>1.7133956386292833E-2</v>
      </c>
    </row>
    <row r="627" spans="7:12">
      <c r="G627" t="s">
        <v>1191</v>
      </c>
      <c r="H627" t="s">
        <v>89</v>
      </c>
      <c r="I627" t="s">
        <v>118</v>
      </c>
      <c r="J627" s="4">
        <v>19090</v>
      </c>
      <c r="K627" s="5">
        <v>0.25285489785227866</v>
      </c>
      <c r="L627" s="5">
        <v>1.7443687794656888E-2</v>
      </c>
    </row>
    <row r="628" spans="7:12">
      <c r="G628" t="s">
        <v>1192</v>
      </c>
      <c r="H628" t="s">
        <v>140</v>
      </c>
      <c r="I628" t="s">
        <v>215</v>
      </c>
      <c r="J628" s="4">
        <v>6127</v>
      </c>
      <c r="K628" s="5">
        <v>0.25281540721397094</v>
      </c>
      <c r="L628" s="5">
        <v>1.8932593438877102E-2</v>
      </c>
    </row>
    <row r="629" spans="7:12">
      <c r="G629" t="s">
        <v>1193</v>
      </c>
      <c r="H629" t="s">
        <v>103</v>
      </c>
      <c r="I629" t="s">
        <v>215</v>
      </c>
      <c r="J629" s="4">
        <v>19774</v>
      </c>
      <c r="K629" s="5">
        <v>0.25280671588955195</v>
      </c>
      <c r="L629" s="5">
        <v>7.6362900778800449E-3</v>
      </c>
    </row>
    <row r="630" spans="7:12">
      <c r="G630" t="s">
        <v>1194</v>
      </c>
      <c r="H630" t="s">
        <v>1195</v>
      </c>
      <c r="I630" t="s">
        <v>370</v>
      </c>
      <c r="J630" s="4">
        <v>1088</v>
      </c>
      <c r="K630" s="5">
        <v>0.25275735294117646</v>
      </c>
      <c r="L630" s="5">
        <v>1.2867647058823529E-2</v>
      </c>
    </row>
    <row r="631" spans="7:12">
      <c r="G631" t="s">
        <v>1196</v>
      </c>
      <c r="H631" t="s">
        <v>103</v>
      </c>
      <c r="I631" t="s">
        <v>118</v>
      </c>
      <c r="J631" s="4">
        <v>19058</v>
      </c>
      <c r="K631" s="5">
        <v>0.25275474866197922</v>
      </c>
      <c r="L631" s="5">
        <v>1.0389337810893063E-2</v>
      </c>
    </row>
    <row r="632" spans="7:12">
      <c r="G632" t="s">
        <v>1197</v>
      </c>
      <c r="H632" t="s">
        <v>136</v>
      </c>
      <c r="I632" t="s">
        <v>368</v>
      </c>
      <c r="J632" s="4">
        <v>1306</v>
      </c>
      <c r="K632" s="5">
        <v>0.25267993874425726</v>
      </c>
      <c r="L632" s="5">
        <v>7.656967840735069E-3</v>
      </c>
    </row>
    <row r="633" spans="7:12">
      <c r="G633" t="s">
        <v>1198</v>
      </c>
      <c r="H633" t="s">
        <v>317</v>
      </c>
      <c r="I633" t="s">
        <v>137</v>
      </c>
      <c r="J633" s="4">
        <v>1615</v>
      </c>
      <c r="K633" s="5">
        <v>0.25263157894736843</v>
      </c>
      <c r="L633" s="5">
        <v>3.4055727554179564E-2</v>
      </c>
    </row>
    <row r="634" spans="7:12">
      <c r="G634" t="s">
        <v>1199</v>
      </c>
      <c r="H634" t="s">
        <v>103</v>
      </c>
      <c r="I634" t="s">
        <v>136</v>
      </c>
      <c r="J634" s="4">
        <v>9512</v>
      </c>
      <c r="K634" s="5">
        <v>0.25262825904121111</v>
      </c>
      <c r="L634" s="5">
        <v>1.7451640033641715E-2</v>
      </c>
    </row>
    <row r="635" spans="7:12">
      <c r="G635" t="s">
        <v>1200</v>
      </c>
      <c r="H635" t="s">
        <v>352</v>
      </c>
      <c r="I635" t="s">
        <v>89</v>
      </c>
      <c r="J635" s="4">
        <v>7312</v>
      </c>
      <c r="K635" s="5">
        <v>0.25259846827133481</v>
      </c>
      <c r="L635" s="5">
        <v>2.4480306345733043E-2</v>
      </c>
    </row>
    <row r="636" spans="7:12">
      <c r="G636" t="s">
        <v>1201</v>
      </c>
      <c r="H636" t="s">
        <v>103</v>
      </c>
      <c r="I636" t="s">
        <v>406</v>
      </c>
      <c r="J636" s="4">
        <v>9807</v>
      </c>
      <c r="K636" s="5">
        <v>0.2525746915468543</v>
      </c>
      <c r="L636" s="5">
        <v>9.9928622412562458E-3</v>
      </c>
    </row>
    <row r="637" spans="7:12">
      <c r="G637" t="s">
        <v>1202</v>
      </c>
      <c r="H637" t="s">
        <v>100</v>
      </c>
      <c r="I637" t="s">
        <v>293</v>
      </c>
      <c r="J637" s="4">
        <v>3405</v>
      </c>
      <c r="K637" s="5">
        <v>0.25256975036710722</v>
      </c>
      <c r="L637" s="5">
        <v>1.145374449339207E-2</v>
      </c>
    </row>
    <row r="638" spans="7:12">
      <c r="G638" t="s">
        <v>1203</v>
      </c>
      <c r="H638" t="s">
        <v>149</v>
      </c>
      <c r="I638" t="s">
        <v>85</v>
      </c>
      <c r="J638" s="4">
        <v>16437</v>
      </c>
      <c r="K638" s="5">
        <v>0.25254000121676706</v>
      </c>
      <c r="L638" s="5">
        <v>1.7643122224250168E-2</v>
      </c>
    </row>
    <row r="639" spans="7:12">
      <c r="G639" t="s">
        <v>1204</v>
      </c>
      <c r="H639" t="s">
        <v>85</v>
      </c>
      <c r="I639" t="s">
        <v>204</v>
      </c>
      <c r="J639" s="4">
        <v>11143</v>
      </c>
      <c r="K639" s="5">
        <v>0.25253522390738581</v>
      </c>
      <c r="L639" s="5">
        <v>1.714080588710401E-2</v>
      </c>
    </row>
    <row r="640" spans="7:12">
      <c r="G640" t="s">
        <v>1205</v>
      </c>
      <c r="H640" t="s">
        <v>336</v>
      </c>
      <c r="I640" t="s">
        <v>160</v>
      </c>
      <c r="J640" s="4">
        <v>1097</v>
      </c>
      <c r="K640" s="5">
        <v>0.25250683682771197</v>
      </c>
      <c r="L640" s="5">
        <v>4.5578851412944391E-3</v>
      </c>
    </row>
    <row r="641" spans="7:12">
      <c r="G641" t="s">
        <v>1206</v>
      </c>
      <c r="H641" t="s">
        <v>121</v>
      </c>
      <c r="I641" t="s">
        <v>140</v>
      </c>
      <c r="J641" s="4">
        <v>10190</v>
      </c>
      <c r="K641" s="5">
        <v>0.25250245338567223</v>
      </c>
      <c r="L641" s="5">
        <v>2.6005888125613347E-2</v>
      </c>
    </row>
    <row r="642" spans="7:12">
      <c r="G642" t="s">
        <v>1207</v>
      </c>
      <c r="H642" t="s">
        <v>95</v>
      </c>
      <c r="I642" t="s">
        <v>360</v>
      </c>
      <c r="J642" s="4">
        <v>4777</v>
      </c>
      <c r="K642" s="5">
        <v>0.25245970274230689</v>
      </c>
      <c r="L642" s="5">
        <v>1.1722838601632824E-2</v>
      </c>
    </row>
    <row r="643" spans="7:12">
      <c r="G643" t="s">
        <v>1208</v>
      </c>
      <c r="H643" t="s">
        <v>165</v>
      </c>
      <c r="I643" t="s">
        <v>121</v>
      </c>
      <c r="J643" s="4">
        <v>3039</v>
      </c>
      <c r="K643" s="5">
        <v>0.25238565317538664</v>
      </c>
      <c r="L643" s="5">
        <v>1.085883514313919E-2</v>
      </c>
    </row>
    <row r="644" spans="7:12">
      <c r="G644" t="s">
        <v>1209</v>
      </c>
      <c r="H644" t="s">
        <v>103</v>
      </c>
      <c r="I644" t="s">
        <v>360</v>
      </c>
      <c r="J644" s="4">
        <v>7770</v>
      </c>
      <c r="K644" s="5">
        <v>0.25238095238095237</v>
      </c>
      <c r="L644" s="5">
        <v>1.0167310167310168E-2</v>
      </c>
    </row>
    <row r="645" spans="7:12">
      <c r="G645" t="s">
        <v>1210</v>
      </c>
      <c r="H645" t="s">
        <v>100</v>
      </c>
      <c r="I645" t="s">
        <v>149</v>
      </c>
      <c r="J645" s="4">
        <v>9243</v>
      </c>
      <c r="K645" s="5">
        <v>0.25219084712755596</v>
      </c>
      <c r="L645" s="5">
        <v>2.1854376284756033E-2</v>
      </c>
    </row>
    <row r="646" spans="7:12">
      <c r="G646" t="s">
        <v>1211</v>
      </c>
      <c r="H646" t="s">
        <v>103</v>
      </c>
      <c r="I646" t="s">
        <v>182</v>
      </c>
      <c r="J646" s="4">
        <v>16431</v>
      </c>
      <c r="K646" s="5">
        <v>0.25202361390055383</v>
      </c>
      <c r="L646" s="5">
        <v>1.1380926297851621E-2</v>
      </c>
    </row>
    <row r="647" spans="7:12">
      <c r="G647" t="s">
        <v>1212</v>
      </c>
      <c r="H647" t="s">
        <v>100</v>
      </c>
      <c r="I647" t="s">
        <v>131</v>
      </c>
      <c r="J647" s="4">
        <v>7805</v>
      </c>
      <c r="K647" s="5">
        <v>0.25201793721973093</v>
      </c>
      <c r="L647" s="5">
        <v>9.0967328635490063E-3</v>
      </c>
    </row>
    <row r="648" spans="7:12">
      <c r="G648" t="s">
        <v>1213</v>
      </c>
      <c r="H648" t="s">
        <v>326</v>
      </c>
      <c r="I648" t="s">
        <v>414</v>
      </c>
      <c r="J648" s="4">
        <v>3135</v>
      </c>
      <c r="K648" s="5">
        <v>0.25199362041467305</v>
      </c>
      <c r="L648" s="5">
        <v>2.2328548644338117E-3</v>
      </c>
    </row>
    <row r="649" spans="7:12">
      <c r="G649" t="s">
        <v>1214</v>
      </c>
      <c r="H649" t="s">
        <v>85</v>
      </c>
      <c r="I649" t="s">
        <v>137</v>
      </c>
      <c r="J649" s="4">
        <v>9406</v>
      </c>
      <c r="K649" s="5">
        <v>0.25196682968318096</v>
      </c>
      <c r="L649" s="5">
        <v>1.5628322347437804E-2</v>
      </c>
    </row>
    <row r="650" spans="7:12">
      <c r="G650" t="s">
        <v>1215</v>
      </c>
      <c r="H650" t="s">
        <v>103</v>
      </c>
      <c r="I650" t="s">
        <v>455</v>
      </c>
      <c r="J650" s="4">
        <v>11921</v>
      </c>
      <c r="K650" s="5">
        <v>0.25190839694656486</v>
      </c>
      <c r="L650" s="5">
        <v>7.8852445264659E-3</v>
      </c>
    </row>
    <row r="651" spans="7:12">
      <c r="G651" t="s">
        <v>1216</v>
      </c>
      <c r="H651" t="s">
        <v>131</v>
      </c>
      <c r="I651" t="s">
        <v>422</v>
      </c>
      <c r="J651" s="4">
        <v>2617</v>
      </c>
      <c r="K651" s="5">
        <v>0.25181505540695454</v>
      </c>
      <c r="L651" s="5">
        <v>3.8211692777990066E-3</v>
      </c>
    </row>
    <row r="652" spans="7:12">
      <c r="G652" t="s">
        <v>1217</v>
      </c>
      <c r="H652" t="s">
        <v>100</v>
      </c>
      <c r="I652" t="s">
        <v>160</v>
      </c>
      <c r="J652" s="4">
        <v>1128</v>
      </c>
      <c r="K652" s="5">
        <v>0.25177304964539005</v>
      </c>
      <c r="L652" s="5">
        <v>5.3191489361702126E-3</v>
      </c>
    </row>
    <row r="653" spans="7:12">
      <c r="G653" t="s">
        <v>1218</v>
      </c>
      <c r="H653" t="s">
        <v>252</v>
      </c>
      <c r="I653" t="s">
        <v>204</v>
      </c>
      <c r="J653" s="4">
        <v>7537</v>
      </c>
      <c r="K653" s="5">
        <v>0.25169165450444475</v>
      </c>
      <c r="L653" s="5">
        <v>2.1759320684622527E-2</v>
      </c>
    </row>
    <row r="654" spans="7:12">
      <c r="G654" t="s">
        <v>1219</v>
      </c>
      <c r="H654" t="s">
        <v>103</v>
      </c>
      <c r="I654" t="s">
        <v>221</v>
      </c>
      <c r="J654" s="4">
        <v>6799</v>
      </c>
      <c r="K654" s="5">
        <v>0.25165465509633772</v>
      </c>
      <c r="L654" s="5">
        <v>1.117811442859244E-2</v>
      </c>
    </row>
    <row r="655" spans="7:12">
      <c r="G655" t="s">
        <v>1220</v>
      </c>
      <c r="H655" t="s">
        <v>202</v>
      </c>
      <c r="I655" t="s">
        <v>89</v>
      </c>
      <c r="J655" s="4">
        <v>8643</v>
      </c>
      <c r="K655" s="5">
        <v>0.2516487330787921</v>
      </c>
      <c r="L655" s="5">
        <v>2.7768136063866713E-2</v>
      </c>
    </row>
    <row r="656" spans="7:12">
      <c r="G656" t="s">
        <v>1221</v>
      </c>
      <c r="H656" t="s">
        <v>140</v>
      </c>
      <c r="I656" t="s">
        <v>370</v>
      </c>
      <c r="J656" s="4">
        <v>16690</v>
      </c>
      <c r="K656" s="5">
        <v>0.25164769322947872</v>
      </c>
      <c r="L656" s="5">
        <v>1.8933493109646496E-2</v>
      </c>
    </row>
    <row r="657" spans="7:12">
      <c r="G657" t="s">
        <v>1222</v>
      </c>
      <c r="H657" t="s">
        <v>226</v>
      </c>
      <c r="I657" t="s">
        <v>140</v>
      </c>
      <c r="J657" s="4">
        <v>12627</v>
      </c>
      <c r="K657" s="5">
        <v>0.25160370634354956</v>
      </c>
      <c r="L657" s="5">
        <v>1.6868614872891423E-2</v>
      </c>
    </row>
    <row r="658" spans="7:12">
      <c r="G658" t="s">
        <v>1223</v>
      </c>
      <c r="H658" t="s">
        <v>160</v>
      </c>
      <c r="I658" t="s">
        <v>418</v>
      </c>
      <c r="J658" s="4">
        <v>1272</v>
      </c>
      <c r="K658" s="5">
        <v>0.25157232704402516</v>
      </c>
      <c r="L658" s="5">
        <v>1.179245283018868E-2</v>
      </c>
    </row>
    <row r="659" spans="7:12">
      <c r="G659" t="s">
        <v>1224</v>
      </c>
      <c r="H659" t="s">
        <v>103</v>
      </c>
      <c r="I659" t="s">
        <v>408</v>
      </c>
      <c r="J659" s="4">
        <v>7748</v>
      </c>
      <c r="K659" s="5">
        <v>0.25154878678368614</v>
      </c>
      <c r="L659" s="5">
        <v>8.0020650490449149E-3</v>
      </c>
    </row>
    <row r="660" spans="7:12">
      <c r="G660" t="s">
        <v>1225</v>
      </c>
      <c r="H660" t="s">
        <v>137</v>
      </c>
      <c r="I660" t="s">
        <v>80</v>
      </c>
      <c r="J660" s="4">
        <v>7927</v>
      </c>
      <c r="K660" s="5">
        <v>0.2515453513308944</v>
      </c>
      <c r="L660" s="5">
        <v>1.6525797905891256E-2</v>
      </c>
    </row>
    <row r="661" spans="7:12">
      <c r="G661" t="s">
        <v>1226</v>
      </c>
      <c r="H661" t="s">
        <v>137</v>
      </c>
      <c r="I661" t="s">
        <v>297</v>
      </c>
      <c r="J661" s="4">
        <v>2505</v>
      </c>
      <c r="K661" s="5">
        <v>0.25149700598802394</v>
      </c>
      <c r="L661" s="5">
        <v>2.1157684630738523E-2</v>
      </c>
    </row>
    <row r="662" spans="7:12">
      <c r="G662" t="s">
        <v>1227</v>
      </c>
      <c r="H662" t="s">
        <v>118</v>
      </c>
      <c r="I662" t="s">
        <v>377</v>
      </c>
      <c r="J662" s="4">
        <v>17128</v>
      </c>
      <c r="K662" s="5">
        <v>0.25145959831854275</v>
      </c>
      <c r="L662" s="5">
        <v>1.226062587575899E-2</v>
      </c>
    </row>
    <row r="663" spans="7:12">
      <c r="G663" t="s">
        <v>1228</v>
      </c>
      <c r="H663" t="s">
        <v>160</v>
      </c>
      <c r="I663" t="s">
        <v>204</v>
      </c>
      <c r="J663" s="4">
        <v>5131</v>
      </c>
      <c r="K663" s="5">
        <v>0.25141297992594036</v>
      </c>
      <c r="L663" s="5">
        <v>1.5006821282401092E-2</v>
      </c>
    </row>
    <row r="664" spans="7:12">
      <c r="G664" t="s">
        <v>1229</v>
      </c>
      <c r="H664" t="s">
        <v>118</v>
      </c>
      <c r="I664" t="s">
        <v>210</v>
      </c>
      <c r="J664" s="4">
        <v>3099</v>
      </c>
      <c r="K664" s="5">
        <v>0.25137141013230074</v>
      </c>
      <c r="L664" s="5">
        <v>1.3230074217489512E-2</v>
      </c>
    </row>
    <row r="665" spans="7:12">
      <c r="G665" t="s">
        <v>1230</v>
      </c>
      <c r="H665" t="s">
        <v>136</v>
      </c>
      <c r="I665" t="s">
        <v>240</v>
      </c>
      <c r="J665" s="4">
        <v>2224</v>
      </c>
      <c r="K665" s="5">
        <v>0.25134892086330934</v>
      </c>
      <c r="L665" s="5">
        <v>9.892086330935251E-3</v>
      </c>
    </row>
    <row r="666" spans="7:12">
      <c r="G666" t="s">
        <v>1231</v>
      </c>
      <c r="H666" t="s">
        <v>461</v>
      </c>
      <c r="I666" t="s">
        <v>131</v>
      </c>
      <c r="J666" s="4">
        <v>12816</v>
      </c>
      <c r="K666" s="5">
        <v>0.25132646691635457</v>
      </c>
      <c r="L666" s="5">
        <v>7.4906367041198503E-3</v>
      </c>
    </row>
    <row r="667" spans="7:12">
      <c r="G667" t="s">
        <v>1232</v>
      </c>
      <c r="H667" t="s">
        <v>131</v>
      </c>
      <c r="I667" t="s">
        <v>204</v>
      </c>
      <c r="J667" s="4">
        <v>1409</v>
      </c>
      <c r="K667" s="5">
        <v>0.25124201561391057</v>
      </c>
      <c r="L667" s="5">
        <v>4.2583392476933995E-3</v>
      </c>
    </row>
    <row r="668" spans="7:12">
      <c r="G668" t="s">
        <v>1233</v>
      </c>
      <c r="H668" t="s">
        <v>136</v>
      </c>
      <c r="I668" t="s">
        <v>85</v>
      </c>
      <c r="J668" s="4">
        <v>2476</v>
      </c>
      <c r="K668" s="5">
        <v>0.25121163166397414</v>
      </c>
      <c r="L668" s="5">
        <v>1.8578352180936994E-2</v>
      </c>
    </row>
    <row r="669" spans="7:12">
      <c r="G669" t="s">
        <v>1234</v>
      </c>
      <c r="H669" t="s">
        <v>449</v>
      </c>
      <c r="I669" t="s">
        <v>162</v>
      </c>
      <c r="J669" s="4">
        <v>1871</v>
      </c>
      <c r="K669" s="5">
        <v>0.25120256547300907</v>
      </c>
      <c r="L669" s="5">
        <v>6.9481560662747197E-3</v>
      </c>
    </row>
    <row r="670" spans="7:12">
      <c r="G670" t="s">
        <v>1235</v>
      </c>
      <c r="H670" t="s">
        <v>100</v>
      </c>
      <c r="I670" t="s">
        <v>422</v>
      </c>
      <c r="J670" s="4">
        <v>5697</v>
      </c>
      <c r="K670" s="5">
        <v>0.25118483412322273</v>
      </c>
      <c r="L670" s="5">
        <v>7.196770229945585E-3</v>
      </c>
    </row>
    <row r="671" spans="7:12">
      <c r="G671" t="s">
        <v>1236</v>
      </c>
      <c r="H671" t="s">
        <v>202</v>
      </c>
      <c r="I671" t="s">
        <v>416</v>
      </c>
      <c r="J671" s="4">
        <v>1318</v>
      </c>
      <c r="K671" s="5">
        <v>0.2511380880121396</v>
      </c>
      <c r="L671" s="5">
        <v>9.8634294385432468E-3</v>
      </c>
    </row>
    <row r="672" spans="7:12">
      <c r="G672" t="s">
        <v>1237</v>
      </c>
      <c r="H672" t="s">
        <v>837</v>
      </c>
      <c r="I672" t="s">
        <v>118</v>
      </c>
      <c r="J672" s="4">
        <v>2230</v>
      </c>
      <c r="K672" s="5">
        <v>0.25112107623318386</v>
      </c>
      <c r="L672" s="5">
        <v>4.8430493273542603E-2</v>
      </c>
    </row>
    <row r="673" spans="7:12">
      <c r="G673" t="s">
        <v>1238</v>
      </c>
      <c r="H673" t="s">
        <v>160</v>
      </c>
      <c r="I673" t="s">
        <v>182</v>
      </c>
      <c r="J673" s="4">
        <v>4480</v>
      </c>
      <c r="K673" s="5">
        <v>0.25111607142857145</v>
      </c>
      <c r="L673" s="5">
        <v>1.3169642857142857E-2</v>
      </c>
    </row>
    <row r="674" spans="7:12">
      <c r="G674" t="s">
        <v>1239</v>
      </c>
      <c r="H674" t="s">
        <v>100</v>
      </c>
      <c r="I674" t="s">
        <v>252</v>
      </c>
      <c r="J674" s="4">
        <v>10216</v>
      </c>
      <c r="K674" s="5">
        <v>0.25107674236491778</v>
      </c>
      <c r="L674" s="5">
        <v>1.1942051683633517E-2</v>
      </c>
    </row>
    <row r="675" spans="7:12">
      <c r="G675" t="s">
        <v>1240</v>
      </c>
      <c r="H675" t="s">
        <v>326</v>
      </c>
      <c r="I675" t="s">
        <v>202</v>
      </c>
      <c r="J675" s="4">
        <v>3398</v>
      </c>
      <c r="K675" s="5">
        <v>0.25103001765744554</v>
      </c>
      <c r="L675" s="5">
        <v>8.828722778104767E-3</v>
      </c>
    </row>
    <row r="676" spans="7:12">
      <c r="G676" t="s">
        <v>1241</v>
      </c>
      <c r="H676" t="s">
        <v>118</v>
      </c>
      <c r="I676" t="s">
        <v>142</v>
      </c>
      <c r="J676" s="4">
        <v>4223</v>
      </c>
      <c r="K676" s="5">
        <v>0.25100639355908122</v>
      </c>
      <c r="L676" s="5">
        <v>2.2495856026521429E-2</v>
      </c>
    </row>
    <row r="677" spans="7:12">
      <c r="G677" t="s">
        <v>1242</v>
      </c>
      <c r="H677" t="s">
        <v>118</v>
      </c>
      <c r="I677" t="s">
        <v>470</v>
      </c>
      <c r="J677" s="4">
        <v>1076</v>
      </c>
      <c r="K677" s="5">
        <v>0.25092936802973975</v>
      </c>
      <c r="L677" s="5">
        <v>2.0446096654275093E-2</v>
      </c>
    </row>
    <row r="678" spans="7:12">
      <c r="G678" t="s">
        <v>1243</v>
      </c>
      <c r="H678" t="s">
        <v>140</v>
      </c>
      <c r="I678" t="s">
        <v>162</v>
      </c>
      <c r="J678" s="4">
        <v>12478</v>
      </c>
      <c r="K678" s="5">
        <v>0.2509216220548165</v>
      </c>
      <c r="L678" s="5">
        <v>3.5181920179515949E-2</v>
      </c>
    </row>
    <row r="679" spans="7:12">
      <c r="G679" t="s">
        <v>1244</v>
      </c>
      <c r="H679" t="s">
        <v>131</v>
      </c>
      <c r="I679" t="s">
        <v>160</v>
      </c>
      <c r="J679" s="4">
        <v>8724</v>
      </c>
      <c r="K679" s="5">
        <v>0.25080238422741863</v>
      </c>
      <c r="L679" s="5">
        <v>1.3067400275103164E-2</v>
      </c>
    </row>
    <row r="680" spans="7:12">
      <c r="G680" t="s">
        <v>1245</v>
      </c>
      <c r="H680" t="s">
        <v>134</v>
      </c>
      <c r="I680" t="s">
        <v>434</v>
      </c>
      <c r="J680" s="4">
        <v>1579</v>
      </c>
      <c r="K680" s="5">
        <v>0.25079164027865736</v>
      </c>
      <c r="L680" s="5">
        <v>1.3299556681443952E-2</v>
      </c>
    </row>
    <row r="681" spans="7:12">
      <c r="G681" t="s">
        <v>1246</v>
      </c>
      <c r="H681" t="s">
        <v>137</v>
      </c>
      <c r="I681" t="s">
        <v>202</v>
      </c>
      <c r="J681" s="4">
        <v>7736</v>
      </c>
      <c r="K681" s="5">
        <v>0.25077559462254395</v>
      </c>
      <c r="L681" s="5">
        <v>1.7450879007238882E-2</v>
      </c>
    </row>
    <row r="682" spans="7:12">
      <c r="G682" t="s">
        <v>1247</v>
      </c>
      <c r="H682" t="s">
        <v>390</v>
      </c>
      <c r="I682" t="s">
        <v>226</v>
      </c>
      <c r="J682" s="4">
        <v>13210</v>
      </c>
      <c r="K682" s="5">
        <v>0.25071915215745649</v>
      </c>
      <c r="L682" s="5">
        <v>1.2036336109008327E-2</v>
      </c>
    </row>
    <row r="683" spans="7:12">
      <c r="G683" t="s">
        <v>1248</v>
      </c>
      <c r="H683" t="s">
        <v>100</v>
      </c>
      <c r="I683" t="s">
        <v>370</v>
      </c>
      <c r="J683" s="4">
        <v>8032</v>
      </c>
      <c r="K683" s="5">
        <v>0.25062250996015939</v>
      </c>
      <c r="L683" s="5">
        <v>8.839641434262949E-3</v>
      </c>
    </row>
    <row r="684" spans="7:12">
      <c r="G684" t="s">
        <v>1249</v>
      </c>
      <c r="H684" t="s">
        <v>137</v>
      </c>
      <c r="I684" t="s">
        <v>252</v>
      </c>
      <c r="J684" s="4">
        <v>6828</v>
      </c>
      <c r="K684" s="5">
        <v>0.2505858230814294</v>
      </c>
      <c r="L684" s="5">
        <v>1.8599882835383715E-2</v>
      </c>
    </row>
    <row r="685" spans="7:12">
      <c r="G685" t="s">
        <v>1250</v>
      </c>
      <c r="H685" t="s">
        <v>131</v>
      </c>
      <c r="I685" t="s">
        <v>162</v>
      </c>
      <c r="J685" s="4">
        <v>4881</v>
      </c>
      <c r="K685" s="5">
        <v>0.25056340913747183</v>
      </c>
      <c r="L685" s="5">
        <v>8.8096701495595162E-3</v>
      </c>
    </row>
    <row r="686" spans="7:12">
      <c r="G686" t="s">
        <v>1251</v>
      </c>
      <c r="H686" t="s">
        <v>160</v>
      </c>
      <c r="I686" t="s">
        <v>85</v>
      </c>
      <c r="J686" s="4">
        <v>1389</v>
      </c>
      <c r="K686" s="5">
        <v>0.2505399568034557</v>
      </c>
      <c r="L686" s="5">
        <v>1.511879049676026E-2</v>
      </c>
    </row>
    <row r="687" spans="7:12">
      <c r="G687" t="s">
        <v>1252</v>
      </c>
      <c r="H687" t="s">
        <v>80</v>
      </c>
      <c r="I687" t="s">
        <v>370</v>
      </c>
      <c r="J687" s="4">
        <v>6145</v>
      </c>
      <c r="K687" s="5">
        <v>0.25044751830756712</v>
      </c>
      <c r="L687" s="5">
        <v>1.0089503661513425E-2</v>
      </c>
    </row>
    <row r="688" spans="7:12">
      <c r="G688" t="s">
        <v>1253</v>
      </c>
      <c r="H688" t="s">
        <v>131</v>
      </c>
      <c r="I688" t="s">
        <v>291</v>
      </c>
      <c r="J688" s="4">
        <v>2843</v>
      </c>
      <c r="K688" s="5">
        <v>0.25043967639817094</v>
      </c>
      <c r="L688" s="5">
        <v>5.9795990151248679E-3</v>
      </c>
    </row>
    <row r="689" spans="7:12">
      <c r="G689" t="s">
        <v>1254</v>
      </c>
      <c r="H689" t="s">
        <v>131</v>
      </c>
      <c r="I689" t="s">
        <v>221</v>
      </c>
      <c r="J689" s="4">
        <v>3039</v>
      </c>
      <c r="K689" s="5">
        <v>0.25041131951299772</v>
      </c>
      <c r="L689" s="5">
        <v>7.8973346495557744E-3</v>
      </c>
    </row>
    <row r="690" spans="7:12">
      <c r="G690" t="s">
        <v>1255</v>
      </c>
      <c r="H690" t="s">
        <v>160</v>
      </c>
      <c r="I690" t="s">
        <v>95</v>
      </c>
      <c r="J690" s="4">
        <v>7869</v>
      </c>
      <c r="K690" s="5">
        <v>0.25034947261405516</v>
      </c>
      <c r="L690" s="5">
        <v>1.5376795018426738E-2</v>
      </c>
    </row>
    <row r="691" spans="7:12">
      <c r="G691" t="s">
        <v>1256</v>
      </c>
      <c r="H691" t="s">
        <v>136</v>
      </c>
      <c r="I691" t="s">
        <v>137</v>
      </c>
      <c r="J691" s="4">
        <v>5087</v>
      </c>
      <c r="K691" s="5">
        <v>0.25024572439551801</v>
      </c>
      <c r="L691" s="5">
        <v>1.3170827599764104E-2</v>
      </c>
    </row>
    <row r="692" spans="7:12">
      <c r="G692" t="s">
        <v>1257</v>
      </c>
      <c r="H692" t="s">
        <v>331</v>
      </c>
      <c r="I692" t="s">
        <v>87</v>
      </c>
      <c r="J692" s="4">
        <v>1035</v>
      </c>
      <c r="K692" s="5">
        <v>0.25024154589371983</v>
      </c>
      <c r="L692" s="5">
        <v>5.7971014492753624E-3</v>
      </c>
    </row>
    <row r="693" spans="7:12">
      <c r="G693" t="s">
        <v>1258</v>
      </c>
      <c r="H693" t="s">
        <v>95</v>
      </c>
      <c r="I693" t="s">
        <v>226</v>
      </c>
      <c r="J693" s="4">
        <v>3861</v>
      </c>
      <c r="K693" s="5">
        <v>0.25019425019425018</v>
      </c>
      <c r="L693" s="5">
        <v>1.554001554001554E-2</v>
      </c>
    </row>
    <row r="694" spans="7:12">
      <c r="G694" t="s">
        <v>1259</v>
      </c>
      <c r="H694" t="s">
        <v>215</v>
      </c>
      <c r="I694" t="s">
        <v>398</v>
      </c>
      <c r="J694" s="4">
        <v>6719</v>
      </c>
      <c r="K694" s="5">
        <v>0.25018603958922458</v>
      </c>
      <c r="L694" s="5">
        <v>5.5067718410477745E-3</v>
      </c>
    </row>
    <row r="695" spans="7:12">
      <c r="G695" t="s">
        <v>1260</v>
      </c>
      <c r="H695" t="s">
        <v>358</v>
      </c>
      <c r="I695" t="s">
        <v>326</v>
      </c>
      <c r="J695" s="4">
        <v>2447</v>
      </c>
      <c r="K695" s="5">
        <v>0.25010216591744994</v>
      </c>
      <c r="L695" s="5">
        <v>1.0625255414793625E-2</v>
      </c>
    </row>
    <row r="696" spans="7:12">
      <c r="G696" t="s">
        <v>1261</v>
      </c>
      <c r="H696" t="s">
        <v>167</v>
      </c>
      <c r="I696" t="s">
        <v>226</v>
      </c>
      <c r="J696" s="4">
        <v>3307</v>
      </c>
      <c r="K696" s="5">
        <v>0.25007559721802236</v>
      </c>
      <c r="L696" s="5">
        <v>2.0260054429996975E-2</v>
      </c>
    </row>
    <row r="697" spans="7:12">
      <c r="G697" t="s">
        <v>1262</v>
      </c>
      <c r="H697" t="s">
        <v>160</v>
      </c>
      <c r="I697" t="s">
        <v>103</v>
      </c>
      <c r="J697" s="4">
        <v>9767</v>
      </c>
      <c r="K697" s="5">
        <v>0.25002559639602745</v>
      </c>
      <c r="L697" s="5">
        <v>1.6688850209890447E-2</v>
      </c>
    </row>
    <row r="698" spans="7:12">
      <c r="G698" t="s">
        <v>1263</v>
      </c>
      <c r="H698" t="s">
        <v>100</v>
      </c>
      <c r="I698" t="s">
        <v>158</v>
      </c>
      <c r="J698" s="4">
        <v>3644</v>
      </c>
      <c r="K698" s="5">
        <v>0.25</v>
      </c>
      <c r="L698" s="5">
        <v>1.2897914379802415E-2</v>
      </c>
    </row>
    <row r="699" spans="7:12">
      <c r="G699" t="s">
        <v>1264</v>
      </c>
      <c r="H699" t="s">
        <v>377</v>
      </c>
      <c r="I699" t="s">
        <v>390</v>
      </c>
      <c r="J699" s="4">
        <v>1736</v>
      </c>
      <c r="K699" s="5">
        <v>0.25</v>
      </c>
      <c r="L699" s="5">
        <v>5.1843317972350231E-3</v>
      </c>
    </row>
    <row r="700" spans="7:12">
      <c r="G700" t="s">
        <v>1265</v>
      </c>
      <c r="H700" t="s">
        <v>194</v>
      </c>
      <c r="I700" t="s">
        <v>118</v>
      </c>
      <c r="J700" s="4">
        <v>3408</v>
      </c>
      <c r="K700" s="5">
        <v>0.25</v>
      </c>
      <c r="L700" s="5">
        <v>1.9659624413145539E-2</v>
      </c>
    </row>
    <row r="701" spans="7:12">
      <c r="G701" t="s">
        <v>1266</v>
      </c>
      <c r="H701" t="s">
        <v>200</v>
      </c>
      <c r="I701" t="s">
        <v>331</v>
      </c>
      <c r="J701" s="4">
        <v>1008</v>
      </c>
      <c r="K701" s="5">
        <v>0.25</v>
      </c>
      <c r="L701" s="5">
        <v>4.96031746031746E-3</v>
      </c>
    </row>
    <row r="702" spans="7:12">
      <c r="G702" t="s">
        <v>1267</v>
      </c>
      <c r="H702" t="s">
        <v>182</v>
      </c>
      <c r="I702" t="s">
        <v>189</v>
      </c>
      <c r="J702" s="4">
        <v>6254</v>
      </c>
      <c r="K702" s="5">
        <v>0.24992005116725297</v>
      </c>
      <c r="L702" s="5">
        <v>1.1512631915574032E-2</v>
      </c>
    </row>
    <row r="703" spans="7:12">
      <c r="G703" t="s">
        <v>1268</v>
      </c>
      <c r="H703" t="s">
        <v>278</v>
      </c>
      <c r="I703" t="s">
        <v>226</v>
      </c>
      <c r="J703" s="4">
        <v>3330</v>
      </c>
      <c r="K703" s="5">
        <v>0.24984984984984984</v>
      </c>
      <c r="L703" s="5">
        <v>1.1411411411411412E-2</v>
      </c>
    </row>
    <row r="704" spans="7:12">
      <c r="G704" t="s">
        <v>1269</v>
      </c>
      <c r="H704" t="s">
        <v>131</v>
      </c>
      <c r="I704" t="s">
        <v>324</v>
      </c>
      <c r="J704" s="4">
        <v>1581</v>
      </c>
      <c r="K704" s="5">
        <v>0.24984187223276408</v>
      </c>
      <c r="L704" s="5">
        <v>6.957621758380772E-3</v>
      </c>
    </row>
    <row r="705" spans="7:12">
      <c r="G705" t="s">
        <v>1270</v>
      </c>
      <c r="H705" t="s">
        <v>215</v>
      </c>
      <c r="I705" t="s">
        <v>358</v>
      </c>
      <c r="J705" s="4">
        <v>1417</v>
      </c>
      <c r="K705" s="5">
        <v>0.24982357092448837</v>
      </c>
      <c r="L705" s="5">
        <v>6.3514467184191958E-3</v>
      </c>
    </row>
    <row r="706" spans="7:12">
      <c r="G706" t="s">
        <v>1271</v>
      </c>
      <c r="H706" t="s">
        <v>131</v>
      </c>
      <c r="I706" t="s">
        <v>400</v>
      </c>
      <c r="J706" s="4">
        <v>2718</v>
      </c>
      <c r="K706" s="5">
        <v>0.24981604120676967</v>
      </c>
      <c r="L706" s="5">
        <v>1.6188373804267846E-2</v>
      </c>
    </row>
    <row r="707" spans="7:12">
      <c r="G707" t="s">
        <v>1272</v>
      </c>
      <c r="H707" t="s">
        <v>100</v>
      </c>
      <c r="I707" t="s">
        <v>457</v>
      </c>
      <c r="J707" s="4">
        <v>2302</v>
      </c>
      <c r="K707" s="5">
        <v>0.24978279756733276</v>
      </c>
      <c r="L707" s="5">
        <v>1.3032145960034752E-2</v>
      </c>
    </row>
    <row r="708" spans="7:12">
      <c r="G708" t="s">
        <v>1273</v>
      </c>
      <c r="H708" t="s">
        <v>160</v>
      </c>
      <c r="I708" t="s">
        <v>313</v>
      </c>
      <c r="J708" s="4">
        <v>1990</v>
      </c>
      <c r="K708" s="5">
        <v>0.24974874371859296</v>
      </c>
      <c r="L708" s="5">
        <v>5.0251256281407036E-3</v>
      </c>
    </row>
    <row r="709" spans="7:12">
      <c r="G709" t="s">
        <v>1274</v>
      </c>
      <c r="H709" t="s">
        <v>414</v>
      </c>
      <c r="I709" t="s">
        <v>134</v>
      </c>
      <c r="J709" s="4">
        <v>1890</v>
      </c>
      <c r="K709" s="5">
        <v>0.24973544973544973</v>
      </c>
      <c r="L709" s="5">
        <v>1.5873015873015872E-2</v>
      </c>
    </row>
    <row r="710" spans="7:12">
      <c r="G710" t="s">
        <v>1275</v>
      </c>
      <c r="H710" t="s">
        <v>252</v>
      </c>
      <c r="I710" t="s">
        <v>140</v>
      </c>
      <c r="J710" s="4">
        <v>7305</v>
      </c>
      <c r="K710" s="5">
        <v>0.24969199178644763</v>
      </c>
      <c r="L710" s="5">
        <v>3.2443531827515401E-2</v>
      </c>
    </row>
    <row r="711" spans="7:12">
      <c r="G711" t="s">
        <v>1276</v>
      </c>
      <c r="H711" t="s">
        <v>80</v>
      </c>
      <c r="I711" t="s">
        <v>236</v>
      </c>
      <c r="J711" s="4">
        <v>2403</v>
      </c>
      <c r="K711" s="5">
        <v>0.24968789013732834</v>
      </c>
      <c r="L711" s="5">
        <v>1.1652101539741989E-2</v>
      </c>
    </row>
    <row r="712" spans="7:12">
      <c r="G712" t="s">
        <v>1277</v>
      </c>
      <c r="H712" t="s">
        <v>218</v>
      </c>
      <c r="I712" t="s">
        <v>134</v>
      </c>
      <c r="J712" s="4">
        <v>13839</v>
      </c>
      <c r="K712" s="5">
        <v>0.24965676710744997</v>
      </c>
      <c r="L712" s="5">
        <v>1.5246766384854397E-2</v>
      </c>
    </row>
    <row r="713" spans="7:12">
      <c r="G713" t="s">
        <v>1278</v>
      </c>
      <c r="H713" t="s">
        <v>131</v>
      </c>
      <c r="I713" t="s">
        <v>360</v>
      </c>
      <c r="J713" s="4">
        <v>3810</v>
      </c>
      <c r="K713" s="5">
        <v>0.24960629921259841</v>
      </c>
      <c r="L713" s="5">
        <v>9.9737532808398949E-3</v>
      </c>
    </row>
    <row r="714" spans="7:12">
      <c r="G714" t="s">
        <v>1279</v>
      </c>
      <c r="H714" t="s">
        <v>463</v>
      </c>
      <c r="I714" t="s">
        <v>118</v>
      </c>
      <c r="J714" s="4">
        <v>2328</v>
      </c>
      <c r="K714" s="5">
        <v>0.24957044673539519</v>
      </c>
      <c r="L714" s="5">
        <v>7.7319587628865982E-3</v>
      </c>
    </row>
    <row r="715" spans="7:12">
      <c r="G715" t="s">
        <v>1280</v>
      </c>
      <c r="H715" t="s">
        <v>115</v>
      </c>
      <c r="I715" t="s">
        <v>269</v>
      </c>
      <c r="J715" s="4">
        <v>1150</v>
      </c>
      <c r="K715" s="5">
        <v>0.24956521739130436</v>
      </c>
      <c r="L715" s="5">
        <v>8.6956521739130436E-3</v>
      </c>
    </row>
    <row r="716" spans="7:12">
      <c r="G716" t="s">
        <v>1281</v>
      </c>
      <c r="H716" t="s">
        <v>95</v>
      </c>
      <c r="I716" t="s">
        <v>233</v>
      </c>
      <c r="J716" s="4">
        <v>9370</v>
      </c>
      <c r="K716" s="5">
        <v>0.24951974386339382</v>
      </c>
      <c r="L716" s="5">
        <v>1.3127001067235858E-2</v>
      </c>
    </row>
    <row r="717" spans="7:12">
      <c r="G717" t="s">
        <v>1282</v>
      </c>
      <c r="H717" t="s">
        <v>218</v>
      </c>
      <c r="I717" t="s">
        <v>121</v>
      </c>
      <c r="J717" s="4">
        <v>12096</v>
      </c>
      <c r="K717" s="5">
        <v>0.24950396825396826</v>
      </c>
      <c r="L717" s="5">
        <v>1.0251322751322751E-2</v>
      </c>
    </row>
    <row r="718" spans="7:12">
      <c r="G718" t="s">
        <v>1283</v>
      </c>
      <c r="H718" t="s">
        <v>115</v>
      </c>
      <c r="I718" t="s">
        <v>319</v>
      </c>
      <c r="J718" s="4">
        <v>5519</v>
      </c>
      <c r="K718" s="5">
        <v>0.24950172132632722</v>
      </c>
      <c r="L718" s="5">
        <v>1.1052726943286828E-2</v>
      </c>
    </row>
    <row r="719" spans="7:12">
      <c r="G719" t="s">
        <v>1284</v>
      </c>
      <c r="H719" t="s">
        <v>118</v>
      </c>
      <c r="I719" t="s">
        <v>307</v>
      </c>
      <c r="J719" s="4">
        <v>4133</v>
      </c>
      <c r="K719" s="5">
        <v>0.24945560125816599</v>
      </c>
      <c r="L719" s="5">
        <v>2.3953544640696829E-2</v>
      </c>
    </row>
    <row r="720" spans="7:12">
      <c r="G720" t="s">
        <v>1285</v>
      </c>
      <c r="H720" t="s">
        <v>95</v>
      </c>
      <c r="I720" t="s">
        <v>408</v>
      </c>
      <c r="J720" s="4">
        <v>7137</v>
      </c>
      <c r="K720" s="5">
        <v>0.24940451169959366</v>
      </c>
      <c r="L720" s="5">
        <v>1.4712063892391762E-2</v>
      </c>
    </row>
    <row r="721" spans="7:12">
      <c r="G721" t="s">
        <v>1286</v>
      </c>
      <c r="H721" t="s">
        <v>115</v>
      </c>
      <c r="I721" t="s">
        <v>293</v>
      </c>
      <c r="J721" s="4">
        <v>4966</v>
      </c>
      <c r="K721" s="5">
        <v>0.24929520741039066</v>
      </c>
      <c r="L721" s="5">
        <v>9.464357631896899E-3</v>
      </c>
    </row>
    <row r="722" spans="7:12">
      <c r="G722" t="s">
        <v>1287</v>
      </c>
      <c r="H722" t="s">
        <v>105</v>
      </c>
      <c r="I722" t="s">
        <v>89</v>
      </c>
      <c r="J722" s="4">
        <v>2673</v>
      </c>
      <c r="K722" s="5">
        <v>0.24915824915824916</v>
      </c>
      <c r="L722" s="5">
        <v>8.23045267489712E-3</v>
      </c>
    </row>
    <row r="723" spans="7:12">
      <c r="G723" t="s">
        <v>1288</v>
      </c>
      <c r="H723" t="s">
        <v>100</v>
      </c>
      <c r="I723" t="s">
        <v>240</v>
      </c>
      <c r="J723" s="4">
        <v>5246</v>
      </c>
      <c r="K723" s="5">
        <v>0.2491422035836828</v>
      </c>
      <c r="L723" s="5">
        <v>9.1498284407167361E-3</v>
      </c>
    </row>
    <row r="724" spans="7:12">
      <c r="G724" t="s">
        <v>1289</v>
      </c>
      <c r="H724" t="s">
        <v>189</v>
      </c>
      <c r="I724" t="s">
        <v>182</v>
      </c>
      <c r="J724" s="4">
        <v>6262</v>
      </c>
      <c r="K724" s="5">
        <v>0.2491216863621846</v>
      </c>
      <c r="L724" s="5">
        <v>1.0060683487703609E-2</v>
      </c>
    </row>
    <row r="725" spans="7:12">
      <c r="G725" t="s">
        <v>1290</v>
      </c>
      <c r="H725" t="s">
        <v>136</v>
      </c>
      <c r="I725" t="s">
        <v>319</v>
      </c>
      <c r="J725" s="4">
        <v>1963</v>
      </c>
      <c r="K725" s="5">
        <v>0.24910850738665308</v>
      </c>
      <c r="L725" s="5">
        <v>7.641365257259297E-3</v>
      </c>
    </row>
    <row r="726" spans="7:12">
      <c r="G726" t="s">
        <v>1291</v>
      </c>
      <c r="H726" t="s">
        <v>189</v>
      </c>
      <c r="I726" t="s">
        <v>390</v>
      </c>
      <c r="J726" s="4">
        <v>1903</v>
      </c>
      <c r="K726" s="5">
        <v>0.2490803993694167</v>
      </c>
      <c r="L726" s="5">
        <v>7.3568050446663168E-3</v>
      </c>
    </row>
    <row r="727" spans="7:12">
      <c r="G727" t="s">
        <v>1292</v>
      </c>
      <c r="H727" t="s">
        <v>254</v>
      </c>
      <c r="I727" t="s">
        <v>204</v>
      </c>
      <c r="J727" s="4">
        <v>2618</v>
      </c>
      <c r="K727" s="5">
        <v>0.24904507257448433</v>
      </c>
      <c r="L727" s="5">
        <v>2.291825821237586E-2</v>
      </c>
    </row>
    <row r="728" spans="7:12">
      <c r="G728" t="s">
        <v>1293</v>
      </c>
      <c r="H728" t="s">
        <v>118</v>
      </c>
      <c r="I728" t="s">
        <v>110</v>
      </c>
      <c r="J728" s="4">
        <v>2076</v>
      </c>
      <c r="K728" s="5">
        <v>0.24903660886319845</v>
      </c>
      <c r="L728" s="5">
        <v>7.7071290944123313E-3</v>
      </c>
    </row>
    <row r="729" spans="7:12">
      <c r="G729" t="s">
        <v>1294</v>
      </c>
      <c r="H729" t="s">
        <v>136</v>
      </c>
      <c r="I729" t="s">
        <v>259</v>
      </c>
      <c r="J729" s="4">
        <v>7377</v>
      </c>
      <c r="K729" s="5">
        <v>0.2488816592110614</v>
      </c>
      <c r="L729" s="5">
        <v>2.5891283719669242E-2</v>
      </c>
    </row>
    <row r="730" spans="7:12">
      <c r="G730" t="s">
        <v>1295</v>
      </c>
      <c r="H730" t="s">
        <v>115</v>
      </c>
      <c r="I730" t="s">
        <v>297</v>
      </c>
      <c r="J730" s="4">
        <v>4629</v>
      </c>
      <c r="K730" s="5">
        <v>0.24886584575502269</v>
      </c>
      <c r="L730" s="5">
        <v>7.9930870598401375E-3</v>
      </c>
    </row>
    <row r="731" spans="7:12">
      <c r="G731" t="s">
        <v>1296</v>
      </c>
      <c r="H731" t="s">
        <v>100</v>
      </c>
      <c r="I731" t="s">
        <v>263</v>
      </c>
      <c r="J731" s="4">
        <v>3496</v>
      </c>
      <c r="K731" s="5">
        <v>0.2488558352402746</v>
      </c>
      <c r="L731" s="5">
        <v>1.6018306636155607E-2</v>
      </c>
    </row>
    <row r="732" spans="7:12">
      <c r="G732" t="s">
        <v>1297</v>
      </c>
      <c r="H732" t="s">
        <v>80</v>
      </c>
      <c r="I732" t="s">
        <v>233</v>
      </c>
      <c r="J732" s="4">
        <v>6261</v>
      </c>
      <c r="K732" s="5">
        <v>0.24884203801309696</v>
      </c>
      <c r="L732" s="5">
        <v>1.3895543842836608E-2</v>
      </c>
    </row>
    <row r="733" spans="7:12">
      <c r="G733" t="s">
        <v>1298</v>
      </c>
      <c r="H733" t="s">
        <v>221</v>
      </c>
      <c r="I733" t="s">
        <v>326</v>
      </c>
      <c r="J733" s="4">
        <v>2287</v>
      </c>
      <c r="K733" s="5">
        <v>0.24879755137735024</v>
      </c>
      <c r="L733" s="5">
        <v>5.684302579798863E-3</v>
      </c>
    </row>
    <row r="734" spans="7:12">
      <c r="G734" t="s">
        <v>1299</v>
      </c>
      <c r="H734" t="s">
        <v>103</v>
      </c>
      <c r="I734" t="s">
        <v>503</v>
      </c>
      <c r="J734" s="4">
        <v>3212</v>
      </c>
      <c r="K734" s="5">
        <v>0.24875466998754669</v>
      </c>
      <c r="L734" s="5">
        <v>7.1606475716064757E-3</v>
      </c>
    </row>
    <row r="735" spans="7:12">
      <c r="G735" t="s">
        <v>1300</v>
      </c>
      <c r="H735" t="s">
        <v>103</v>
      </c>
      <c r="I735" t="s">
        <v>95</v>
      </c>
      <c r="J735" s="4">
        <v>13863</v>
      </c>
      <c r="K735" s="5">
        <v>0.24871961335930173</v>
      </c>
      <c r="L735" s="5">
        <v>1.3489143763976051E-2</v>
      </c>
    </row>
    <row r="736" spans="7:12">
      <c r="G736" t="s">
        <v>1301</v>
      </c>
      <c r="H736" t="s">
        <v>420</v>
      </c>
      <c r="I736" t="s">
        <v>89</v>
      </c>
      <c r="J736" s="4">
        <v>2300</v>
      </c>
      <c r="K736" s="5">
        <v>0.24869565217391304</v>
      </c>
      <c r="L736" s="5">
        <v>2.6521739130434784E-2</v>
      </c>
    </row>
    <row r="737" spans="7:12">
      <c r="G737" t="s">
        <v>1302</v>
      </c>
      <c r="H737" t="s">
        <v>103</v>
      </c>
      <c r="I737" t="s">
        <v>374</v>
      </c>
      <c r="J737" s="4">
        <v>8987</v>
      </c>
      <c r="K737" s="5">
        <v>0.24869255591409814</v>
      </c>
      <c r="L737" s="5">
        <v>7.9003004339601654E-3</v>
      </c>
    </row>
    <row r="738" spans="7:12">
      <c r="G738" t="s">
        <v>1303</v>
      </c>
      <c r="H738" t="s">
        <v>182</v>
      </c>
      <c r="I738" t="s">
        <v>162</v>
      </c>
      <c r="J738" s="4">
        <v>4746</v>
      </c>
      <c r="K738" s="5">
        <v>0.24863042562157606</v>
      </c>
      <c r="L738" s="5">
        <v>6.5318162663295411E-3</v>
      </c>
    </row>
    <row r="739" spans="7:12">
      <c r="G739" t="s">
        <v>1304</v>
      </c>
      <c r="H739" t="s">
        <v>100</v>
      </c>
      <c r="I739" t="s">
        <v>347</v>
      </c>
      <c r="J739" s="4">
        <v>3162</v>
      </c>
      <c r="K739" s="5">
        <v>0.24857685009487665</v>
      </c>
      <c r="L739" s="5">
        <v>7.906388361796331E-3</v>
      </c>
    </row>
    <row r="740" spans="7:12">
      <c r="G740" t="s">
        <v>1305</v>
      </c>
      <c r="H740" t="s">
        <v>115</v>
      </c>
      <c r="I740" t="s">
        <v>329</v>
      </c>
      <c r="J740" s="4">
        <v>3858</v>
      </c>
      <c r="K740" s="5">
        <v>0.24857439087610161</v>
      </c>
      <c r="L740" s="5">
        <v>1.2182477967858995E-2</v>
      </c>
    </row>
    <row r="741" spans="7:12">
      <c r="G741" t="s">
        <v>1306</v>
      </c>
      <c r="H741" t="s">
        <v>100</v>
      </c>
      <c r="I741" t="s">
        <v>344</v>
      </c>
      <c r="J741" s="4">
        <v>5910</v>
      </c>
      <c r="K741" s="5">
        <v>0.24856175972927241</v>
      </c>
      <c r="L741" s="5">
        <v>1.1336717428087987E-2</v>
      </c>
    </row>
    <row r="742" spans="7:12">
      <c r="G742" t="s">
        <v>1307</v>
      </c>
      <c r="H742" t="s">
        <v>1102</v>
      </c>
      <c r="I742" t="s">
        <v>103</v>
      </c>
      <c r="J742" s="4">
        <v>1034</v>
      </c>
      <c r="K742" s="5">
        <v>0.24854932301740812</v>
      </c>
      <c r="L742" s="5">
        <v>1.5473887814313346E-2</v>
      </c>
    </row>
    <row r="743" spans="7:12">
      <c r="G743" t="s">
        <v>1308</v>
      </c>
      <c r="H743" t="s">
        <v>400</v>
      </c>
      <c r="I743" t="s">
        <v>89</v>
      </c>
      <c r="J743" s="4">
        <v>1493</v>
      </c>
      <c r="K743" s="5">
        <v>0.24849296718017413</v>
      </c>
      <c r="L743" s="5">
        <v>2.1433355659745478E-2</v>
      </c>
    </row>
    <row r="744" spans="7:12">
      <c r="G744" t="s">
        <v>1309</v>
      </c>
      <c r="H744" t="s">
        <v>95</v>
      </c>
      <c r="I744" t="s">
        <v>319</v>
      </c>
      <c r="J744" s="4">
        <v>4777</v>
      </c>
      <c r="K744" s="5">
        <v>0.24848231107389576</v>
      </c>
      <c r="L744" s="5">
        <v>9.0014653548252041E-3</v>
      </c>
    </row>
    <row r="745" spans="7:12">
      <c r="G745" t="s">
        <v>1310</v>
      </c>
      <c r="H745" t="s">
        <v>134</v>
      </c>
      <c r="I745" t="s">
        <v>189</v>
      </c>
      <c r="J745" s="4">
        <v>7140</v>
      </c>
      <c r="K745" s="5">
        <v>0.24845938375350141</v>
      </c>
      <c r="L745" s="5">
        <v>1.4845938375350139E-2</v>
      </c>
    </row>
    <row r="746" spans="7:12">
      <c r="G746" t="s">
        <v>1311</v>
      </c>
      <c r="H746" t="s">
        <v>299</v>
      </c>
      <c r="I746" t="s">
        <v>87</v>
      </c>
      <c r="J746" s="4">
        <v>1135</v>
      </c>
      <c r="K746" s="5">
        <v>0.24845814977973568</v>
      </c>
      <c r="L746" s="5">
        <v>3.524229074889868E-3</v>
      </c>
    </row>
    <row r="747" spans="7:12">
      <c r="G747" t="s">
        <v>1312</v>
      </c>
      <c r="H747" t="s">
        <v>218</v>
      </c>
      <c r="I747" t="s">
        <v>137</v>
      </c>
      <c r="J747" s="4">
        <v>17275</v>
      </c>
      <c r="K747" s="5">
        <v>0.2482778581765557</v>
      </c>
      <c r="L747" s="5">
        <v>1.3198263386396528E-2</v>
      </c>
    </row>
    <row r="748" spans="7:12">
      <c r="G748" t="s">
        <v>1313</v>
      </c>
      <c r="H748" t="s">
        <v>100</v>
      </c>
      <c r="I748" t="s">
        <v>307</v>
      </c>
      <c r="J748" s="4">
        <v>1281</v>
      </c>
      <c r="K748" s="5">
        <v>0.24824355971896955</v>
      </c>
      <c r="L748" s="5">
        <v>2.1077283372365339E-2</v>
      </c>
    </row>
    <row r="749" spans="7:12">
      <c r="G749" t="s">
        <v>1314</v>
      </c>
      <c r="H749" t="s">
        <v>129</v>
      </c>
      <c r="I749" t="s">
        <v>100</v>
      </c>
      <c r="J749" s="4">
        <v>3940</v>
      </c>
      <c r="K749" s="5">
        <v>0.2482233502538071</v>
      </c>
      <c r="L749" s="5">
        <v>1.751269035532995E-2</v>
      </c>
    </row>
    <row r="750" spans="7:12">
      <c r="G750" t="s">
        <v>1315</v>
      </c>
      <c r="H750" t="s">
        <v>92</v>
      </c>
      <c r="I750" t="s">
        <v>103</v>
      </c>
      <c r="J750" s="4">
        <v>4501</v>
      </c>
      <c r="K750" s="5">
        <v>0.24816707398355922</v>
      </c>
      <c r="L750" s="5">
        <v>1.7773828038213729E-2</v>
      </c>
    </row>
    <row r="751" spans="7:12">
      <c r="G751" t="s">
        <v>1316</v>
      </c>
      <c r="H751" t="s">
        <v>466</v>
      </c>
      <c r="I751" t="s">
        <v>226</v>
      </c>
      <c r="J751" s="4">
        <v>4257</v>
      </c>
      <c r="K751" s="5">
        <v>0.24806201550387597</v>
      </c>
      <c r="L751" s="5">
        <v>1.3389711064129669E-2</v>
      </c>
    </row>
    <row r="752" spans="7:12">
      <c r="G752" t="s">
        <v>1317</v>
      </c>
      <c r="H752" t="s">
        <v>80</v>
      </c>
      <c r="I752" t="s">
        <v>344</v>
      </c>
      <c r="J752" s="4">
        <v>1153</v>
      </c>
      <c r="K752" s="5">
        <v>0.24804856895056374</v>
      </c>
      <c r="L752" s="5">
        <v>1.9947961838681701E-2</v>
      </c>
    </row>
    <row r="753" spans="7:12">
      <c r="G753" t="s">
        <v>1318</v>
      </c>
      <c r="H753" t="s">
        <v>100</v>
      </c>
      <c r="I753" t="s">
        <v>297</v>
      </c>
      <c r="J753" s="4">
        <v>7582</v>
      </c>
      <c r="K753" s="5">
        <v>0.24795568451595884</v>
      </c>
      <c r="L753" s="5">
        <v>1.1870218939593774E-2</v>
      </c>
    </row>
    <row r="754" spans="7:12">
      <c r="G754" t="s">
        <v>1319</v>
      </c>
      <c r="H754" t="s">
        <v>268</v>
      </c>
      <c r="I754" t="s">
        <v>398</v>
      </c>
      <c r="J754" s="4">
        <v>1331</v>
      </c>
      <c r="K754" s="5">
        <v>0.24793388429752067</v>
      </c>
      <c r="L754" s="5">
        <v>8.2644628099173556E-3</v>
      </c>
    </row>
    <row r="755" spans="7:12">
      <c r="G755" t="s">
        <v>1320</v>
      </c>
      <c r="H755" t="s">
        <v>103</v>
      </c>
      <c r="I755" t="s">
        <v>158</v>
      </c>
      <c r="J755" s="4">
        <v>2642</v>
      </c>
      <c r="K755" s="5">
        <v>0.24791824375473126</v>
      </c>
      <c r="L755" s="5">
        <v>9.8410295230885701E-3</v>
      </c>
    </row>
    <row r="756" spans="7:12">
      <c r="G756" t="s">
        <v>1321</v>
      </c>
      <c r="H756" t="s">
        <v>118</v>
      </c>
      <c r="I756" t="s">
        <v>204</v>
      </c>
      <c r="J756" s="4">
        <v>19245</v>
      </c>
      <c r="K756" s="5">
        <v>0.2479085476747207</v>
      </c>
      <c r="L756" s="5">
        <v>1.8446349701221096E-2</v>
      </c>
    </row>
    <row r="757" spans="7:12">
      <c r="G757" t="s">
        <v>1322</v>
      </c>
      <c r="H757" t="s">
        <v>115</v>
      </c>
      <c r="I757" t="s">
        <v>89</v>
      </c>
      <c r="J757" s="4">
        <v>4607</v>
      </c>
      <c r="K757" s="5">
        <v>0.24788365530714129</v>
      </c>
      <c r="L757" s="5">
        <v>2.3008465378771433E-2</v>
      </c>
    </row>
    <row r="758" spans="7:12">
      <c r="G758" t="s">
        <v>1323</v>
      </c>
      <c r="H758" t="s">
        <v>100</v>
      </c>
      <c r="I758" t="s">
        <v>121</v>
      </c>
      <c r="J758" s="4">
        <v>5702</v>
      </c>
      <c r="K758" s="5">
        <v>0.2478077867414942</v>
      </c>
      <c r="L758" s="5">
        <v>1.104875482286917E-2</v>
      </c>
    </row>
    <row r="759" spans="7:12">
      <c r="G759" t="s">
        <v>1324</v>
      </c>
      <c r="H759" t="s">
        <v>340</v>
      </c>
      <c r="I759" t="s">
        <v>87</v>
      </c>
      <c r="J759" s="4">
        <v>1816</v>
      </c>
      <c r="K759" s="5">
        <v>0.24779735682819384</v>
      </c>
      <c r="L759" s="5">
        <v>9.3612334801762113E-3</v>
      </c>
    </row>
    <row r="760" spans="7:12">
      <c r="G760" t="s">
        <v>1325</v>
      </c>
      <c r="H760" t="s">
        <v>118</v>
      </c>
      <c r="I760" t="s">
        <v>463</v>
      </c>
      <c r="J760" s="4">
        <v>2325</v>
      </c>
      <c r="K760" s="5">
        <v>0.24774193548387097</v>
      </c>
      <c r="L760" s="5">
        <v>4.3010752688172043E-3</v>
      </c>
    </row>
    <row r="761" spans="7:12">
      <c r="G761" t="s">
        <v>1326</v>
      </c>
      <c r="H761" t="s">
        <v>95</v>
      </c>
      <c r="I761" t="s">
        <v>252</v>
      </c>
      <c r="J761" s="4">
        <v>8154</v>
      </c>
      <c r="K761" s="5">
        <v>0.24773117488349278</v>
      </c>
      <c r="L761" s="5">
        <v>1.2509197939661517E-2</v>
      </c>
    </row>
    <row r="762" spans="7:12">
      <c r="G762" t="s">
        <v>1327</v>
      </c>
      <c r="H762" t="s">
        <v>331</v>
      </c>
      <c r="I762" t="s">
        <v>180</v>
      </c>
      <c r="J762" s="4">
        <v>1086</v>
      </c>
      <c r="K762" s="5">
        <v>0.24769797421731124</v>
      </c>
      <c r="L762" s="5">
        <v>9.2081031307550652E-3</v>
      </c>
    </row>
    <row r="763" spans="7:12">
      <c r="G763" t="s">
        <v>1328</v>
      </c>
      <c r="H763" t="s">
        <v>100</v>
      </c>
      <c r="I763" t="s">
        <v>236</v>
      </c>
      <c r="J763" s="4">
        <v>5873</v>
      </c>
      <c r="K763" s="5">
        <v>0.24757364209092458</v>
      </c>
      <c r="L763" s="5">
        <v>8.6838072535331181E-3</v>
      </c>
    </row>
    <row r="764" spans="7:12">
      <c r="G764" t="s">
        <v>1329</v>
      </c>
      <c r="H764" t="s">
        <v>362</v>
      </c>
      <c r="I764" t="s">
        <v>226</v>
      </c>
      <c r="J764" s="4">
        <v>4609</v>
      </c>
      <c r="K764" s="5">
        <v>0.24755912345411152</v>
      </c>
      <c r="L764" s="5">
        <v>1.3451941852896507E-2</v>
      </c>
    </row>
    <row r="765" spans="7:12">
      <c r="G765" t="s">
        <v>1330</v>
      </c>
      <c r="H765" t="s">
        <v>105</v>
      </c>
      <c r="I765" t="s">
        <v>80</v>
      </c>
      <c r="J765" s="4">
        <v>7053</v>
      </c>
      <c r="K765" s="5">
        <v>0.24755423224159931</v>
      </c>
      <c r="L765" s="5">
        <v>9.3577201190982555E-3</v>
      </c>
    </row>
    <row r="766" spans="7:12">
      <c r="G766" t="s">
        <v>1331</v>
      </c>
      <c r="H766" t="s">
        <v>259</v>
      </c>
      <c r="I766" t="s">
        <v>268</v>
      </c>
      <c r="J766" s="4">
        <v>3600</v>
      </c>
      <c r="K766" s="5">
        <v>0.2475</v>
      </c>
      <c r="L766" s="5">
        <v>1.5277777777777777E-2</v>
      </c>
    </row>
    <row r="767" spans="7:12">
      <c r="G767" t="s">
        <v>1332</v>
      </c>
      <c r="H767" t="s">
        <v>134</v>
      </c>
      <c r="I767" t="s">
        <v>85</v>
      </c>
      <c r="J767" s="4">
        <v>10029</v>
      </c>
      <c r="K767" s="5">
        <v>0.24748230132615415</v>
      </c>
      <c r="L767" s="5">
        <v>1.8346794296540035E-2</v>
      </c>
    </row>
    <row r="768" spans="7:12">
      <c r="G768" t="s">
        <v>1333</v>
      </c>
      <c r="H768" t="s">
        <v>236</v>
      </c>
      <c r="I768" t="s">
        <v>162</v>
      </c>
      <c r="J768" s="4">
        <v>4649</v>
      </c>
      <c r="K768" s="5">
        <v>0.24736502473650249</v>
      </c>
      <c r="L768" s="5">
        <v>1.1615401161540116E-2</v>
      </c>
    </row>
    <row r="769" spans="7:12">
      <c r="G769" t="s">
        <v>1334</v>
      </c>
      <c r="H769" t="s">
        <v>204</v>
      </c>
      <c r="I769" t="s">
        <v>299</v>
      </c>
      <c r="J769" s="4">
        <v>2070</v>
      </c>
      <c r="K769" s="5">
        <v>0.24734299516908212</v>
      </c>
      <c r="L769" s="5">
        <v>3.864734299516908E-2</v>
      </c>
    </row>
    <row r="770" spans="7:12">
      <c r="G770" t="s">
        <v>1335</v>
      </c>
      <c r="H770" t="s">
        <v>89</v>
      </c>
      <c r="I770" t="s">
        <v>457</v>
      </c>
      <c r="J770" s="4">
        <v>8890</v>
      </c>
      <c r="K770" s="5">
        <v>0.24724409448818899</v>
      </c>
      <c r="L770" s="5">
        <v>2.4859392575928008E-2</v>
      </c>
    </row>
    <row r="771" spans="7:12">
      <c r="G771" t="s">
        <v>1336</v>
      </c>
      <c r="H771" t="s">
        <v>85</v>
      </c>
      <c r="I771" t="s">
        <v>377</v>
      </c>
      <c r="J771" s="4">
        <v>3460</v>
      </c>
      <c r="K771" s="5">
        <v>0.24710982658959538</v>
      </c>
      <c r="L771" s="5">
        <v>6.9364161849710983E-3</v>
      </c>
    </row>
    <row r="772" spans="7:12">
      <c r="G772" t="s">
        <v>1337</v>
      </c>
      <c r="H772" t="s">
        <v>89</v>
      </c>
      <c r="I772" t="s">
        <v>388</v>
      </c>
      <c r="J772" s="4">
        <v>6440</v>
      </c>
      <c r="K772" s="5">
        <v>0.24704968944099379</v>
      </c>
      <c r="L772" s="5">
        <v>1.9875776397515529E-2</v>
      </c>
    </row>
    <row r="773" spans="7:12">
      <c r="G773" t="s">
        <v>1338</v>
      </c>
      <c r="H773" t="s">
        <v>137</v>
      </c>
      <c r="I773" t="s">
        <v>182</v>
      </c>
      <c r="J773" s="4">
        <v>2862</v>
      </c>
      <c r="K773" s="5">
        <v>0.24703004891684138</v>
      </c>
      <c r="L773" s="5">
        <v>1.1180992313067784E-2</v>
      </c>
    </row>
    <row r="774" spans="7:12">
      <c r="G774" t="s">
        <v>1339</v>
      </c>
      <c r="H774" t="s">
        <v>89</v>
      </c>
      <c r="I774" t="s">
        <v>218</v>
      </c>
      <c r="J774" s="4">
        <v>19520</v>
      </c>
      <c r="K774" s="5">
        <v>0.24702868852459017</v>
      </c>
      <c r="L774" s="5">
        <v>1.8391393442622951E-2</v>
      </c>
    </row>
    <row r="775" spans="7:12">
      <c r="G775" t="s">
        <v>1340</v>
      </c>
      <c r="H775" t="s">
        <v>115</v>
      </c>
      <c r="I775" t="s">
        <v>162</v>
      </c>
      <c r="J775" s="4">
        <v>12254</v>
      </c>
      <c r="K775" s="5">
        <v>0.24702138077362493</v>
      </c>
      <c r="L775" s="5">
        <v>1.6729231271421577E-2</v>
      </c>
    </row>
    <row r="776" spans="7:12">
      <c r="G776" t="s">
        <v>1341</v>
      </c>
      <c r="H776" t="s">
        <v>103</v>
      </c>
      <c r="I776" t="s">
        <v>115</v>
      </c>
      <c r="J776" s="4">
        <v>9120</v>
      </c>
      <c r="K776" s="5">
        <v>0.2469298245614035</v>
      </c>
      <c r="L776" s="5">
        <v>1.1074561403508772E-2</v>
      </c>
    </row>
    <row r="777" spans="7:12">
      <c r="G777" t="s">
        <v>1342</v>
      </c>
      <c r="H777" t="s">
        <v>89</v>
      </c>
      <c r="I777" t="s">
        <v>204</v>
      </c>
      <c r="J777" s="4">
        <v>9914</v>
      </c>
      <c r="K777" s="5">
        <v>0.24692354246520073</v>
      </c>
      <c r="L777" s="5">
        <v>2.2392576154932418E-2</v>
      </c>
    </row>
    <row r="778" spans="7:12">
      <c r="G778" t="s">
        <v>1343</v>
      </c>
      <c r="H778" t="s">
        <v>231</v>
      </c>
      <c r="I778" t="s">
        <v>100</v>
      </c>
      <c r="J778" s="4">
        <v>2337</v>
      </c>
      <c r="K778" s="5">
        <v>0.2468977321352161</v>
      </c>
      <c r="L778" s="5">
        <v>1.8827556696619598E-2</v>
      </c>
    </row>
    <row r="779" spans="7:12">
      <c r="G779" t="s">
        <v>1344</v>
      </c>
      <c r="H779" t="s">
        <v>100</v>
      </c>
      <c r="I779" t="s">
        <v>105</v>
      </c>
      <c r="J779" s="4">
        <v>2969</v>
      </c>
      <c r="K779" s="5">
        <v>0.24688447288649376</v>
      </c>
      <c r="L779" s="5">
        <v>5.0522061300101043E-3</v>
      </c>
    </row>
    <row r="780" spans="7:12">
      <c r="G780" t="s">
        <v>1345</v>
      </c>
      <c r="H780" t="s">
        <v>259</v>
      </c>
      <c r="I780" t="s">
        <v>85</v>
      </c>
      <c r="J780" s="4">
        <v>17221</v>
      </c>
      <c r="K780" s="5">
        <v>0.24679170779861798</v>
      </c>
      <c r="L780" s="5">
        <v>2.0091748446663955E-2</v>
      </c>
    </row>
    <row r="781" spans="7:12">
      <c r="G781" t="s">
        <v>1346</v>
      </c>
      <c r="H781" t="s">
        <v>100</v>
      </c>
      <c r="I781" t="s">
        <v>414</v>
      </c>
      <c r="J781" s="4">
        <v>5872</v>
      </c>
      <c r="K781" s="5">
        <v>0.2467643051771117</v>
      </c>
      <c r="L781" s="5">
        <v>9.5367847411444145E-3</v>
      </c>
    </row>
    <row r="782" spans="7:12">
      <c r="G782" t="s">
        <v>1347</v>
      </c>
      <c r="H782" t="s">
        <v>189</v>
      </c>
      <c r="I782" t="s">
        <v>457</v>
      </c>
      <c r="J782" s="4">
        <v>1313</v>
      </c>
      <c r="K782" s="5">
        <v>0.24676313785224677</v>
      </c>
      <c r="L782" s="5">
        <v>6.0929169840060931E-3</v>
      </c>
    </row>
    <row r="783" spans="7:12">
      <c r="G783" t="s">
        <v>1348</v>
      </c>
      <c r="H783" t="s">
        <v>362</v>
      </c>
      <c r="I783" t="s">
        <v>182</v>
      </c>
      <c r="J783" s="4">
        <v>2768</v>
      </c>
      <c r="K783" s="5">
        <v>0.24674855491329481</v>
      </c>
      <c r="L783" s="5">
        <v>1.300578034682081E-2</v>
      </c>
    </row>
    <row r="784" spans="7:12">
      <c r="G784" t="s">
        <v>1349</v>
      </c>
      <c r="H784" t="s">
        <v>326</v>
      </c>
      <c r="I784" t="s">
        <v>221</v>
      </c>
      <c r="J784" s="4">
        <v>2286</v>
      </c>
      <c r="K784" s="5">
        <v>0.24671916010498687</v>
      </c>
      <c r="L784" s="5">
        <v>5.2493438320209973E-3</v>
      </c>
    </row>
    <row r="785" spans="7:12">
      <c r="G785" t="s">
        <v>1350</v>
      </c>
      <c r="H785" t="s">
        <v>118</v>
      </c>
      <c r="I785" t="s">
        <v>189</v>
      </c>
      <c r="J785" s="4">
        <v>9386</v>
      </c>
      <c r="K785" s="5">
        <v>0.24664393777967186</v>
      </c>
      <c r="L785" s="5">
        <v>1.1613040698913274E-2</v>
      </c>
    </row>
    <row r="786" spans="7:12">
      <c r="G786" t="s">
        <v>1351</v>
      </c>
      <c r="H786" t="s">
        <v>110</v>
      </c>
      <c r="I786" t="s">
        <v>103</v>
      </c>
      <c r="J786" s="4">
        <v>4489</v>
      </c>
      <c r="K786" s="5">
        <v>0.2466028068612163</v>
      </c>
      <c r="L786" s="5">
        <v>1.1138338159946536E-2</v>
      </c>
    </row>
    <row r="787" spans="7:12">
      <c r="G787" t="s">
        <v>1352</v>
      </c>
      <c r="H787" t="s">
        <v>160</v>
      </c>
      <c r="I787" t="s">
        <v>414</v>
      </c>
      <c r="J787" s="4">
        <v>1249</v>
      </c>
      <c r="K787" s="5">
        <v>0.24659727782225779</v>
      </c>
      <c r="L787" s="5">
        <v>4.8038430744595673E-3</v>
      </c>
    </row>
    <row r="788" spans="7:12">
      <c r="G788" t="s">
        <v>1353</v>
      </c>
      <c r="H788" t="s">
        <v>100</v>
      </c>
      <c r="I788" t="s">
        <v>118</v>
      </c>
      <c r="J788" s="4">
        <v>13086</v>
      </c>
      <c r="K788" s="5">
        <v>0.24652300168118599</v>
      </c>
      <c r="L788" s="5">
        <v>1.1386214274797494E-2</v>
      </c>
    </row>
    <row r="789" spans="7:12">
      <c r="G789" t="s">
        <v>1354</v>
      </c>
      <c r="H789" t="s">
        <v>204</v>
      </c>
      <c r="I789" t="s">
        <v>256</v>
      </c>
      <c r="J789" s="4">
        <v>2982</v>
      </c>
      <c r="K789" s="5">
        <v>0.24647887323943662</v>
      </c>
      <c r="L789" s="5">
        <v>4.3594902749832326E-2</v>
      </c>
    </row>
    <row r="790" spans="7:12">
      <c r="G790" t="s">
        <v>1355</v>
      </c>
      <c r="H790" t="s">
        <v>140</v>
      </c>
      <c r="I790" t="s">
        <v>95</v>
      </c>
      <c r="J790" s="4">
        <v>20404</v>
      </c>
      <c r="K790" s="5">
        <v>0.24642227014310919</v>
      </c>
      <c r="L790" s="5">
        <v>2.4455989021760438E-2</v>
      </c>
    </row>
    <row r="791" spans="7:12">
      <c r="G791" t="s">
        <v>1356</v>
      </c>
      <c r="H791" t="s">
        <v>134</v>
      </c>
      <c r="I791" t="s">
        <v>140</v>
      </c>
      <c r="J791" s="4">
        <v>11116</v>
      </c>
      <c r="K791" s="5">
        <v>0.24640158330334652</v>
      </c>
      <c r="L791" s="5">
        <v>1.9341489744512413E-2</v>
      </c>
    </row>
    <row r="792" spans="7:12">
      <c r="G792" t="s">
        <v>1357</v>
      </c>
      <c r="H792" t="s">
        <v>189</v>
      </c>
      <c r="I792" t="s">
        <v>202</v>
      </c>
      <c r="J792" s="4">
        <v>3704</v>
      </c>
      <c r="K792" s="5">
        <v>0.24622030237580994</v>
      </c>
      <c r="L792" s="5">
        <v>9.4492440604751621E-3</v>
      </c>
    </row>
    <row r="793" spans="7:12">
      <c r="G793" t="s">
        <v>1358</v>
      </c>
      <c r="H793" t="s">
        <v>115</v>
      </c>
      <c r="I793" t="s">
        <v>408</v>
      </c>
      <c r="J793" s="4">
        <v>3544</v>
      </c>
      <c r="K793" s="5">
        <v>0.24604966139954854</v>
      </c>
      <c r="L793" s="5">
        <v>8.1828442437923248E-3</v>
      </c>
    </row>
    <row r="794" spans="7:12">
      <c r="G794" t="s">
        <v>1359</v>
      </c>
      <c r="H794" t="s">
        <v>204</v>
      </c>
      <c r="I794" t="s">
        <v>420</v>
      </c>
      <c r="J794" s="4">
        <v>3175</v>
      </c>
      <c r="K794" s="5">
        <v>0.24598425196850393</v>
      </c>
      <c r="L794" s="5">
        <v>3.7795275590551181E-2</v>
      </c>
    </row>
    <row r="795" spans="7:12">
      <c r="G795" t="s">
        <v>1360</v>
      </c>
      <c r="H795" t="s">
        <v>103</v>
      </c>
      <c r="I795" t="s">
        <v>326</v>
      </c>
      <c r="J795" s="4">
        <v>27611</v>
      </c>
      <c r="K795" s="5">
        <v>0.24595270001086522</v>
      </c>
      <c r="L795" s="5">
        <v>1.0611712723190033E-2</v>
      </c>
    </row>
    <row r="796" spans="7:12">
      <c r="G796" t="s">
        <v>1361</v>
      </c>
      <c r="H796" t="s">
        <v>233</v>
      </c>
      <c r="I796" t="s">
        <v>85</v>
      </c>
      <c r="J796" s="4">
        <v>7140</v>
      </c>
      <c r="K796" s="5">
        <v>0.24593837535014004</v>
      </c>
      <c r="L796" s="5">
        <v>1.1764705882352941E-2</v>
      </c>
    </row>
    <row r="797" spans="7:12">
      <c r="G797" t="s">
        <v>1362</v>
      </c>
      <c r="H797" t="s">
        <v>115</v>
      </c>
      <c r="I797" t="s">
        <v>240</v>
      </c>
      <c r="J797" s="4">
        <v>5104</v>
      </c>
      <c r="K797" s="5">
        <v>0.24588557993730409</v>
      </c>
      <c r="L797" s="5">
        <v>1.018808777429467E-2</v>
      </c>
    </row>
    <row r="798" spans="7:12">
      <c r="G798" t="s">
        <v>1363</v>
      </c>
      <c r="H798" t="s">
        <v>250</v>
      </c>
      <c r="I798" t="s">
        <v>204</v>
      </c>
      <c r="J798" s="4">
        <v>4067</v>
      </c>
      <c r="K798" s="5">
        <v>0.24588148512417016</v>
      </c>
      <c r="L798" s="5">
        <v>3.1472830095893779E-2</v>
      </c>
    </row>
    <row r="799" spans="7:12">
      <c r="G799" t="s">
        <v>1364</v>
      </c>
      <c r="H799" t="s">
        <v>89</v>
      </c>
      <c r="I799" t="s">
        <v>259</v>
      </c>
      <c r="J799" s="4">
        <v>19409</v>
      </c>
      <c r="K799" s="5">
        <v>0.24586532021227267</v>
      </c>
      <c r="L799" s="5">
        <v>2.5812767272914629E-2</v>
      </c>
    </row>
    <row r="800" spans="7:12">
      <c r="G800" t="s">
        <v>1365</v>
      </c>
      <c r="H800" t="s">
        <v>118</v>
      </c>
      <c r="I800" t="s">
        <v>374</v>
      </c>
      <c r="J800" s="4">
        <v>6286</v>
      </c>
      <c r="K800" s="5">
        <v>0.24578428253261214</v>
      </c>
      <c r="L800" s="5">
        <v>1.3203945275214762E-2</v>
      </c>
    </row>
    <row r="801" spans="7:12">
      <c r="G801" t="s">
        <v>1366</v>
      </c>
      <c r="H801" t="s">
        <v>243</v>
      </c>
      <c r="I801" t="s">
        <v>118</v>
      </c>
      <c r="J801" s="4">
        <v>2832</v>
      </c>
      <c r="K801" s="5">
        <v>0.24576271186440679</v>
      </c>
      <c r="L801" s="5">
        <v>2.1186440677966101E-2</v>
      </c>
    </row>
    <row r="802" spans="7:12">
      <c r="G802" t="s">
        <v>1367</v>
      </c>
      <c r="H802" t="s">
        <v>140</v>
      </c>
      <c r="I802" t="s">
        <v>121</v>
      </c>
      <c r="J802" s="4">
        <v>10194</v>
      </c>
      <c r="K802" s="5">
        <v>0.24573278399058271</v>
      </c>
      <c r="L802" s="5">
        <v>2.3347066902099273E-2</v>
      </c>
    </row>
    <row r="803" spans="7:12">
      <c r="G803" t="s">
        <v>1368</v>
      </c>
      <c r="H803" t="s">
        <v>85</v>
      </c>
      <c r="I803" t="s">
        <v>118</v>
      </c>
      <c r="J803" s="4">
        <v>12800</v>
      </c>
      <c r="K803" s="5">
        <v>0.24570312499999999</v>
      </c>
      <c r="L803" s="5">
        <v>1.0546875000000001E-2</v>
      </c>
    </row>
    <row r="804" spans="7:12">
      <c r="G804" t="s">
        <v>1369</v>
      </c>
      <c r="H804" t="s">
        <v>80</v>
      </c>
      <c r="I804" t="s">
        <v>136</v>
      </c>
      <c r="J804" s="4">
        <v>3672</v>
      </c>
      <c r="K804" s="5">
        <v>0.24564270152505446</v>
      </c>
      <c r="L804" s="5">
        <v>1.4978213507625272E-2</v>
      </c>
    </row>
    <row r="805" spans="7:12">
      <c r="G805" t="s">
        <v>1370</v>
      </c>
      <c r="H805" t="s">
        <v>118</v>
      </c>
      <c r="I805" t="s">
        <v>259</v>
      </c>
      <c r="J805" s="4">
        <v>32434</v>
      </c>
      <c r="K805" s="5">
        <v>0.24557563051119197</v>
      </c>
      <c r="L805" s="5">
        <v>2.4233828698279582E-2</v>
      </c>
    </row>
    <row r="806" spans="7:12">
      <c r="G806" t="s">
        <v>1371</v>
      </c>
      <c r="H806" t="s">
        <v>140</v>
      </c>
      <c r="I806" t="s">
        <v>218</v>
      </c>
      <c r="J806" s="4">
        <v>18072</v>
      </c>
      <c r="K806" s="5">
        <v>0.24557326250553344</v>
      </c>
      <c r="L806" s="5">
        <v>2.1469676848162905E-2</v>
      </c>
    </row>
    <row r="807" spans="7:12">
      <c r="G807" t="s">
        <v>1372</v>
      </c>
      <c r="H807" t="s">
        <v>340</v>
      </c>
      <c r="I807" t="s">
        <v>180</v>
      </c>
      <c r="J807" s="4">
        <v>1352</v>
      </c>
      <c r="K807" s="5">
        <v>0.2455621301775148</v>
      </c>
      <c r="L807" s="5">
        <v>1.4053254437869823E-2</v>
      </c>
    </row>
    <row r="808" spans="7:12">
      <c r="G808" t="s">
        <v>1373</v>
      </c>
      <c r="H808" t="s">
        <v>89</v>
      </c>
      <c r="I808" t="s">
        <v>410</v>
      </c>
      <c r="J808" s="4">
        <v>6134</v>
      </c>
      <c r="K808" s="5">
        <v>0.24551679165308118</v>
      </c>
      <c r="L808" s="5">
        <v>2.363873492011738E-2</v>
      </c>
    </row>
    <row r="809" spans="7:12">
      <c r="G809" t="s">
        <v>1374</v>
      </c>
      <c r="H809" t="s">
        <v>236</v>
      </c>
      <c r="I809" t="s">
        <v>503</v>
      </c>
      <c r="J809" s="4">
        <v>1002</v>
      </c>
      <c r="K809" s="5">
        <v>0.24550898203592814</v>
      </c>
      <c r="L809" s="5">
        <v>3.9920159680638719E-3</v>
      </c>
    </row>
    <row r="810" spans="7:12">
      <c r="G810" t="s">
        <v>1375</v>
      </c>
      <c r="H810" t="s">
        <v>131</v>
      </c>
      <c r="I810" t="s">
        <v>103</v>
      </c>
      <c r="J810" s="4">
        <v>24780</v>
      </c>
      <c r="K810" s="5">
        <v>0.24543987086359967</v>
      </c>
      <c r="L810" s="5">
        <v>1.3882163034705408E-2</v>
      </c>
    </row>
    <row r="811" spans="7:12">
      <c r="G811" t="s">
        <v>1376</v>
      </c>
      <c r="H811" t="s">
        <v>475</v>
      </c>
      <c r="I811" t="s">
        <v>1377</v>
      </c>
      <c r="J811" s="4">
        <v>1096</v>
      </c>
      <c r="K811" s="5">
        <v>0.24543795620437955</v>
      </c>
      <c r="L811" s="5">
        <v>2.0985401459854013E-2</v>
      </c>
    </row>
    <row r="812" spans="7:12">
      <c r="G812" t="s">
        <v>1378</v>
      </c>
      <c r="H812" t="s">
        <v>149</v>
      </c>
      <c r="I812" t="s">
        <v>288</v>
      </c>
      <c r="J812" s="4">
        <v>7278</v>
      </c>
      <c r="K812" s="5">
        <v>0.24539708711184391</v>
      </c>
      <c r="L812" s="5">
        <v>3.1739488870568835E-2</v>
      </c>
    </row>
    <row r="813" spans="7:12">
      <c r="G813" t="s">
        <v>1379</v>
      </c>
      <c r="H813" t="s">
        <v>160</v>
      </c>
      <c r="I813" t="s">
        <v>370</v>
      </c>
      <c r="J813" s="4">
        <v>5522</v>
      </c>
      <c r="K813" s="5">
        <v>0.24538210793190873</v>
      </c>
      <c r="L813" s="5">
        <v>1.0503440782325244E-2</v>
      </c>
    </row>
    <row r="814" spans="7:12">
      <c r="G814" t="s">
        <v>1380</v>
      </c>
      <c r="H814" t="s">
        <v>80</v>
      </c>
      <c r="I814" t="s">
        <v>115</v>
      </c>
      <c r="J814" s="4">
        <v>11192</v>
      </c>
      <c r="K814" s="5">
        <v>0.24535382416011436</v>
      </c>
      <c r="L814" s="5">
        <v>1.7869907076483203E-2</v>
      </c>
    </row>
    <row r="815" spans="7:12">
      <c r="G815" t="s">
        <v>1381</v>
      </c>
      <c r="H815" t="s">
        <v>118</v>
      </c>
      <c r="I815" t="s">
        <v>182</v>
      </c>
      <c r="J815" s="4">
        <v>8853</v>
      </c>
      <c r="K815" s="5">
        <v>0.24534056252117925</v>
      </c>
      <c r="L815" s="5">
        <v>9.9401332881509097E-3</v>
      </c>
    </row>
    <row r="816" spans="7:12">
      <c r="G816" t="s">
        <v>1382</v>
      </c>
      <c r="H816" t="s">
        <v>197</v>
      </c>
      <c r="I816" t="s">
        <v>89</v>
      </c>
      <c r="J816" s="4">
        <v>2727</v>
      </c>
      <c r="K816" s="5">
        <v>0.24532453245324531</v>
      </c>
      <c r="L816" s="5">
        <v>2.016868353502017E-2</v>
      </c>
    </row>
    <row r="817" spans="7:12">
      <c r="G817" t="s">
        <v>1383</v>
      </c>
      <c r="H817" t="s">
        <v>233</v>
      </c>
      <c r="I817" t="s">
        <v>100</v>
      </c>
      <c r="J817" s="4">
        <v>11668</v>
      </c>
      <c r="K817" s="5">
        <v>0.24520054850874184</v>
      </c>
      <c r="L817" s="5">
        <v>1.3027082619129242E-2</v>
      </c>
    </row>
    <row r="818" spans="7:12">
      <c r="G818" t="s">
        <v>1384</v>
      </c>
      <c r="H818" t="s">
        <v>103</v>
      </c>
      <c r="I818" t="s">
        <v>263</v>
      </c>
      <c r="J818" s="4">
        <v>3921</v>
      </c>
      <c r="K818" s="5">
        <v>0.24509053812802856</v>
      </c>
      <c r="L818" s="5">
        <v>6.6309614894159655E-3</v>
      </c>
    </row>
    <row r="819" spans="7:12">
      <c r="G819" t="s">
        <v>1385</v>
      </c>
      <c r="H819" t="s">
        <v>97</v>
      </c>
      <c r="I819" t="s">
        <v>80</v>
      </c>
      <c r="J819" s="4">
        <v>1118</v>
      </c>
      <c r="K819" s="5">
        <v>0.24508050089445438</v>
      </c>
      <c r="L819" s="5">
        <v>1.3416815742397137E-2</v>
      </c>
    </row>
    <row r="820" spans="7:12">
      <c r="G820" t="s">
        <v>1386</v>
      </c>
      <c r="H820" t="s">
        <v>103</v>
      </c>
      <c r="I820" t="s">
        <v>451</v>
      </c>
      <c r="J820" s="4">
        <v>5281</v>
      </c>
      <c r="K820" s="5">
        <v>0.24502935050179891</v>
      </c>
      <c r="L820" s="5">
        <v>7.1956068926339704E-3</v>
      </c>
    </row>
    <row r="821" spans="7:12">
      <c r="G821" t="s">
        <v>1387</v>
      </c>
      <c r="H821" t="s">
        <v>131</v>
      </c>
      <c r="I821" t="s">
        <v>484</v>
      </c>
      <c r="J821" s="4">
        <v>4731</v>
      </c>
      <c r="K821" s="5">
        <v>0.24497991967871485</v>
      </c>
      <c r="L821" s="5">
        <v>8.0321285140562242E-3</v>
      </c>
    </row>
    <row r="822" spans="7:12">
      <c r="G822" t="s">
        <v>1388</v>
      </c>
      <c r="H822" t="s">
        <v>131</v>
      </c>
      <c r="I822" t="s">
        <v>268</v>
      </c>
      <c r="J822" s="4">
        <v>6222</v>
      </c>
      <c r="K822" s="5">
        <v>0.24493731918997108</v>
      </c>
      <c r="L822" s="5">
        <v>6.5895210543233688E-3</v>
      </c>
    </row>
    <row r="823" spans="7:12">
      <c r="G823" t="s">
        <v>1389</v>
      </c>
      <c r="H823" t="s">
        <v>131</v>
      </c>
      <c r="I823" t="s">
        <v>189</v>
      </c>
      <c r="J823" s="4">
        <v>9657</v>
      </c>
      <c r="K823" s="5">
        <v>0.24490007248627937</v>
      </c>
      <c r="L823" s="5">
        <v>6.9379724552138342E-3</v>
      </c>
    </row>
    <row r="824" spans="7:12">
      <c r="G824" t="s">
        <v>1390</v>
      </c>
      <c r="H824" t="s">
        <v>254</v>
      </c>
      <c r="I824" t="s">
        <v>137</v>
      </c>
      <c r="J824" s="4">
        <v>4207</v>
      </c>
      <c r="K824" s="5">
        <v>0.24483004516282386</v>
      </c>
      <c r="L824" s="5">
        <v>1.9253624910862847E-2</v>
      </c>
    </row>
    <row r="825" spans="7:12">
      <c r="G825" t="s">
        <v>1391</v>
      </c>
      <c r="H825" t="s">
        <v>80</v>
      </c>
      <c r="I825" t="s">
        <v>402</v>
      </c>
      <c r="J825" s="4">
        <v>1638</v>
      </c>
      <c r="K825" s="5">
        <v>0.2448107448107448</v>
      </c>
      <c r="L825" s="5">
        <v>1.4041514041514042E-2</v>
      </c>
    </row>
    <row r="826" spans="7:12">
      <c r="G826" t="s">
        <v>1392</v>
      </c>
      <c r="H826" t="s">
        <v>118</v>
      </c>
      <c r="I826" t="s">
        <v>416</v>
      </c>
      <c r="J826" s="4">
        <v>4636</v>
      </c>
      <c r="K826" s="5">
        <v>0.24460742018981882</v>
      </c>
      <c r="L826" s="5">
        <v>1.2295081967213115E-2</v>
      </c>
    </row>
    <row r="827" spans="7:12">
      <c r="G827" t="s">
        <v>1393</v>
      </c>
      <c r="H827" t="s">
        <v>136</v>
      </c>
      <c r="I827" t="s">
        <v>268</v>
      </c>
      <c r="J827" s="4">
        <v>5368</v>
      </c>
      <c r="K827" s="5">
        <v>0.24459761549925485</v>
      </c>
      <c r="L827" s="5">
        <v>1.2667660208643815E-2</v>
      </c>
    </row>
    <row r="828" spans="7:12">
      <c r="G828" t="s">
        <v>1394</v>
      </c>
      <c r="H828" t="s">
        <v>85</v>
      </c>
      <c r="I828" t="s">
        <v>100</v>
      </c>
      <c r="J828" s="4">
        <v>10741</v>
      </c>
      <c r="K828" s="5">
        <v>0.24448375384042453</v>
      </c>
      <c r="L828" s="5">
        <v>1.126524532166465E-2</v>
      </c>
    </row>
    <row r="829" spans="7:12">
      <c r="G829" t="s">
        <v>1395</v>
      </c>
      <c r="H829" t="s">
        <v>140</v>
      </c>
      <c r="I829" t="s">
        <v>461</v>
      </c>
      <c r="J829" s="4">
        <v>3514</v>
      </c>
      <c r="K829" s="5">
        <v>0.24445076835515084</v>
      </c>
      <c r="L829" s="5">
        <v>1.508252703471827E-2</v>
      </c>
    </row>
    <row r="830" spans="7:12">
      <c r="G830" t="s">
        <v>1396</v>
      </c>
      <c r="H830" t="s">
        <v>160</v>
      </c>
      <c r="I830" t="s">
        <v>336</v>
      </c>
      <c r="J830" s="4">
        <v>1097</v>
      </c>
      <c r="K830" s="5">
        <v>0.24430264357338194</v>
      </c>
      <c r="L830" s="5">
        <v>3.6463081130355514E-3</v>
      </c>
    </row>
    <row r="831" spans="7:12">
      <c r="G831" t="s">
        <v>1397</v>
      </c>
      <c r="H831" t="s">
        <v>160</v>
      </c>
      <c r="I831" t="s">
        <v>388</v>
      </c>
      <c r="J831" s="4">
        <v>2624</v>
      </c>
      <c r="K831" s="5">
        <v>0.24428353658536586</v>
      </c>
      <c r="L831" s="5">
        <v>1.0289634146341464E-2</v>
      </c>
    </row>
    <row r="832" spans="7:12">
      <c r="G832" t="s">
        <v>1398</v>
      </c>
      <c r="H832" t="s">
        <v>218</v>
      </c>
      <c r="I832" t="s">
        <v>118</v>
      </c>
      <c r="J832" s="4">
        <v>18035</v>
      </c>
      <c r="K832" s="5">
        <v>0.2442472969226504</v>
      </c>
      <c r="L832" s="5">
        <v>1.3972830607152759E-2</v>
      </c>
    </row>
    <row r="833" spans="7:12">
      <c r="G833" t="s">
        <v>1399</v>
      </c>
      <c r="H833" t="s">
        <v>273</v>
      </c>
      <c r="I833" t="s">
        <v>118</v>
      </c>
      <c r="J833" s="4">
        <v>3006</v>
      </c>
      <c r="K833" s="5">
        <v>0.24417831004657353</v>
      </c>
      <c r="L833" s="5">
        <v>1.2308715901530274E-2</v>
      </c>
    </row>
    <row r="834" spans="7:12">
      <c r="G834" t="s">
        <v>1400</v>
      </c>
      <c r="H834" t="s">
        <v>155</v>
      </c>
      <c r="I834" t="s">
        <v>182</v>
      </c>
      <c r="J834" s="4">
        <v>2052</v>
      </c>
      <c r="K834" s="5">
        <v>0.24415204678362573</v>
      </c>
      <c r="L834" s="5">
        <v>1.9493177387914229E-2</v>
      </c>
    </row>
    <row r="835" spans="7:12">
      <c r="G835" t="s">
        <v>1401</v>
      </c>
      <c r="H835" t="s">
        <v>236</v>
      </c>
      <c r="I835" t="s">
        <v>370</v>
      </c>
      <c r="J835" s="4">
        <v>3302</v>
      </c>
      <c r="K835" s="5">
        <v>0.24409448818897639</v>
      </c>
      <c r="L835" s="5">
        <v>5.7540884312537854E-3</v>
      </c>
    </row>
    <row r="836" spans="7:12">
      <c r="G836" t="s">
        <v>1402</v>
      </c>
      <c r="H836" t="s">
        <v>822</v>
      </c>
      <c r="I836" t="s">
        <v>95</v>
      </c>
      <c r="J836" s="4">
        <v>2032</v>
      </c>
      <c r="K836" s="5">
        <v>0.24409448818897639</v>
      </c>
      <c r="L836" s="5">
        <v>1.4763779527559055E-2</v>
      </c>
    </row>
    <row r="837" spans="7:12">
      <c r="G837" t="s">
        <v>1403</v>
      </c>
      <c r="H837" t="s">
        <v>89</v>
      </c>
      <c r="I837" t="s">
        <v>144</v>
      </c>
      <c r="J837" s="4">
        <v>1885</v>
      </c>
      <c r="K837" s="5">
        <v>0.24403183023872679</v>
      </c>
      <c r="L837" s="5">
        <v>1.9098143236074269E-2</v>
      </c>
    </row>
    <row r="838" spans="7:12">
      <c r="G838" t="s">
        <v>1404</v>
      </c>
      <c r="H838" t="s">
        <v>189</v>
      </c>
      <c r="I838" t="s">
        <v>137</v>
      </c>
      <c r="J838" s="4">
        <v>2980</v>
      </c>
      <c r="K838" s="5">
        <v>0.24395973154362416</v>
      </c>
      <c r="L838" s="5">
        <v>1.4429530201342283E-2</v>
      </c>
    </row>
    <row r="839" spans="7:12">
      <c r="G839" t="s">
        <v>1405</v>
      </c>
      <c r="H839" t="s">
        <v>80</v>
      </c>
      <c r="I839" t="s">
        <v>202</v>
      </c>
      <c r="J839" s="4">
        <v>3854</v>
      </c>
      <c r="K839" s="5">
        <v>0.24364296834457708</v>
      </c>
      <c r="L839" s="5">
        <v>1.5827711468604049E-2</v>
      </c>
    </row>
    <row r="840" spans="7:12">
      <c r="G840" t="s">
        <v>1406</v>
      </c>
      <c r="H840" t="s">
        <v>160</v>
      </c>
      <c r="I840" t="s">
        <v>455</v>
      </c>
      <c r="J840" s="4">
        <v>1683</v>
      </c>
      <c r="K840" s="5">
        <v>0.24361259655377301</v>
      </c>
      <c r="L840" s="5">
        <v>8.3184789067142009E-3</v>
      </c>
    </row>
    <row r="841" spans="7:12">
      <c r="G841" t="s">
        <v>1407</v>
      </c>
      <c r="H841" t="s">
        <v>236</v>
      </c>
      <c r="I841" t="s">
        <v>89</v>
      </c>
      <c r="J841" s="4">
        <v>6700</v>
      </c>
      <c r="K841" s="5">
        <v>0.24358208955223881</v>
      </c>
      <c r="L841" s="5">
        <v>2.4328358208955222E-2</v>
      </c>
    </row>
    <row r="842" spans="7:12">
      <c r="G842" t="s">
        <v>1408</v>
      </c>
      <c r="H842" t="s">
        <v>103</v>
      </c>
      <c r="I842" t="s">
        <v>291</v>
      </c>
      <c r="J842" s="4">
        <v>14561</v>
      </c>
      <c r="K842" s="5">
        <v>0.24352723027264611</v>
      </c>
      <c r="L842" s="5">
        <v>1.6757090859144289E-2</v>
      </c>
    </row>
    <row r="843" spans="7:12">
      <c r="G843" t="s">
        <v>1409</v>
      </c>
      <c r="H843" t="s">
        <v>100</v>
      </c>
      <c r="I843" t="s">
        <v>352</v>
      </c>
      <c r="J843" s="4">
        <v>4037</v>
      </c>
      <c r="K843" s="5">
        <v>0.24349764676740154</v>
      </c>
      <c r="L843" s="5">
        <v>9.908347783007183E-3</v>
      </c>
    </row>
    <row r="844" spans="7:12">
      <c r="G844" t="s">
        <v>1410</v>
      </c>
      <c r="H844" t="s">
        <v>103</v>
      </c>
      <c r="I844" t="s">
        <v>358</v>
      </c>
      <c r="J844" s="4">
        <v>5528</v>
      </c>
      <c r="K844" s="5">
        <v>0.24348769898697539</v>
      </c>
      <c r="L844" s="5">
        <v>5.065123010130246E-3</v>
      </c>
    </row>
    <row r="845" spans="7:12">
      <c r="G845" t="s">
        <v>1411</v>
      </c>
      <c r="H845" t="s">
        <v>85</v>
      </c>
      <c r="I845" t="s">
        <v>297</v>
      </c>
      <c r="J845" s="4">
        <v>1454</v>
      </c>
      <c r="K845" s="5">
        <v>0.24346629986244842</v>
      </c>
      <c r="L845" s="5">
        <v>1.6506189821182942E-2</v>
      </c>
    </row>
    <row r="846" spans="7:12">
      <c r="G846" t="s">
        <v>1412</v>
      </c>
      <c r="H846" t="s">
        <v>103</v>
      </c>
      <c r="I846" t="s">
        <v>472</v>
      </c>
      <c r="J846" s="4">
        <v>3784</v>
      </c>
      <c r="K846" s="5">
        <v>0.24339323467230445</v>
      </c>
      <c r="L846" s="5">
        <v>1.1627906976744186E-2</v>
      </c>
    </row>
    <row r="847" spans="7:12">
      <c r="G847" t="s">
        <v>1413</v>
      </c>
      <c r="H847" t="s">
        <v>118</v>
      </c>
      <c r="I847" t="s">
        <v>366</v>
      </c>
      <c r="J847" s="4">
        <v>7368</v>
      </c>
      <c r="K847" s="5">
        <v>0.24334961997828447</v>
      </c>
      <c r="L847" s="5">
        <v>2.0494028230184581E-2</v>
      </c>
    </row>
    <row r="848" spans="7:12">
      <c r="G848" t="s">
        <v>1414</v>
      </c>
      <c r="H848" t="s">
        <v>233</v>
      </c>
      <c r="I848" t="s">
        <v>162</v>
      </c>
      <c r="J848" s="4">
        <v>8027</v>
      </c>
      <c r="K848" s="5">
        <v>0.24330384950791081</v>
      </c>
      <c r="L848" s="5">
        <v>1.3080852124081227E-2</v>
      </c>
    </row>
    <row r="849" spans="7:12">
      <c r="G849" t="s">
        <v>1415</v>
      </c>
      <c r="H849" t="s">
        <v>336</v>
      </c>
      <c r="I849" t="s">
        <v>89</v>
      </c>
      <c r="J849" s="4">
        <v>3013</v>
      </c>
      <c r="K849" s="5">
        <v>0.24327912379688019</v>
      </c>
      <c r="L849" s="5">
        <v>2.4560238964487221E-2</v>
      </c>
    </row>
    <row r="850" spans="7:12">
      <c r="G850" t="s">
        <v>1416</v>
      </c>
      <c r="H850" t="s">
        <v>131</v>
      </c>
      <c r="I850" t="s">
        <v>299</v>
      </c>
      <c r="J850" s="4">
        <v>1003</v>
      </c>
      <c r="K850" s="5">
        <v>0.24327018943170489</v>
      </c>
      <c r="L850" s="5">
        <v>9.9700897308075765E-4</v>
      </c>
    </row>
    <row r="851" spans="7:12">
      <c r="G851" t="s">
        <v>1417</v>
      </c>
      <c r="H851" t="s">
        <v>89</v>
      </c>
      <c r="I851" t="s">
        <v>291</v>
      </c>
      <c r="J851" s="4">
        <v>5785</v>
      </c>
      <c r="K851" s="5">
        <v>0.24321521175453759</v>
      </c>
      <c r="L851" s="5">
        <v>2.1261884183232497E-2</v>
      </c>
    </row>
    <row r="852" spans="7:12">
      <c r="G852" t="s">
        <v>1418</v>
      </c>
      <c r="H852" t="s">
        <v>118</v>
      </c>
      <c r="I852" t="s">
        <v>297</v>
      </c>
      <c r="J852" s="4">
        <v>3783</v>
      </c>
      <c r="K852" s="5">
        <v>0.24319323288395453</v>
      </c>
      <c r="L852" s="5">
        <v>1.1366640232619614E-2</v>
      </c>
    </row>
    <row r="853" spans="7:12">
      <c r="G853" t="s">
        <v>1419</v>
      </c>
      <c r="H853" t="s">
        <v>250</v>
      </c>
      <c r="I853" t="s">
        <v>89</v>
      </c>
      <c r="J853" s="4">
        <v>5983</v>
      </c>
      <c r="K853" s="5">
        <v>0.24318903560086913</v>
      </c>
      <c r="L853" s="5">
        <v>2.6575296673909409E-2</v>
      </c>
    </row>
    <row r="854" spans="7:12">
      <c r="G854" t="s">
        <v>1420</v>
      </c>
      <c r="H854" t="s">
        <v>218</v>
      </c>
      <c r="I854" t="s">
        <v>182</v>
      </c>
      <c r="J854" s="4">
        <v>7111</v>
      </c>
      <c r="K854" s="5">
        <v>0.24314442413162707</v>
      </c>
      <c r="L854" s="5">
        <v>7.3126142595978062E-3</v>
      </c>
    </row>
    <row r="855" spans="7:12">
      <c r="G855" t="s">
        <v>1421</v>
      </c>
      <c r="H855" t="s">
        <v>121</v>
      </c>
      <c r="I855" t="s">
        <v>259</v>
      </c>
      <c r="J855" s="4">
        <v>8688</v>
      </c>
      <c r="K855" s="5">
        <v>0.24309392265193369</v>
      </c>
      <c r="L855" s="5">
        <v>2.2559852670349909E-2</v>
      </c>
    </row>
    <row r="856" spans="7:12">
      <c r="G856" t="s">
        <v>1422</v>
      </c>
      <c r="H856" t="s">
        <v>80</v>
      </c>
      <c r="I856" t="s">
        <v>410</v>
      </c>
      <c r="J856" s="4">
        <v>1230</v>
      </c>
      <c r="K856" s="5">
        <v>0.24308943089430896</v>
      </c>
      <c r="L856" s="5">
        <v>1.5447154471544716E-2</v>
      </c>
    </row>
    <row r="857" spans="7:12">
      <c r="G857" t="s">
        <v>1423</v>
      </c>
      <c r="H857" t="s">
        <v>118</v>
      </c>
      <c r="I857" t="s">
        <v>352</v>
      </c>
      <c r="J857" s="4">
        <v>9721</v>
      </c>
      <c r="K857" s="5">
        <v>0.24308198744985085</v>
      </c>
      <c r="L857" s="5">
        <v>1.3681719987655591E-2</v>
      </c>
    </row>
    <row r="858" spans="7:12">
      <c r="G858" t="s">
        <v>1424</v>
      </c>
      <c r="H858" t="s">
        <v>115</v>
      </c>
      <c r="I858" t="s">
        <v>131</v>
      </c>
      <c r="J858" s="4">
        <v>5830</v>
      </c>
      <c r="K858" s="5">
        <v>0.24305317324185249</v>
      </c>
      <c r="L858" s="5">
        <v>7.0325900514579759E-3</v>
      </c>
    </row>
    <row r="859" spans="7:12">
      <c r="G859" t="s">
        <v>1425</v>
      </c>
      <c r="H859" t="s">
        <v>95</v>
      </c>
      <c r="I859" t="s">
        <v>416</v>
      </c>
      <c r="J859" s="4">
        <v>3568</v>
      </c>
      <c r="K859" s="5">
        <v>0.24299327354260089</v>
      </c>
      <c r="L859" s="5">
        <v>9.52914798206278E-3</v>
      </c>
    </row>
    <row r="860" spans="7:12">
      <c r="G860" t="s">
        <v>1426</v>
      </c>
      <c r="H860" t="s">
        <v>1100</v>
      </c>
      <c r="I860" t="s">
        <v>118</v>
      </c>
      <c r="J860" s="4">
        <v>1354</v>
      </c>
      <c r="K860" s="5">
        <v>0.2429837518463811</v>
      </c>
      <c r="L860" s="5">
        <v>2.6587887740029542E-2</v>
      </c>
    </row>
    <row r="861" spans="7:12">
      <c r="G861" t="s">
        <v>1427</v>
      </c>
      <c r="H861" t="s">
        <v>131</v>
      </c>
      <c r="I861" t="s">
        <v>497</v>
      </c>
      <c r="J861" s="4">
        <v>3784</v>
      </c>
      <c r="K861" s="5">
        <v>0.2428646934460888</v>
      </c>
      <c r="L861" s="5">
        <v>2.3784355179704017E-3</v>
      </c>
    </row>
    <row r="862" spans="7:12">
      <c r="G862" t="s">
        <v>1428</v>
      </c>
      <c r="H862" t="s">
        <v>134</v>
      </c>
      <c r="I862" t="s">
        <v>95</v>
      </c>
      <c r="J862" s="4">
        <v>11184</v>
      </c>
      <c r="K862" s="5">
        <v>0.24284692417739628</v>
      </c>
      <c r="L862" s="5">
        <v>1.350143061516452E-2</v>
      </c>
    </row>
    <row r="863" spans="7:12">
      <c r="G863" t="s">
        <v>1429</v>
      </c>
      <c r="H863" t="s">
        <v>449</v>
      </c>
      <c r="I863" t="s">
        <v>189</v>
      </c>
      <c r="J863" s="4">
        <v>1248</v>
      </c>
      <c r="K863" s="5">
        <v>0.24278846153846154</v>
      </c>
      <c r="L863" s="5">
        <v>1.282051282051282E-2</v>
      </c>
    </row>
    <row r="864" spans="7:12">
      <c r="G864" t="s">
        <v>1430</v>
      </c>
      <c r="H864" t="s">
        <v>85</v>
      </c>
      <c r="I864" t="s">
        <v>331</v>
      </c>
      <c r="J864" s="4">
        <v>3283</v>
      </c>
      <c r="K864" s="5">
        <v>0.24276576302162656</v>
      </c>
      <c r="L864" s="5">
        <v>1.0051781906792567E-2</v>
      </c>
    </row>
    <row r="865" spans="7:12">
      <c r="G865" t="s">
        <v>1431</v>
      </c>
      <c r="H865" t="s">
        <v>144</v>
      </c>
      <c r="I865" t="s">
        <v>118</v>
      </c>
      <c r="J865" s="4">
        <v>3127</v>
      </c>
      <c r="K865" s="5">
        <v>0.24272465622001918</v>
      </c>
      <c r="L865" s="5">
        <v>2.1106491845219059E-2</v>
      </c>
    </row>
    <row r="866" spans="7:12">
      <c r="G866" t="s">
        <v>1432</v>
      </c>
      <c r="H866" t="s">
        <v>118</v>
      </c>
      <c r="I866" t="s">
        <v>1433</v>
      </c>
      <c r="J866" s="4">
        <v>2266</v>
      </c>
      <c r="K866" s="5">
        <v>0.24271844660194175</v>
      </c>
      <c r="L866" s="5">
        <v>2.3389232127096204E-2</v>
      </c>
    </row>
    <row r="867" spans="7:12">
      <c r="G867" t="s">
        <v>1434</v>
      </c>
      <c r="H867" t="s">
        <v>149</v>
      </c>
      <c r="I867" t="s">
        <v>162</v>
      </c>
      <c r="J867" s="4">
        <v>17573</v>
      </c>
      <c r="K867" s="5">
        <v>0.24270187219029193</v>
      </c>
      <c r="L867" s="5">
        <v>2.7599157798896035E-2</v>
      </c>
    </row>
    <row r="868" spans="7:12">
      <c r="G868" t="s">
        <v>1435</v>
      </c>
      <c r="H868" t="s">
        <v>377</v>
      </c>
      <c r="I868" t="s">
        <v>374</v>
      </c>
      <c r="J868" s="4">
        <v>1096</v>
      </c>
      <c r="K868" s="5">
        <v>0.24270072992700731</v>
      </c>
      <c r="L868" s="5">
        <v>7.2992700729927005E-3</v>
      </c>
    </row>
    <row r="869" spans="7:12">
      <c r="G869" t="s">
        <v>1436</v>
      </c>
      <c r="H869" t="s">
        <v>317</v>
      </c>
      <c r="I869" t="s">
        <v>162</v>
      </c>
      <c r="J869" s="4">
        <v>1438</v>
      </c>
      <c r="K869" s="5">
        <v>0.2426981919332406</v>
      </c>
      <c r="L869" s="5">
        <v>2.1557719054242003E-2</v>
      </c>
    </row>
    <row r="870" spans="7:12">
      <c r="G870" t="s">
        <v>1437</v>
      </c>
      <c r="H870" t="s">
        <v>85</v>
      </c>
      <c r="I870" t="s">
        <v>136</v>
      </c>
      <c r="J870" s="4">
        <v>2497</v>
      </c>
      <c r="K870" s="5">
        <v>0.24269122947537045</v>
      </c>
      <c r="L870" s="5">
        <v>1.802162595114137E-2</v>
      </c>
    </row>
    <row r="871" spans="7:12">
      <c r="G871" t="s">
        <v>1438</v>
      </c>
      <c r="H871" t="s">
        <v>449</v>
      </c>
      <c r="I871" t="s">
        <v>226</v>
      </c>
      <c r="J871" s="4">
        <v>10514</v>
      </c>
      <c r="K871" s="5">
        <v>0.24262887578466807</v>
      </c>
      <c r="L871" s="5">
        <v>1.0081795700970135E-2</v>
      </c>
    </row>
    <row r="872" spans="7:12">
      <c r="G872" t="s">
        <v>1439</v>
      </c>
      <c r="H872" t="s">
        <v>136</v>
      </c>
      <c r="I872" t="s">
        <v>182</v>
      </c>
      <c r="J872" s="4">
        <v>3170</v>
      </c>
      <c r="K872" s="5">
        <v>0.24258675078864353</v>
      </c>
      <c r="L872" s="5">
        <v>1.0725552050473186E-2</v>
      </c>
    </row>
    <row r="873" spans="7:12">
      <c r="G873" t="s">
        <v>1440</v>
      </c>
      <c r="H873" t="s">
        <v>293</v>
      </c>
      <c r="I873" t="s">
        <v>95</v>
      </c>
      <c r="J873" s="4">
        <v>3117</v>
      </c>
      <c r="K873" s="5">
        <v>0.24254090471607315</v>
      </c>
      <c r="L873" s="5">
        <v>1.0907924286172602E-2</v>
      </c>
    </row>
    <row r="874" spans="7:12">
      <c r="G874" t="s">
        <v>1441</v>
      </c>
      <c r="H874" t="s">
        <v>162</v>
      </c>
      <c r="I874" t="s">
        <v>449</v>
      </c>
      <c r="J874" s="4">
        <v>1869</v>
      </c>
      <c r="K874" s="5">
        <v>0.24237560192616373</v>
      </c>
      <c r="L874" s="5">
        <v>1.2841091492776886E-2</v>
      </c>
    </row>
    <row r="875" spans="7:12">
      <c r="G875" t="s">
        <v>1442</v>
      </c>
      <c r="H875" t="s">
        <v>182</v>
      </c>
      <c r="I875" t="s">
        <v>278</v>
      </c>
      <c r="J875" s="4">
        <v>1473</v>
      </c>
      <c r="K875" s="5">
        <v>0.24236252545824846</v>
      </c>
      <c r="L875" s="5">
        <v>2.7155465037338764E-2</v>
      </c>
    </row>
    <row r="876" spans="7:12">
      <c r="G876" t="s">
        <v>1443</v>
      </c>
      <c r="H876" t="s">
        <v>131</v>
      </c>
      <c r="I876" t="s">
        <v>408</v>
      </c>
      <c r="J876" s="4">
        <v>4370</v>
      </c>
      <c r="K876" s="5">
        <v>0.24233409610983983</v>
      </c>
      <c r="L876" s="5">
        <v>6.4073226544622422E-3</v>
      </c>
    </row>
    <row r="877" spans="7:12">
      <c r="G877" t="s">
        <v>1444</v>
      </c>
      <c r="H877" t="s">
        <v>268</v>
      </c>
      <c r="I877" t="s">
        <v>344</v>
      </c>
      <c r="J877" s="4">
        <v>1139</v>
      </c>
      <c r="K877" s="5">
        <v>0.24231782265144863</v>
      </c>
      <c r="L877" s="5">
        <v>1.7559262510974539E-3</v>
      </c>
    </row>
    <row r="878" spans="7:12">
      <c r="G878" t="s">
        <v>1445</v>
      </c>
      <c r="H878" t="s">
        <v>218</v>
      </c>
      <c r="I878" t="s">
        <v>105</v>
      </c>
      <c r="J878" s="4">
        <v>6170</v>
      </c>
      <c r="K878" s="5">
        <v>0.24230145867098865</v>
      </c>
      <c r="L878" s="5">
        <v>6.9692058346839548E-3</v>
      </c>
    </row>
    <row r="879" spans="7:12">
      <c r="G879" t="s">
        <v>1446</v>
      </c>
      <c r="H879" t="s">
        <v>1447</v>
      </c>
      <c r="I879" t="s">
        <v>85</v>
      </c>
      <c r="J879" s="4">
        <v>1816</v>
      </c>
      <c r="K879" s="5">
        <v>0.24229074889867841</v>
      </c>
      <c r="L879" s="5">
        <v>2.7533039647577094E-3</v>
      </c>
    </row>
    <row r="880" spans="7:12">
      <c r="G880" t="s">
        <v>1448</v>
      </c>
      <c r="H880" t="s">
        <v>165</v>
      </c>
      <c r="I880" t="s">
        <v>95</v>
      </c>
      <c r="J880" s="4">
        <v>4235</v>
      </c>
      <c r="K880" s="5">
        <v>0.24226682408500591</v>
      </c>
      <c r="L880" s="5">
        <v>1.5584415584415584E-2</v>
      </c>
    </row>
    <row r="881" spans="7:12">
      <c r="G881" t="s">
        <v>1449</v>
      </c>
      <c r="H881" t="s">
        <v>95</v>
      </c>
      <c r="I881" t="s">
        <v>268</v>
      </c>
      <c r="J881" s="4">
        <v>6039</v>
      </c>
      <c r="K881" s="5">
        <v>0.24225865209471767</v>
      </c>
      <c r="L881" s="5">
        <v>1.2253684384831926E-2</v>
      </c>
    </row>
    <row r="882" spans="7:12">
      <c r="G882" t="s">
        <v>1450</v>
      </c>
      <c r="H882" t="s">
        <v>149</v>
      </c>
      <c r="I882" t="s">
        <v>218</v>
      </c>
      <c r="J882" s="4">
        <v>11620</v>
      </c>
      <c r="K882" s="5">
        <v>0.24225473321858865</v>
      </c>
      <c r="L882" s="5">
        <v>1.0585197934595525E-2</v>
      </c>
    </row>
    <row r="883" spans="7:12">
      <c r="G883" t="s">
        <v>1451</v>
      </c>
      <c r="H883" t="s">
        <v>95</v>
      </c>
      <c r="I883" t="s">
        <v>301</v>
      </c>
      <c r="J883" s="4">
        <v>2436</v>
      </c>
      <c r="K883" s="5">
        <v>0.24220032840722497</v>
      </c>
      <c r="L883" s="5">
        <v>1.1494252873563218E-2</v>
      </c>
    </row>
    <row r="884" spans="7:12">
      <c r="G884" t="s">
        <v>1452</v>
      </c>
      <c r="H884" t="s">
        <v>103</v>
      </c>
      <c r="I884" t="s">
        <v>233</v>
      </c>
      <c r="J884" s="4">
        <v>11733</v>
      </c>
      <c r="K884" s="5">
        <v>0.24205233103213158</v>
      </c>
      <c r="L884" s="5">
        <v>8.4377397085144464E-3</v>
      </c>
    </row>
    <row r="885" spans="7:12">
      <c r="G885" t="s">
        <v>1453</v>
      </c>
      <c r="H885" t="s">
        <v>136</v>
      </c>
      <c r="I885" t="s">
        <v>131</v>
      </c>
      <c r="J885" s="4">
        <v>8999</v>
      </c>
      <c r="K885" s="5">
        <v>0.24202689187687521</v>
      </c>
      <c r="L885" s="5">
        <v>1.0445605067229692E-2</v>
      </c>
    </row>
    <row r="886" spans="7:12">
      <c r="G886" t="s">
        <v>1454</v>
      </c>
      <c r="H886" t="s">
        <v>100</v>
      </c>
      <c r="I886" t="s">
        <v>426</v>
      </c>
      <c r="J886" s="4">
        <v>3960</v>
      </c>
      <c r="K886" s="5">
        <v>0.24191919191919192</v>
      </c>
      <c r="L886" s="5">
        <v>4.2929292929292928E-3</v>
      </c>
    </row>
    <row r="887" spans="7:12">
      <c r="G887" t="s">
        <v>1455</v>
      </c>
      <c r="H887" t="s">
        <v>370</v>
      </c>
      <c r="I887" t="s">
        <v>131</v>
      </c>
      <c r="J887" s="4">
        <v>28865</v>
      </c>
      <c r="K887" s="5">
        <v>0.24188463537155724</v>
      </c>
      <c r="L887" s="5">
        <v>8.7649402390438252E-3</v>
      </c>
    </row>
    <row r="888" spans="7:12">
      <c r="G888" t="s">
        <v>1456</v>
      </c>
      <c r="H888" t="s">
        <v>89</v>
      </c>
      <c r="I888" t="s">
        <v>295</v>
      </c>
      <c r="J888" s="4">
        <v>1286</v>
      </c>
      <c r="K888" s="5">
        <v>0.24183514774494558</v>
      </c>
      <c r="L888" s="5">
        <v>7.7760497667185074E-3</v>
      </c>
    </row>
    <row r="889" spans="7:12">
      <c r="G889" t="s">
        <v>1457</v>
      </c>
      <c r="H889" t="s">
        <v>103</v>
      </c>
      <c r="I889" t="s">
        <v>189</v>
      </c>
      <c r="J889" s="4">
        <v>13995</v>
      </c>
      <c r="K889" s="5">
        <v>0.24180064308681673</v>
      </c>
      <c r="L889" s="5">
        <v>9.8606645230439448E-3</v>
      </c>
    </row>
    <row r="890" spans="7:12">
      <c r="G890" t="s">
        <v>1458</v>
      </c>
      <c r="H890" t="s">
        <v>495</v>
      </c>
      <c r="I890" t="s">
        <v>149</v>
      </c>
      <c r="J890" s="4">
        <v>2035</v>
      </c>
      <c r="K890" s="5">
        <v>0.24176904176904176</v>
      </c>
      <c r="L890" s="5">
        <v>5.4054054054054057E-3</v>
      </c>
    </row>
    <row r="891" spans="7:12">
      <c r="G891" t="s">
        <v>1459</v>
      </c>
      <c r="H891" t="s">
        <v>131</v>
      </c>
      <c r="I891" t="s">
        <v>507</v>
      </c>
      <c r="J891" s="4">
        <v>2238</v>
      </c>
      <c r="K891" s="5">
        <v>0.24173369079535301</v>
      </c>
      <c r="L891" s="5">
        <v>2.6809651474530832E-3</v>
      </c>
    </row>
    <row r="892" spans="7:12">
      <c r="G892" t="s">
        <v>1460</v>
      </c>
      <c r="H892" t="s">
        <v>215</v>
      </c>
      <c r="I892" t="s">
        <v>89</v>
      </c>
      <c r="J892" s="4">
        <v>14434</v>
      </c>
      <c r="K892" s="5">
        <v>0.24165165581266454</v>
      </c>
      <c r="L892" s="5">
        <v>1.5796037134543438E-2</v>
      </c>
    </row>
    <row r="893" spans="7:12">
      <c r="G893" t="s">
        <v>1461</v>
      </c>
      <c r="H893" t="s">
        <v>408</v>
      </c>
      <c r="I893" t="s">
        <v>85</v>
      </c>
      <c r="J893" s="4">
        <v>2454</v>
      </c>
      <c r="K893" s="5">
        <v>0.24164629176854116</v>
      </c>
      <c r="L893" s="5">
        <v>1.0594947025264874E-2</v>
      </c>
    </row>
    <row r="894" spans="7:12">
      <c r="G894" t="s">
        <v>1462</v>
      </c>
      <c r="H894" t="s">
        <v>100</v>
      </c>
      <c r="I894" t="s">
        <v>194</v>
      </c>
      <c r="J894" s="4">
        <v>4006</v>
      </c>
      <c r="K894" s="5">
        <v>0.24163754368447329</v>
      </c>
      <c r="L894" s="5">
        <v>9.4857713429855224E-3</v>
      </c>
    </row>
    <row r="895" spans="7:12">
      <c r="G895" t="s">
        <v>1463</v>
      </c>
      <c r="H895" t="s">
        <v>103</v>
      </c>
      <c r="I895" t="s">
        <v>449</v>
      </c>
      <c r="J895" s="4">
        <v>13414</v>
      </c>
      <c r="K895" s="5">
        <v>0.24161323989861339</v>
      </c>
      <c r="L895" s="5">
        <v>1.0064112121663932E-2</v>
      </c>
    </row>
    <row r="896" spans="7:12">
      <c r="G896" t="s">
        <v>1464</v>
      </c>
      <c r="H896" t="s">
        <v>85</v>
      </c>
      <c r="I896" t="s">
        <v>1447</v>
      </c>
      <c r="J896" s="4">
        <v>1817</v>
      </c>
      <c r="K896" s="5">
        <v>0.24160704457897633</v>
      </c>
      <c r="L896" s="5">
        <v>2.2014309301045679E-3</v>
      </c>
    </row>
    <row r="897" spans="7:12">
      <c r="G897" t="s">
        <v>1465</v>
      </c>
      <c r="H897" t="s">
        <v>136</v>
      </c>
      <c r="I897" t="s">
        <v>372</v>
      </c>
      <c r="J897" s="4">
        <v>1991</v>
      </c>
      <c r="K897" s="5">
        <v>0.24158714213962831</v>
      </c>
      <c r="L897" s="5">
        <v>1.2556504269211451E-2</v>
      </c>
    </row>
    <row r="898" spans="7:12">
      <c r="G898" t="s">
        <v>1466</v>
      </c>
      <c r="H898" t="s">
        <v>85</v>
      </c>
      <c r="I898" t="s">
        <v>388</v>
      </c>
      <c r="J898" s="4">
        <v>2161</v>
      </c>
      <c r="K898" s="5">
        <v>0.24155483572420175</v>
      </c>
      <c r="L898" s="5">
        <v>1.2956964368347987E-2</v>
      </c>
    </row>
    <row r="899" spans="7:12">
      <c r="G899" t="s">
        <v>1467</v>
      </c>
      <c r="H899" t="s">
        <v>131</v>
      </c>
      <c r="I899" t="s">
        <v>472</v>
      </c>
      <c r="J899" s="4">
        <v>1122</v>
      </c>
      <c r="K899" s="5">
        <v>0.24153297682709449</v>
      </c>
      <c r="L899" s="5">
        <v>5.3475935828877002E-3</v>
      </c>
    </row>
    <row r="900" spans="7:12">
      <c r="G900" t="s">
        <v>1468</v>
      </c>
      <c r="H900" t="s">
        <v>103</v>
      </c>
      <c r="I900" t="s">
        <v>331</v>
      </c>
      <c r="J900" s="4">
        <v>5275</v>
      </c>
      <c r="K900" s="5">
        <v>0.24151658767772513</v>
      </c>
      <c r="L900" s="5">
        <v>6.8246445497630332E-3</v>
      </c>
    </row>
    <row r="901" spans="7:12">
      <c r="G901" t="s">
        <v>1469</v>
      </c>
      <c r="H901" t="s">
        <v>100</v>
      </c>
      <c r="I901" t="s">
        <v>406</v>
      </c>
      <c r="J901" s="4">
        <v>2551</v>
      </c>
      <c r="K901" s="5">
        <v>0.24147393179145432</v>
      </c>
      <c r="L901" s="5">
        <v>9.8000784006272053E-3</v>
      </c>
    </row>
    <row r="902" spans="7:12">
      <c r="G902" t="s">
        <v>1470</v>
      </c>
      <c r="H902" t="s">
        <v>202</v>
      </c>
      <c r="I902" t="s">
        <v>162</v>
      </c>
      <c r="J902" s="4">
        <v>8404</v>
      </c>
      <c r="K902" s="5">
        <v>0.241432651118515</v>
      </c>
      <c r="L902" s="5">
        <v>2.2251308900523559E-2</v>
      </c>
    </row>
    <row r="903" spans="7:12">
      <c r="G903" t="s">
        <v>1471</v>
      </c>
      <c r="H903" t="s">
        <v>103</v>
      </c>
      <c r="I903" t="s">
        <v>324</v>
      </c>
      <c r="J903" s="4">
        <v>6872</v>
      </c>
      <c r="K903" s="5">
        <v>0.24141443538998836</v>
      </c>
      <c r="L903" s="5">
        <v>9.3131548311990685E-3</v>
      </c>
    </row>
    <row r="904" spans="7:12">
      <c r="G904" t="s">
        <v>1472</v>
      </c>
      <c r="H904" t="s">
        <v>137</v>
      </c>
      <c r="I904" t="s">
        <v>340</v>
      </c>
      <c r="J904" s="4">
        <v>1334</v>
      </c>
      <c r="K904" s="5">
        <v>0.2413793103448276</v>
      </c>
      <c r="L904" s="5">
        <v>2.5487256371814093E-2</v>
      </c>
    </row>
    <row r="905" spans="7:12">
      <c r="G905" t="s">
        <v>1473</v>
      </c>
      <c r="H905" t="s">
        <v>115</v>
      </c>
      <c r="I905" t="s">
        <v>189</v>
      </c>
      <c r="J905" s="4">
        <v>4114</v>
      </c>
      <c r="K905" s="5">
        <v>0.24137092853670394</v>
      </c>
      <c r="L905" s="5">
        <v>8.0213903743315516E-3</v>
      </c>
    </row>
    <row r="906" spans="7:12">
      <c r="G906" t="s">
        <v>1474</v>
      </c>
      <c r="H906" t="s">
        <v>368</v>
      </c>
      <c r="I906" t="s">
        <v>89</v>
      </c>
      <c r="J906" s="4">
        <v>1330</v>
      </c>
      <c r="K906" s="5">
        <v>0.24135338345864663</v>
      </c>
      <c r="L906" s="5">
        <v>2.030075187969925E-2</v>
      </c>
    </row>
    <row r="907" spans="7:12">
      <c r="G907" t="s">
        <v>1475</v>
      </c>
      <c r="H907" t="s">
        <v>221</v>
      </c>
      <c r="I907" t="s">
        <v>85</v>
      </c>
      <c r="J907" s="4">
        <v>5176</v>
      </c>
      <c r="K907" s="5">
        <v>0.24130602782071098</v>
      </c>
      <c r="L907" s="5">
        <v>1.6035548686244204E-2</v>
      </c>
    </row>
    <row r="908" spans="7:12">
      <c r="G908" t="s">
        <v>1476</v>
      </c>
      <c r="H908" t="s">
        <v>137</v>
      </c>
      <c r="I908" t="s">
        <v>189</v>
      </c>
      <c r="J908" s="4">
        <v>2980</v>
      </c>
      <c r="K908" s="5">
        <v>0.24127516778523489</v>
      </c>
      <c r="L908" s="5">
        <v>1.3758389261744967E-2</v>
      </c>
    </row>
    <row r="909" spans="7:12">
      <c r="G909" t="s">
        <v>1477</v>
      </c>
      <c r="H909" t="s">
        <v>215</v>
      </c>
      <c r="I909" t="s">
        <v>513</v>
      </c>
      <c r="J909" s="4">
        <v>4825</v>
      </c>
      <c r="K909" s="5">
        <v>0.24124352331606216</v>
      </c>
      <c r="L909" s="5">
        <v>1.1813471502590673E-2</v>
      </c>
    </row>
    <row r="910" spans="7:12">
      <c r="G910" t="s">
        <v>1478</v>
      </c>
      <c r="H910" t="s">
        <v>215</v>
      </c>
      <c r="I910" t="s">
        <v>202</v>
      </c>
      <c r="J910" s="4">
        <v>3105</v>
      </c>
      <c r="K910" s="5">
        <v>0.24122383252818036</v>
      </c>
      <c r="L910" s="5">
        <v>1.0628019323671498E-2</v>
      </c>
    </row>
    <row r="911" spans="7:12">
      <c r="G911" t="s">
        <v>1479</v>
      </c>
      <c r="H911" t="s">
        <v>103</v>
      </c>
      <c r="I911" t="s">
        <v>236</v>
      </c>
      <c r="J911" s="4">
        <v>11590</v>
      </c>
      <c r="K911" s="5">
        <v>0.24115616911130286</v>
      </c>
      <c r="L911" s="5">
        <v>8.8869715271786016E-3</v>
      </c>
    </row>
    <row r="912" spans="7:12">
      <c r="G912" t="s">
        <v>1480</v>
      </c>
      <c r="H912" t="s">
        <v>118</v>
      </c>
      <c r="I912" t="s">
        <v>384</v>
      </c>
      <c r="J912" s="4">
        <v>5594</v>
      </c>
      <c r="K912" s="5">
        <v>0.24115123346442618</v>
      </c>
      <c r="L912" s="5">
        <v>1.9485162674293885E-2</v>
      </c>
    </row>
    <row r="913" spans="7:12">
      <c r="G913" t="s">
        <v>1481</v>
      </c>
      <c r="H913" t="s">
        <v>263</v>
      </c>
      <c r="I913" t="s">
        <v>134</v>
      </c>
      <c r="J913" s="4">
        <v>1240</v>
      </c>
      <c r="K913" s="5">
        <v>0.24112903225806451</v>
      </c>
      <c r="L913" s="5">
        <v>2.0967741935483872E-2</v>
      </c>
    </row>
    <row r="914" spans="7:12">
      <c r="G914" t="s">
        <v>1482</v>
      </c>
      <c r="H914" t="s">
        <v>218</v>
      </c>
      <c r="I914" t="s">
        <v>197</v>
      </c>
      <c r="J914" s="4">
        <v>1099</v>
      </c>
      <c r="K914" s="5">
        <v>0.24112829845313921</v>
      </c>
      <c r="L914" s="5">
        <v>1.7288444040036398E-2</v>
      </c>
    </row>
    <row r="915" spans="7:12">
      <c r="G915" t="s">
        <v>1483</v>
      </c>
      <c r="H915" t="s">
        <v>461</v>
      </c>
      <c r="I915" t="s">
        <v>149</v>
      </c>
      <c r="J915" s="4">
        <v>6001</v>
      </c>
      <c r="K915" s="5">
        <v>0.24112647892017997</v>
      </c>
      <c r="L915" s="5">
        <v>9.4984169305115818E-3</v>
      </c>
    </row>
    <row r="916" spans="7:12">
      <c r="G916" t="s">
        <v>1484</v>
      </c>
      <c r="H916" t="s">
        <v>326</v>
      </c>
      <c r="I916" t="s">
        <v>463</v>
      </c>
      <c r="J916" s="4">
        <v>1012</v>
      </c>
      <c r="K916" s="5">
        <v>0.24110671936758893</v>
      </c>
      <c r="L916" s="5">
        <v>5.9288537549407111E-3</v>
      </c>
    </row>
    <row r="917" spans="7:12">
      <c r="G917" t="s">
        <v>1485</v>
      </c>
      <c r="H917" t="s">
        <v>103</v>
      </c>
      <c r="I917" t="s">
        <v>484</v>
      </c>
      <c r="J917" s="4">
        <v>8088</v>
      </c>
      <c r="K917" s="5">
        <v>0.24109792284866469</v>
      </c>
      <c r="L917" s="5">
        <v>6.0583580613254202E-3</v>
      </c>
    </row>
    <row r="918" spans="7:12">
      <c r="G918" t="s">
        <v>1486</v>
      </c>
      <c r="H918" t="s">
        <v>80</v>
      </c>
      <c r="I918" t="s">
        <v>226</v>
      </c>
      <c r="J918" s="4">
        <v>3888</v>
      </c>
      <c r="K918" s="5">
        <v>0.24099794238683128</v>
      </c>
      <c r="L918" s="5">
        <v>9.7736625514403298E-3</v>
      </c>
    </row>
    <row r="919" spans="7:12">
      <c r="G919" t="s">
        <v>1487</v>
      </c>
      <c r="H919" t="s">
        <v>103</v>
      </c>
      <c r="I919" t="s">
        <v>362</v>
      </c>
      <c r="J919" s="4">
        <v>7424</v>
      </c>
      <c r="K919" s="5">
        <v>0.24097521551724138</v>
      </c>
      <c r="L919" s="5">
        <v>7.0043103448275863E-3</v>
      </c>
    </row>
    <row r="920" spans="7:12">
      <c r="G920" t="s">
        <v>1488</v>
      </c>
      <c r="H920" t="s">
        <v>103</v>
      </c>
      <c r="I920" t="s">
        <v>434</v>
      </c>
      <c r="J920" s="4">
        <v>8732</v>
      </c>
      <c r="K920" s="5">
        <v>0.24095281722400366</v>
      </c>
      <c r="L920" s="5">
        <v>8.1310123683005046E-3</v>
      </c>
    </row>
    <row r="921" spans="7:12">
      <c r="G921" t="s">
        <v>1489</v>
      </c>
      <c r="H921" t="s">
        <v>416</v>
      </c>
      <c r="I921" t="s">
        <v>89</v>
      </c>
      <c r="J921" s="4">
        <v>12684</v>
      </c>
      <c r="K921" s="5">
        <v>0.24093345947650582</v>
      </c>
      <c r="L921" s="5">
        <v>2.5386313465783666E-2</v>
      </c>
    </row>
    <row r="922" spans="7:12">
      <c r="G922" t="s">
        <v>1490</v>
      </c>
      <c r="H922" t="s">
        <v>80</v>
      </c>
      <c r="I922" t="s">
        <v>134</v>
      </c>
      <c r="J922" s="4">
        <v>7720</v>
      </c>
      <c r="K922" s="5">
        <v>0.24093264248704663</v>
      </c>
      <c r="L922" s="5">
        <v>1.3860103626943005E-2</v>
      </c>
    </row>
    <row r="923" spans="7:12">
      <c r="G923" t="s">
        <v>1491</v>
      </c>
      <c r="H923" t="s">
        <v>248</v>
      </c>
      <c r="I923" t="s">
        <v>118</v>
      </c>
      <c r="J923" s="4">
        <v>1345</v>
      </c>
      <c r="K923" s="5">
        <v>0.24089219330855019</v>
      </c>
      <c r="L923" s="5">
        <v>1.1895910780669145E-2</v>
      </c>
    </row>
    <row r="924" spans="7:12">
      <c r="G924" t="s">
        <v>1492</v>
      </c>
      <c r="H924" t="s">
        <v>358</v>
      </c>
      <c r="I924" t="s">
        <v>95</v>
      </c>
      <c r="J924" s="4">
        <v>6227</v>
      </c>
      <c r="K924" s="5">
        <v>0.24088646218082543</v>
      </c>
      <c r="L924" s="5">
        <v>1.7343825277019432E-2</v>
      </c>
    </row>
    <row r="925" spans="7:12">
      <c r="G925" t="s">
        <v>1493</v>
      </c>
      <c r="H925" t="s">
        <v>406</v>
      </c>
      <c r="I925" t="s">
        <v>89</v>
      </c>
      <c r="J925" s="4">
        <v>4415</v>
      </c>
      <c r="K925" s="5">
        <v>0.2407701019252548</v>
      </c>
      <c r="L925" s="5">
        <v>2.0838052095130236E-2</v>
      </c>
    </row>
    <row r="926" spans="7:12">
      <c r="G926" t="s">
        <v>1494</v>
      </c>
      <c r="H926" t="s">
        <v>226</v>
      </c>
      <c r="I926" t="s">
        <v>89</v>
      </c>
      <c r="J926" s="4">
        <v>12075</v>
      </c>
      <c r="K926" s="5">
        <v>0.24074534161490682</v>
      </c>
      <c r="L926" s="5">
        <v>1.7971014492753623E-2</v>
      </c>
    </row>
    <row r="927" spans="7:12">
      <c r="G927" t="s">
        <v>1495</v>
      </c>
      <c r="H927" t="s">
        <v>118</v>
      </c>
      <c r="I927" t="s">
        <v>95</v>
      </c>
      <c r="J927" s="4">
        <v>16224</v>
      </c>
      <c r="K927" s="5">
        <v>0.24069280078895464</v>
      </c>
      <c r="L927" s="5">
        <v>1.288214990138067E-2</v>
      </c>
    </row>
    <row r="928" spans="7:12">
      <c r="G928" t="s">
        <v>1496</v>
      </c>
      <c r="H928" t="s">
        <v>218</v>
      </c>
      <c r="I928" t="s">
        <v>466</v>
      </c>
      <c r="J928" s="4">
        <v>2917</v>
      </c>
      <c r="K928" s="5">
        <v>0.2406582104902297</v>
      </c>
      <c r="L928" s="5">
        <v>1.4741172437435722E-2</v>
      </c>
    </row>
    <row r="929" spans="7:12">
      <c r="G929" t="s">
        <v>1497</v>
      </c>
      <c r="H929" t="s">
        <v>118</v>
      </c>
      <c r="I929" t="s">
        <v>218</v>
      </c>
      <c r="J929" s="4">
        <v>18038</v>
      </c>
      <c r="K929" s="5">
        <v>0.24060317108326865</v>
      </c>
      <c r="L929" s="5">
        <v>1.3305244483867391E-2</v>
      </c>
    </row>
    <row r="930" spans="7:12">
      <c r="G930" t="s">
        <v>1498</v>
      </c>
      <c r="H930" t="s">
        <v>142</v>
      </c>
      <c r="I930" t="s">
        <v>118</v>
      </c>
      <c r="J930" s="4">
        <v>4223</v>
      </c>
      <c r="K930" s="5">
        <v>0.24058726024153446</v>
      </c>
      <c r="L930" s="5">
        <v>2.2259057542031731E-2</v>
      </c>
    </row>
    <row r="931" spans="7:12">
      <c r="G931" t="s">
        <v>1499</v>
      </c>
      <c r="H931" t="s">
        <v>254</v>
      </c>
      <c r="I931" t="s">
        <v>149</v>
      </c>
      <c r="J931" s="4">
        <v>3933</v>
      </c>
      <c r="K931" s="5">
        <v>0.24052885837782864</v>
      </c>
      <c r="L931" s="5">
        <v>2.7459954233409609E-2</v>
      </c>
    </row>
    <row r="932" spans="7:12">
      <c r="G932" t="s">
        <v>1500</v>
      </c>
      <c r="H932" t="s">
        <v>118</v>
      </c>
      <c r="I932" t="s">
        <v>455</v>
      </c>
      <c r="J932" s="4">
        <v>3514</v>
      </c>
      <c r="K932" s="5">
        <v>0.24046670461013089</v>
      </c>
      <c r="L932" s="5">
        <v>8.5372794536141151E-3</v>
      </c>
    </row>
    <row r="933" spans="7:12">
      <c r="G933" t="s">
        <v>1501</v>
      </c>
      <c r="H933" t="s">
        <v>100</v>
      </c>
      <c r="I933" t="s">
        <v>254</v>
      </c>
      <c r="J933" s="4">
        <v>5656</v>
      </c>
      <c r="K933" s="5">
        <v>0.24045261669024046</v>
      </c>
      <c r="L933" s="5">
        <v>1.4144271570014143E-2</v>
      </c>
    </row>
    <row r="934" spans="7:12">
      <c r="G934" t="s">
        <v>1502</v>
      </c>
      <c r="H934" t="s">
        <v>103</v>
      </c>
      <c r="I934" t="s">
        <v>497</v>
      </c>
      <c r="J934" s="4">
        <v>7532</v>
      </c>
      <c r="K934" s="5">
        <v>0.24044078597981944</v>
      </c>
      <c r="L934" s="5">
        <v>6.6383430695698357E-3</v>
      </c>
    </row>
    <row r="935" spans="7:12">
      <c r="G935" t="s">
        <v>1503</v>
      </c>
      <c r="H935" t="s">
        <v>118</v>
      </c>
      <c r="I935" t="s">
        <v>158</v>
      </c>
      <c r="J935" s="4">
        <v>4758</v>
      </c>
      <c r="K935" s="5">
        <v>0.24043715846994534</v>
      </c>
      <c r="L935" s="5">
        <v>1.3030685161832704E-2</v>
      </c>
    </row>
    <row r="936" spans="7:12">
      <c r="G936" t="s">
        <v>1504</v>
      </c>
      <c r="H936" t="s">
        <v>358</v>
      </c>
      <c r="I936" t="s">
        <v>137</v>
      </c>
      <c r="J936" s="4">
        <v>3274</v>
      </c>
      <c r="K936" s="5">
        <v>0.24037874160048869</v>
      </c>
      <c r="L936" s="5">
        <v>2.7489309712889431E-2</v>
      </c>
    </row>
    <row r="937" spans="7:12">
      <c r="G937" t="s">
        <v>1505</v>
      </c>
      <c r="H937" t="s">
        <v>95</v>
      </c>
      <c r="I937" t="s">
        <v>358</v>
      </c>
      <c r="J937" s="4">
        <v>6225</v>
      </c>
      <c r="K937" s="5">
        <v>0.24032128514056225</v>
      </c>
      <c r="L937" s="5">
        <v>1.6064257028112448E-2</v>
      </c>
    </row>
    <row r="938" spans="7:12">
      <c r="G938" t="s">
        <v>1506</v>
      </c>
      <c r="H938" t="s">
        <v>160</v>
      </c>
      <c r="I938" t="s">
        <v>342</v>
      </c>
      <c r="J938" s="4">
        <v>1007</v>
      </c>
      <c r="K938" s="5">
        <v>0.24031777557100298</v>
      </c>
      <c r="L938" s="5">
        <v>7.9443892750744784E-3</v>
      </c>
    </row>
    <row r="939" spans="7:12">
      <c r="G939" t="s">
        <v>1507</v>
      </c>
      <c r="H939" t="s">
        <v>85</v>
      </c>
      <c r="I939" t="s">
        <v>414</v>
      </c>
      <c r="J939" s="4">
        <v>2555</v>
      </c>
      <c r="K939" s="5">
        <v>0.24031311154598825</v>
      </c>
      <c r="L939" s="5">
        <v>5.4794520547945206E-3</v>
      </c>
    </row>
    <row r="940" spans="7:12">
      <c r="G940" t="s">
        <v>1508</v>
      </c>
      <c r="H940" t="s">
        <v>118</v>
      </c>
      <c r="I940" t="s">
        <v>426</v>
      </c>
      <c r="J940" s="4">
        <v>3796</v>
      </c>
      <c r="K940" s="5">
        <v>0.24025289778714437</v>
      </c>
      <c r="L940" s="5">
        <v>2.1338250790305584E-2</v>
      </c>
    </row>
    <row r="941" spans="7:12">
      <c r="G941" t="s">
        <v>1509</v>
      </c>
      <c r="H941" t="s">
        <v>95</v>
      </c>
      <c r="I941" t="s">
        <v>115</v>
      </c>
      <c r="J941" s="4">
        <v>15796</v>
      </c>
      <c r="K941" s="5">
        <v>0.24025069637883009</v>
      </c>
      <c r="L941" s="5">
        <v>1.7156242086604205E-2</v>
      </c>
    </row>
    <row r="942" spans="7:12">
      <c r="G942" t="s">
        <v>1510</v>
      </c>
      <c r="H942" t="s">
        <v>105</v>
      </c>
      <c r="I942" t="s">
        <v>202</v>
      </c>
      <c r="J942" s="4">
        <v>4660</v>
      </c>
      <c r="K942" s="5">
        <v>0.24012875536480688</v>
      </c>
      <c r="L942" s="5">
        <v>1.1802575107296138E-2</v>
      </c>
    </row>
    <row r="943" spans="7:12">
      <c r="G943" t="s">
        <v>1511</v>
      </c>
      <c r="H943" t="s">
        <v>136</v>
      </c>
      <c r="I943" t="s">
        <v>336</v>
      </c>
      <c r="J943" s="4">
        <v>1416</v>
      </c>
      <c r="K943" s="5">
        <v>0.24011299435028249</v>
      </c>
      <c r="L943" s="5">
        <v>6.3559322033898309E-3</v>
      </c>
    </row>
    <row r="944" spans="7:12">
      <c r="G944" t="s">
        <v>1512</v>
      </c>
      <c r="H944" t="s">
        <v>226</v>
      </c>
      <c r="I944" t="s">
        <v>233</v>
      </c>
      <c r="J944" s="4">
        <v>2237</v>
      </c>
      <c r="K944" s="5">
        <v>0.2400536432722396</v>
      </c>
      <c r="L944" s="5">
        <v>1.5198927134555208E-2</v>
      </c>
    </row>
    <row r="945" spans="7:12">
      <c r="G945" t="s">
        <v>1513</v>
      </c>
      <c r="H945" t="s">
        <v>189</v>
      </c>
      <c r="I945" t="s">
        <v>95</v>
      </c>
      <c r="J945" s="4">
        <v>8376</v>
      </c>
      <c r="K945" s="5">
        <v>0.23997134670487105</v>
      </c>
      <c r="L945" s="5">
        <v>1.2416427889207259E-2</v>
      </c>
    </row>
    <row r="946" spans="7:12">
      <c r="G946" t="s">
        <v>1514</v>
      </c>
      <c r="H946" t="s">
        <v>95</v>
      </c>
      <c r="I946" t="s">
        <v>406</v>
      </c>
      <c r="J946" s="4">
        <v>1096</v>
      </c>
      <c r="K946" s="5">
        <v>0.23996350364963503</v>
      </c>
      <c r="L946" s="5">
        <v>7.2992700729927005E-3</v>
      </c>
    </row>
    <row r="947" spans="7:12">
      <c r="G947" t="s">
        <v>1515</v>
      </c>
      <c r="H947" t="s">
        <v>221</v>
      </c>
      <c r="I947" t="s">
        <v>80</v>
      </c>
      <c r="J947" s="4">
        <v>4380</v>
      </c>
      <c r="K947" s="5">
        <v>0.23995433789954337</v>
      </c>
      <c r="L947" s="5">
        <v>1.643835616438356E-2</v>
      </c>
    </row>
    <row r="948" spans="7:12">
      <c r="G948" t="s">
        <v>1516</v>
      </c>
      <c r="H948" t="s">
        <v>189</v>
      </c>
      <c r="I948" t="s">
        <v>252</v>
      </c>
      <c r="J948" s="4">
        <v>3701</v>
      </c>
      <c r="K948" s="5">
        <v>0.23993515266144286</v>
      </c>
      <c r="L948" s="5">
        <v>4.8635503917860042E-3</v>
      </c>
    </row>
    <row r="949" spans="7:12">
      <c r="G949" t="s">
        <v>1517</v>
      </c>
      <c r="H949" t="s">
        <v>89</v>
      </c>
      <c r="I949" t="s">
        <v>334</v>
      </c>
      <c r="J949" s="4">
        <v>3301</v>
      </c>
      <c r="K949" s="5">
        <v>0.23992729475916388</v>
      </c>
      <c r="L949" s="5">
        <v>2.0902756740381702E-2</v>
      </c>
    </row>
    <row r="950" spans="7:12">
      <c r="G950" t="s">
        <v>1518</v>
      </c>
      <c r="H950" t="s">
        <v>432</v>
      </c>
      <c r="I950" t="s">
        <v>103</v>
      </c>
      <c r="J950" s="4">
        <v>2222</v>
      </c>
      <c r="K950" s="5">
        <v>0.23987398739873989</v>
      </c>
      <c r="L950" s="5">
        <v>1.0801080108010801E-2</v>
      </c>
    </row>
    <row r="951" spans="7:12">
      <c r="G951" t="s">
        <v>1519</v>
      </c>
      <c r="H951" t="s">
        <v>236</v>
      </c>
      <c r="I951" t="s">
        <v>80</v>
      </c>
      <c r="J951" s="4">
        <v>2403</v>
      </c>
      <c r="K951" s="5">
        <v>0.23970037453183521</v>
      </c>
      <c r="L951" s="5">
        <v>9.1552226383687062E-3</v>
      </c>
    </row>
    <row r="952" spans="7:12">
      <c r="G952" t="s">
        <v>1520</v>
      </c>
      <c r="H952" t="s">
        <v>293</v>
      </c>
      <c r="I952" t="s">
        <v>80</v>
      </c>
      <c r="J952" s="4">
        <v>1285</v>
      </c>
      <c r="K952" s="5">
        <v>0.2396887159533074</v>
      </c>
      <c r="L952" s="5">
        <v>1.556420233463035E-2</v>
      </c>
    </row>
    <row r="953" spans="7:12">
      <c r="G953" t="s">
        <v>1521</v>
      </c>
      <c r="H953" t="s">
        <v>134</v>
      </c>
      <c r="I953" t="s">
        <v>497</v>
      </c>
      <c r="J953" s="4">
        <v>1477</v>
      </c>
      <c r="K953" s="5">
        <v>0.23967501692620177</v>
      </c>
      <c r="L953" s="5">
        <v>1.4218009478672985E-2</v>
      </c>
    </row>
    <row r="954" spans="7:12">
      <c r="G954" t="s">
        <v>1522</v>
      </c>
      <c r="H954" t="s">
        <v>224</v>
      </c>
      <c r="I954" t="s">
        <v>121</v>
      </c>
      <c r="J954" s="4">
        <v>5287</v>
      </c>
      <c r="K954" s="5">
        <v>0.23964441081898999</v>
      </c>
      <c r="L954" s="5">
        <v>1.2294306790240211E-2</v>
      </c>
    </row>
    <row r="955" spans="7:12">
      <c r="G955" t="s">
        <v>1523</v>
      </c>
      <c r="H955" t="s">
        <v>422</v>
      </c>
      <c r="I955" t="s">
        <v>137</v>
      </c>
      <c r="J955" s="4">
        <v>4510</v>
      </c>
      <c r="K955" s="5">
        <v>0.23946784922394679</v>
      </c>
      <c r="L955" s="5">
        <v>2.0399113082039913E-2</v>
      </c>
    </row>
    <row r="956" spans="7:12">
      <c r="G956" t="s">
        <v>1524</v>
      </c>
      <c r="H956" t="s">
        <v>105</v>
      </c>
      <c r="I956" t="s">
        <v>95</v>
      </c>
      <c r="J956" s="4">
        <v>18960</v>
      </c>
      <c r="K956" s="5">
        <v>0.23945147679324894</v>
      </c>
      <c r="L956" s="5">
        <v>9.9156118143459912E-3</v>
      </c>
    </row>
    <row r="957" spans="7:12">
      <c r="G957" t="s">
        <v>1525</v>
      </c>
      <c r="H957" t="s">
        <v>118</v>
      </c>
      <c r="I957" t="s">
        <v>80</v>
      </c>
      <c r="J957" s="4">
        <v>8709</v>
      </c>
      <c r="K957" s="5">
        <v>0.239407509472959</v>
      </c>
      <c r="L957" s="5">
        <v>1.2171317028361465E-2</v>
      </c>
    </row>
    <row r="958" spans="7:12">
      <c r="G958" t="s">
        <v>1526</v>
      </c>
      <c r="H958" t="s">
        <v>160</v>
      </c>
      <c r="I958" t="s">
        <v>372</v>
      </c>
      <c r="J958" s="4">
        <v>1408</v>
      </c>
      <c r="K958" s="5">
        <v>0.23934659090909091</v>
      </c>
      <c r="L958" s="5">
        <v>4.971590909090909E-3</v>
      </c>
    </row>
    <row r="959" spans="7:12">
      <c r="G959" t="s">
        <v>1527</v>
      </c>
      <c r="H959" t="s">
        <v>100</v>
      </c>
      <c r="I959" t="s">
        <v>340</v>
      </c>
      <c r="J959" s="4">
        <v>5987</v>
      </c>
      <c r="K959" s="5">
        <v>0.23918490061800568</v>
      </c>
      <c r="L959" s="5">
        <v>9.6876565892767656E-3</v>
      </c>
    </row>
    <row r="960" spans="7:12">
      <c r="G960" t="s">
        <v>1528</v>
      </c>
      <c r="H960" t="s">
        <v>368</v>
      </c>
      <c r="I960" t="s">
        <v>162</v>
      </c>
      <c r="J960" s="4">
        <v>1802</v>
      </c>
      <c r="K960" s="5">
        <v>0.23917869034406217</v>
      </c>
      <c r="L960" s="5">
        <v>1.7203107658157604E-2</v>
      </c>
    </row>
    <row r="961" spans="7:12">
      <c r="G961" t="s">
        <v>1529</v>
      </c>
      <c r="H961" t="s">
        <v>131</v>
      </c>
      <c r="I961" t="s">
        <v>228</v>
      </c>
      <c r="J961" s="4">
        <v>2099</v>
      </c>
      <c r="K961" s="5">
        <v>0.23916150547879944</v>
      </c>
      <c r="L961" s="5">
        <v>3.3349213911386373E-3</v>
      </c>
    </row>
    <row r="962" spans="7:12">
      <c r="G962" t="s">
        <v>1530</v>
      </c>
      <c r="H962" t="s">
        <v>162</v>
      </c>
      <c r="I962" t="s">
        <v>342</v>
      </c>
      <c r="J962" s="4">
        <v>3542</v>
      </c>
      <c r="K962" s="5">
        <v>0.2391304347826087</v>
      </c>
      <c r="L962" s="5">
        <v>1.4680971202710334E-2</v>
      </c>
    </row>
    <row r="963" spans="7:12">
      <c r="G963" t="s">
        <v>1531</v>
      </c>
      <c r="H963" t="s">
        <v>204</v>
      </c>
      <c r="I963" t="s">
        <v>340</v>
      </c>
      <c r="J963" s="4">
        <v>3220</v>
      </c>
      <c r="K963" s="5">
        <v>0.2391304347826087</v>
      </c>
      <c r="L963" s="5">
        <v>2.6397515527950312E-2</v>
      </c>
    </row>
    <row r="964" spans="7:12">
      <c r="G964" t="s">
        <v>1532</v>
      </c>
      <c r="H964" t="s">
        <v>137</v>
      </c>
      <c r="I964" t="s">
        <v>254</v>
      </c>
      <c r="J964" s="4">
        <v>4207</v>
      </c>
      <c r="K964" s="5">
        <v>0.23912526741145709</v>
      </c>
      <c r="L964" s="5">
        <v>1.9491323983836462E-2</v>
      </c>
    </row>
    <row r="965" spans="7:12">
      <c r="G965" t="s">
        <v>1533</v>
      </c>
      <c r="H965" t="s">
        <v>89</v>
      </c>
      <c r="I965" t="s">
        <v>349</v>
      </c>
      <c r="J965" s="4">
        <v>7705</v>
      </c>
      <c r="K965" s="5">
        <v>0.2390655418559377</v>
      </c>
      <c r="L965" s="5">
        <v>2.81635301752109E-2</v>
      </c>
    </row>
    <row r="966" spans="7:12">
      <c r="G966" t="s">
        <v>1534</v>
      </c>
      <c r="H966" t="s">
        <v>140</v>
      </c>
      <c r="I966" t="s">
        <v>189</v>
      </c>
      <c r="J966" s="4">
        <v>5953</v>
      </c>
      <c r="K966" s="5">
        <v>0.23903913992944734</v>
      </c>
      <c r="L966" s="5">
        <v>2.2845624055098268E-2</v>
      </c>
    </row>
    <row r="967" spans="7:12">
      <c r="G967" t="s">
        <v>1535</v>
      </c>
      <c r="H967" t="s">
        <v>95</v>
      </c>
      <c r="I967" t="s">
        <v>80</v>
      </c>
      <c r="J967" s="4">
        <v>3983</v>
      </c>
      <c r="K967" s="5">
        <v>0.23901581722319859</v>
      </c>
      <c r="L967" s="5">
        <v>1.0795882500627667E-2</v>
      </c>
    </row>
    <row r="968" spans="7:12">
      <c r="G968" t="s">
        <v>1536</v>
      </c>
      <c r="H968" t="s">
        <v>131</v>
      </c>
      <c r="I968" t="s">
        <v>370</v>
      </c>
      <c r="J968" s="4">
        <v>28823</v>
      </c>
      <c r="K968" s="5">
        <v>0.23890642889359193</v>
      </c>
      <c r="L968" s="5">
        <v>8.1185164625472706E-3</v>
      </c>
    </row>
    <row r="969" spans="7:12">
      <c r="G969" t="s">
        <v>1537</v>
      </c>
      <c r="H969" t="s">
        <v>398</v>
      </c>
      <c r="I969" t="s">
        <v>434</v>
      </c>
      <c r="J969" s="4">
        <v>1001</v>
      </c>
      <c r="K969" s="5">
        <v>0.23876123876123875</v>
      </c>
      <c r="L969" s="5">
        <v>1.998001998001998E-3</v>
      </c>
    </row>
    <row r="970" spans="7:12">
      <c r="G970" t="s">
        <v>1538</v>
      </c>
      <c r="H970" t="s">
        <v>140</v>
      </c>
      <c r="I970" t="s">
        <v>202</v>
      </c>
      <c r="J970" s="4">
        <v>8804</v>
      </c>
      <c r="K970" s="5">
        <v>0.23875511131303953</v>
      </c>
      <c r="L970" s="5">
        <v>2.6578827805542934E-2</v>
      </c>
    </row>
    <row r="971" spans="7:12">
      <c r="G971" t="s">
        <v>1539</v>
      </c>
      <c r="H971" t="s">
        <v>115</v>
      </c>
      <c r="I971" t="s">
        <v>136</v>
      </c>
      <c r="J971" s="4">
        <v>5935</v>
      </c>
      <c r="K971" s="5">
        <v>0.23875315922493681</v>
      </c>
      <c r="L971" s="5">
        <v>1.4827295703454086E-2</v>
      </c>
    </row>
    <row r="972" spans="7:12">
      <c r="G972" t="s">
        <v>1540</v>
      </c>
      <c r="H972" t="s">
        <v>204</v>
      </c>
      <c r="I972" t="s">
        <v>297</v>
      </c>
      <c r="J972" s="4">
        <v>3742</v>
      </c>
      <c r="K972" s="5">
        <v>0.23864243719935863</v>
      </c>
      <c r="L972" s="5">
        <v>2.6990913949759488E-2</v>
      </c>
    </row>
    <row r="973" spans="7:12">
      <c r="G973" t="s">
        <v>1541</v>
      </c>
      <c r="H973" t="s">
        <v>118</v>
      </c>
      <c r="I973" t="s">
        <v>324</v>
      </c>
      <c r="J973" s="4">
        <v>6791</v>
      </c>
      <c r="K973" s="5">
        <v>0.2385510234133412</v>
      </c>
      <c r="L973" s="5">
        <v>1.8848475924017082E-2</v>
      </c>
    </row>
    <row r="974" spans="7:12">
      <c r="G974" t="s">
        <v>1542</v>
      </c>
      <c r="H974" t="s">
        <v>158</v>
      </c>
      <c r="I974" t="s">
        <v>118</v>
      </c>
      <c r="J974" s="4">
        <v>4755</v>
      </c>
      <c r="K974" s="5">
        <v>0.2384858044164038</v>
      </c>
      <c r="L974" s="5">
        <v>1.2618296529968454E-2</v>
      </c>
    </row>
    <row r="975" spans="7:12">
      <c r="G975" t="s">
        <v>1543</v>
      </c>
      <c r="H975" t="s">
        <v>115</v>
      </c>
      <c r="I975" t="s">
        <v>336</v>
      </c>
      <c r="J975" s="4">
        <v>2751</v>
      </c>
      <c r="K975" s="5">
        <v>0.23845874227553618</v>
      </c>
      <c r="L975" s="5">
        <v>6.9065794256633955E-3</v>
      </c>
    </row>
    <row r="976" spans="7:12">
      <c r="G976" t="s">
        <v>1544</v>
      </c>
      <c r="H976" t="s">
        <v>273</v>
      </c>
      <c r="I976" t="s">
        <v>204</v>
      </c>
      <c r="J976" s="4">
        <v>3901</v>
      </c>
      <c r="K976" s="5">
        <v>0.23840041015124327</v>
      </c>
      <c r="L976" s="5">
        <v>3.5119200205075619E-2</v>
      </c>
    </row>
    <row r="977" spans="7:12">
      <c r="G977" t="s">
        <v>1545</v>
      </c>
      <c r="H977" t="s">
        <v>221</v>
      </c>
      <c r="I977" t="s">
        <v>131</v>
      </c>
      <c r="J977" s="4">
        <v>3050</v>
      </c>
      <c r="K977" s="5">
        <v>0.23836065573770493</v>
      </c>
      <c r="L977" s="5">
        <v>6.8852459016393447E-3</v>
      </c>
    </row>
    <row r="978" spans="7:12">
      <c r="G978" t="s">
        <v>1546</v>
      </c>
      <c r="H978" t="s">
        <v>202</v>
      </c>
      <c r="I978" t="s">
        <v>319</v>
      </c>
      <c r="J978" s="4">
        <v>1628</v>
      </c>
      <c r="K978" s="5">
        <v>0.23832923832923833</v>
      </c>
      <c r="L978" s="5">
        <v>6.1425061425061421E-3</v>
      </c>
    </row>
    <row r="979" spans="7:12">
      <c r="G979" t="s">
        <v>1547</v>
      </c>
      <c r="H979" t="s">
        <v>340</v>
      </c>
      <c r="I979" t="s">
        <v>89</v>
      </c>
      <c r="J979" s="4">
        <v>4213</v>
      </c>
      <c r="K979" s="5">
        <v>0.23830999287918347</v>
      </c>
      <c r="L979" s="5">
        <v>2.2786612864941845E-2</v>
      </c>
    </row>
    <row r="980" spans="7:12">
      <c r="G980" t="s">
        <v>1548</v>
      </c>
      <c r="H980" t="s">
        <v>162</v>
      </c>
      <c r="I980" t="s">
        <v>89</v>
      </c>
      <c r="J980" s="4">
        <v>11514</v>
      </c>
      <c r="K980" s="5">
        <v>0.23823171790863296</v>
      </c>
      <c r="L980" s="5">
        <v>1.7109605697411847E-2</v>
      </c>
    </row>
    <row r="981" spans="7:12">
      <c r="G981" t="s">
        <v>1549</v>
      </c>
      <c r="H981" t="s">
        <v>140</v>
      </c>
      <c r="I981" t="s">
        <v>131</v>
      </c>
      <c r="J981" s="4">
        <v>9216</v>
      </c>
      <c r="K981" s="5">
        <v>0.23817274305555555</v>
      </c>
      <c r="L981" s="5">
        <v>1.5950520833333332E-2</v>
      </c>
    </row>
    <row r="982" spans="7:12">
      <c r="G982" t="s">
        <v>1550</v>
      </c>
      <c r="H982" t="s">
        <v>89</v>
      </c>
      <c r="I982" t="s">
        <v>477</v>
      </c>
      <c r="J982" s="4">
        <v>1289</v>
      </c>
      <c r="K982" s="5">
        <v>0.23816912335143522</v>
      </c>
      <c r="L982" s="5">
        <v>2.1722265321955005E-2</v>
      </c>
    </row>
    <row r="983" spans="7:12">
      <c r="G983" t="s">
        <v>1551</v>
      </c>
      <c r="H983" t="s">
        <v>453</v>
      </c>
      <c r="I983" t="s">
        <v>89</v>
      </c>
      <c r="J983" s="4">
        <v>3254</v>
      </c>
      <c r="K983" s="5">
        <v>0.23816840811309159</v>
      </c>
      <c r="L983" s="5">
        <v>1.4751075599262446E-2</v>
      </c>
    </row>
    <row r="984" spans="7:12">
      <c r="G984" t="s">
        <v>1552</v>
      </c>
      <c r="H984" t="s">
        <v>137</v>
      </c>
      <c r="I984" t="s">
        <v>358</v>
      </c>
      <c r="J984" s="4">
        <v>3275</v>
      </c>
      <c r="K984" s="5">
        <v>0.2381679389312977</v>
      </c>
      <c r="L984" s="5">
        <v>2.3206106870229008E-2</v>
      </c>
    </row>
    <row r="985" spans="7:12">
      <c r="G985" t="s">
        <v>1553</v>
      </c>
      <c r="H985" t="s">
        <v>202</v>
      </c>
      <c r="I985" t="s">
        <v>331</v>
      </c>
      <c r="J985" s="4">
        <v>2662</v>
      </c>
      <c r="K985" s="5">
        <v>0.23816679188580014</v>
      </c>
      <c r="L985" s="5">
        <v>2.0661157024793389E-2</v>
      </c>
    </row>
    <row r="986" spans="7:12">
      <c r="G986" t="s">
        <v>1554</v>
      </c>
      <c r="H986" t="s">
        <v>103</v>
      </c>
      <c r="I986" t="s">
        <v>416</v>
      </c>
      <c r="J986" s="4">
        <v>9292</v>
      </c>
      <c r="K986" s="5">
        <v>0.23816185966422729</v>
      </c>
      <c r="L986" s="5">
        <v>7.9638398622470935E-3</v>
      </c>
    </row>
    <row r="987" spans="7:12">
      <c r="G987" t="s">
        <v>1555</v>
      </c>
      <c r="H987" t="s">
        <v>189</v>
      </c>
      <c r="I987" t="s">
        <v>204</v>
      </c>
      <c r="J987" s="4">
        <v>1096</v>
      </c>
      <c r="K987" s="5">
        <v>0.23813868613138686</v>
      </c>
      <c r="L987" s="5">
        <v>8.2116788321167887E-3</v>
      </c>
    </row>
    <row r="988" spans="7:12">
      <c r="G988" t="s">
        <v>1556</v>
      </c>
      <c r="H988" t="s">
        <v>218</v>
      </c>
      <c r="I988" t="s">
        <v>103</v>
      </c>
      <c r="J988" s="4">
        <v>17824</v>
      </c>
      <c r="K988" s="5">
        <v>0.23804982046678635</v>
      </c>
      <c r="L988" s="5">
        <v>9.6499102333931774E-3</v>
      </c>
    </row>
    <row r="989" spans="7:12">
      <c r="G989" t="s">
        <v>1557</v>
      </c>
      <c r="H989" t="s">
        <v>103</v>
      </c>
      <c r="I989" t="s">
        <v>440</v>
      </c>
      <c r="J989" s="4">
        <v>2189</v>
      </c>
      <c r="K989" s="5">
        <v>0.23800822293284604</v>
      </c>
      <c r="L989" s="5">
        <v>7.7661032434901784E-3</v>
      </c>
    </row>
    <row r="990" spans="7:12">
      <c r="G990" t="s">
        <v>1558</v>
      </c>
      <c r="H990" t="s">
        <v>100</v>
      </c>
      <c r="I990" t="s">
        <v>317</v>
      </c>
      <c r="J990" s="4">
        <v>4933</v>
      </c>
      <c r="K990" s="5">
        <v>0.23798905331441314</v>
      </c>
      <c r="L990" s="5">
        <v>1.9258057976890331E-2</v>
      </c>
    </row>
    <row r="991" spans="7:12">
      <c r="G991" t="s">
        <v>1559</v>
      </c>
      <c r="H991" t="s">
        <v>297</v>
      </c>
      <c r="I991" t="s">
        <v>204</v>
      </c>
      <c r="J991" s="4">
        <v>3744</v>
      </c>
      <c r="K991" s="5">
        <v>0.23798076923076922</v>
      </c>
      <c r="L991" s="5">
        <v>2.7777777777777776E-2</v>
      </c>
    </row>
    <row r="992" spans="7:12">
      <c r="G992" t="s">
        <v>1560</v>
      </c>
      <c r="H992" t="s">
        <v>182</v>
      </c>
      <c r="I992" t="s">
        <v>507</v>
      </c>
      <c r="J992" s="4">
        <v>1030</v>
      </c>
      <c r="K992" s="5">
        <v>0.23786407766990292</v>
      </c>
      <c r="L992" s="5">
        <v>9.7087378640776691E-3</v>
      </c>
    </row>
    <row r="993" spans="7:12">
      <c r="G993" t="s">
        <v>1561</v>
      </c>
      <c r="H993" t="s">
        <v>408</v>
      </c>
      <c r="I993" t="s">
        <v>215</v>
      </c>
      <c r="J993" s="4">
        <v>1627</v>
      </c>
      <c r="K993" s="5">
        <v>0.23786109403810696</v>
      </c>
      <c r="L993" s="5">
        <v>1.2292562999385371E-2</v>
      </c>
    </row>
    <row r="994" spans="7:12">
      <c r="G994" t="s">
        <v>1562</v>
      </c>
      <c r="H994" t="s">
        <v>218</v>
      </c>
      <c r="I994" t="s">
        <v>370</v>
      </c>
      <c r="J994" s="4">
        <v>16166</v>
      </c>
      <c r="K994" s="5">
        <v>0.23784485958183843</v>
      </c>
      <c r="L994" s="5">
        <v>8.35085982927131E-3</v>
      </c>
    </row>
    <row r="995" spans="7:12">
      <c r="G995" t="s">
        <v>1563</v>
      </c>
      <c r="H995" t="s">
        <v>100</v>
      </c>
      <c r="I995" t="s">
        <v>221</v>
      </c>
      <c r="J995" s="4">
        <v>5571</v>
      </c>
      <c r="K995" s="5">
        <v>0.23783880811344463</v>
      </c>
      <c r="L995" s="5">
        <v>1.1667564171602944E-2</v>
      </c>
    </row>
    <row r="996" spans="7:12">
      <c r="G996" t="s">
        <v>1564</v>
      </c>
      <c r="H996" t="s">
        <v>115</v>
      </c>
      <c r="I996" t="s">
        <v>342</v>
      </c>
      <c r="J996" s="4">
        <v>3637</v>
      </c>
      <c r="K996" s="5">
        <v>0.23783337915864725</v>
      </c>
      <c r="L996" s="5">
        <v>8.7984602694528465E-3</v>
      </c>
    </row>
    <row r="997" spans="7:12">
      <c r="G997" t="s">
        <v>1565</v>
      </c>
      <c r="H997" t="s">
        <v>215</v>
      </c>
      <c r="I997" t="s">
        <v>236</v>
      </c>
      <c r="J997" s="4">
        <v>2553</v>
      </c>
      <c r="K997" s="5">
        <v>0.23775949862906384</v>
      </c>
      <c r="L997" s="5">
        <v>3.5252643948296123E-3</v>
      </c>
    </row>
    <row r="998" spans="7:12">
      <c r="G998" t="s">
        <v>1566</v>
      </c>
      <c r="H998" t="s">
        <v>115</v>
      </c>
      <c r="I998" t="s">
        <v>368</v>
      </c>
      <c r="J998" s="4">
        <v>3218</v>
      </c>
      <c r="K998" s="5">
        <v>0.2377252952144189</v>
      </c>
      <c r="L998" s="5">
        <v>6.2150403977625857E-3</v>
      </c>
    </row>
    <row r="999" spans="7:12">
      <c r="G999" t="s">
        <v>1567</v>
      </c>
      <c r="H999" t="s">
        <v>218</v>
      </c>
      <c r="I999" t="s">
        <v>282</v>
      </c>
      <c r="J999" s="4">
        <v>12910</v>
      </c>
      <c r="K999" s="5">
        <v>0.23772269558481798</v>
      </c>
      <c r="L999" s="5">
        <v>1.0457010069713401E-2</v>
      </c>
    </row>
    <row r="1000" spans="7:12">
      <c r="G1000" t="s">
        <v>1568</v>
      </c>
      <c r="H1000" t="s">
        <v>131</v>
      </c>
      <c r="I1000" t="s">
        <v>434</v>
      </c>
      <c r="J1000" s="4">
        <v>5869</v>
      </c>
      <c r="K1000" s="5">
        <v>0.23768955529050945</v>
      </c>
      <c r="L1000" s="5">
        <v>5.6227636735389332E-3</v>
      </c>
    </row>
    <row r="1001" spans="7:12">
      <c r="G1001" t="s">
        <v>1569</v>
      </c>
      <c r="H1001" t="s">
        <v>331</v>
      </c>
      <c r="I1001" t="s">
        <v>100</v>
      </c>
      <c r="J1001" s="4">
        <v>5992</v>
      </c>
      <c r="K1001" s="5">
        <v>0.23765020026702269</v>
      </c>
      <c r="L1001" s="5">
        <v>1.2182910547396529E-2</v>
      </c>
    </row>
    <row r="1002" spans="7:12">
      <c r="G1002" t="s">
        <v>1570</v>
      </c>
      <c r="H1002" t="s">
        <v>134</v>
      </c>
      <c r="I1002" t="s">
        <v>349</v>
      </c>
      <c r="J1002" s="4">
        <v>1616</v>
      </c>
      <c r="K1002" s="5">
        <v>0.23762376237623761</v>
      </c>
      <c r="L1002" s="5">
        <v>1.2995049504950494E-2</v>
      </c>
    </row>
    <row r="1003" spans="7:12">
      <c r="G1003" t="s">
        <v>1571</v>
      </c>
      <c r="H1003" t="s">
        <v>118</v>
      </c>
      <c r="I1003" t="s">
        <v>121</v>
      </c>
      <c r="J1003" s="4">
        <v>2879</v>
      </c>
      <c r="K1003" s="5">
        <v>0.23758249392150052</v>
      </c>
      <c r="L1003" s="5">
        <v>1.0767627648489059E-2</v>
      </c>
    </row>
    <row r="1004" spans="7:12">
      <c r="G1004" t="s">
        <v>1572</v>
      </c>
      <c r="H1004" t="s">
        <v>100</v>
      </c>
      <c r="I1004" t="s">
        <v>319</v>
      </c>
      <c r="J1004" s="4">
        <v>4517</v>
      </c>
      <c r="K1004" s="5">
        <v>0.23754704449856098</v>
      </c>
      <c r="L1004" s="5">
        <v>1.1733451405800311E-2</v>
      </c>
    </row>
    <row r="1005" spans="7:12">
      <c r="G1005" t="s">
        <v>1573</v>
      </c>
      <c r="H1005" t="s">
        <v>259</v>
      </c>
      <c r="I1005" t="s">
        <v>89</v>
      </c>
      <c r="J1005" s="4">
        <v>19407</v>
      </c>
      <c r="K1005" s="5">
        <v>0.23749162673262225</v>
      </c>
      <c r="L1005" s="5">
        <v>2.6588344411810173E-2</v>
      </c>
    </row>
    <row r="1006" spans="7:12">
      <c r="G1006" t="s">
        <v>1574</v>
      </c>
      <c r="H1006" t="s">
        <v>103</v>
      </c>
      <c r="I1006" t="s">
        <v>461</v>
      </c>
      <c r="J1006" s="4">
        <v>23608</v>
      </c>
      <c r="K1006" s="5">
        <v>0.23746187732971874</v>
      </c>
      <c r="L1006" s="5">
        <v>8.175194849203659E-3</v>
      </c>
    </row>
    <row r="1007" spans="7:12">
      <c r="G1007" t="s">
        <v>1575</v>
      </c>
      <c r="H1007" t="s">
        <v>95</v>
      </c>
      <c r="I1007" t="s">
        <v>165</v>
      </c>
      <c r="J1007" s="4">
        <v>4237</v>
      </c>
      <c r="K1007" s="5">
        <v>0.23743214538588625</v>
      </c>
      <c r="L1007" s="5">
        <v>1.0384706160018881E-2</v>
      </c>
    </row>
    <row r="1008" spans="7:12">
      <c r="G1008" t="s">
        <v>1576</v>
      </c>
      <c r="H1008" t="s">
        <v>486</v>
      </c>
      <c r="I1008" t="s">
        <v>449</v>
      </c>
      <c r="J1008" s="4">
        <v>2082</v>
      </c>
      <c r="K1008" s="5">
        <v>0.2372718539865514</v>
      </c>
      <c r="L1008" s="5">
        <v>1.0086455331412104E-2</v>
      </c>
    </row>
    <row r="1009" spans="7:12">
      <c r="G1009" t="s">
        <v>1577</v>
      </c>
      <c r="H1009" t="s">
        <v>236</v>
      </c>
      <c r="I1009" t="s">
        <v>317</v>
      </c>
      <c r="J1009" s="4">
        <v>1071</v>
      </c>
      <c r="K1009" s="5">
        <v>0.23716153127917833</v>
      </c>
      <c r="L1009" s="5">
        <v>1.3071895424836602E-2</v>
      </c>
    </row>
    <row r="1010" spans="7:12">
      <c r="G1010" t="s">
        <v>1578</v>
      </c>
      <c r="H1010" t="s">
        <v>252</v>
      </c>
      <c r="I1010" t="s">
        <v>160</v>
      </c>
      <c r="J1010" s="4">
        <v>1244</v>
      </c>
      <c r="K1010" s="5">
        <v>0.23713826366559485</v>
      </c>
      <c r="L1010" s="5">
        <v>9.6463022508038593E-3</v>
      </c>
    </row>
    <row r="1011" spans="7:12">
      <c r="G1011" t="s">
        <v>1579</v>
      </c>
      <c r="H1011" t="s">
        <v>89</v>
      </c>
      <c r="I1011" t="s">
        <v>428</v>
      </c>
      <c r="J1011" s="4">
        <v>1763</v>
      </c>
      <c r="K1011" s="5">
        <v>0.23709585933068633</v>
      </c>
      <c r="L1011" s="5">
        <v>1.7583664208735111E-2</v>
      </c>
    </row>
    <row r="1012" spans="7:12">
      <c r="G1012" t="s">
        <v>1580</v>
      </c>
      <c r="H1012" t="s">
        <v>149</v>
      </c>
      <c r="I1012" t="s">
        <v>360</v>
      </c>
      <c r="J1012" s="4">
        <v>1645</v>
      </c>
      <c r="K1012" s="5">
        <v>0.23708206686930092</v>
      </c>
      <c r="L1012" s="5">
        <v>2.7963525835866261E-2</v>
      </c>
    </row>
    <row r="1013" spans="7:12">
      <c r="G1013" t="s">
        <v>1581</v>
      </c>
      <c r="H1013" t="s">
        <v>218</v>
      </c>
      <c r="I1013" t="s">
        <v>291</v>
      </c>
      <c r="J1013" s="4">
        <v>1211</v>
      </c>
      <c r="K1013" s="5">
        <v>0.23699421965317918</v>
      </c>
      <c r="L1013" s="5">
        <v>8.2576383154417832E-3</v>
      </c>
    </row>
    <row r="1014" spans="7:12">
      <c r="G1014" t="s">
        <v>1582</v>
      </c>
      <c r="H1014" t="s">
        <v>215</v>
      </c>
      <c r="I1014" t="s">
        <v>463</v>
      </c>
      <c r="J1014" s="4">
        <v>21989</v>
      </c>
      <c r="K1014" s="5">
        <v>0.23698212742735003</v>
      </c>
      <c r="L1014" s="5">
        <v>8.2313884214834689E-3</v>
      </c>
    </row>
    <row r="1015" spans="7:12">
      <c r="G1015" t="s">
        <v>1583</v>
      </c>
      <c r="H1015" t="s">
        <v>189</v>
      </c>
      <c r="I1015" t="s">
        <v>89</v>
      </c>
      <c r="J1015" s="4">
        <v>14581</v>
      </c>
      <c r="K1015" s="5">
        <v>0.23695219806597628</v>
      </c>
      <c r="L1015" s="5">
        <v>2.5169741444345382E-2</v>
      </c>
    </row>
    <row r="1016" spans="7:12">
      <c r="G1016" t="s">
        <v>1584</v>
      </c>
      <c r="H1016" t="s">
        <v>240</v>
      </c>
      <c r="I1016" t="s">
        <v>89</v>
      </c>
      <c r="J1016" s="4">
        <v>1912</v>
      </c>
      <c r="K1016" s="5">
        <v>0.23692468619246862</v>
      </c>
      <c r="L1016" s="5">
        <v>2.0397489539748955E-2</v>
      </c>
    </row>
    <row r="1017" spans="7:12">
      <c r="G1017" t="s">
        <v>1585</v>
      </c>
      <c r="H1017" t="s">
        <v>204</v>
      </c>
      <c r="I1017" t="s">
        <v>453</v>
      </c>
      <c r="J1017" s="4">
        <v>3014</v>
      </c>
      <c r="K1017" s="5">
        <v>0.23689449236894491</v>
      </c>
      <c r="L1017" s="5">
        <v>3.1187790311877902E-2</v>
      </c>
    </row>
    <row r="1018" spans="7:12">
      <c r="G1018" t="s">
        <v>1586</v>
      </c>
      <c r="H1018" t="s">
        <v>137</v>
      </c>
      <c r="I1018" t="s">
        <v>352</v>
      </c>
      <c r="J1018" s="4">
        <v>2090</v>
      </c>
      <c r="K1018" s="5">
        <v>0.23684210526315788</v>
      </c>
      <c r="L1018" s="5">
        <v>2.1531100478468901E-2</v>
      </c>
    </row>
    <row r="1019" spans="7:12">
      <c r="G1019" t="s">
        <v>1587</v>
      </c>
      <c r="H1019" t="s">
        <v>118</v>
      </c>
      <c r="I1019" t="s">
        <v>202</v>
      </c>
      <c r="J1019" s="4">
        <v>9365</v>
      </c>
      <c r="K1019" s="5">
        <v>0.2368392952482648</v>
      </c>
      <c r="L1019" s="5">
        <v>1.3881473571809931E-2</v>
      </c>
    </row>
    <row r="1020" spans="7:12">
      <c r="G1020" t="s">
        <v>1588</v>
      </c>
      <c r="H1020" t="s">
        <v>103</v>
      </c>
      <c r="I1020" t="s">
        <v>443</v>
      </c>
      <c r="J1020" s="4">
        <v>3074</v>
      </c>
      <c r="K1020" s="5">
        <v>0.23682498373454783</v>
      </c>
      <c r="L1020" s="5">
        <v>6.5061808718282366E-3</v>
      </c>
    </row>
    <row r="1021" spans="7:12">
      <c r="G1021" t="s">
        <v>1589</v>
      </c>
      <c r="H1021" t="s">
        <v>134</v>
      </c>
      <c r="I1021" t="s">
        <v>80</v>
      </c>
      <c r="J1021" s="4">
        <v>7719</v>
      </c>
      <c r="K1021" s="5">
        <v>0.23681824070475449</v>
      </c>
      <c r="L1021" s="5">
        <v>1.3991449669646328E-2</v>
      </c>
    </row>
    <row r="1022" spans="7:12">
      <c r="G1022" t="s">
        <v>1590</v>
      </c>
      <c r="H1022" t="s">
        <v>221</v>
      </c>
      <c r="I1022" t="s">
        <v>215</v>
      </c>
      <c r="J1022" s="4">
        <v>2010</v>
      </c>
      <c r="K1022" s="5">
        <v>0.23681592039800994</v>
      </c>
      <c r="L1022" s="5">
        <v>8.4577114427860697E-3</v>
      </c>
    </row>
    <row r="1023" spans="7:12">
      <c r="G1023" t="s">
        <v>1591</v>
      </c>
      <c r="H1023" t="s">
        <v>100</v>
      </c>
      <c r="I1023" t="s">
        <v>273</v>
      </c>
      <c r="J1023" s="4">
        <v>1858</v>
      </c>
      <c r="K1023" s="5">
        <v>0.23681377825618946</v>
      </c>
      <c r="L1023" s="5">
        <v>1.5608180839612486E-2</v>
      </c>
    </row>
    <row r="1024" spans="7:12">
      <c r="G1024" t="s">
        <v>1592</v>
      </c>
      <c r="H1024" t="s">
        <v>226</v>
      </c>
      <c r="I1024" t="s">
        <v>103</v>
      </c>
      <c r="J1024" s="4">
        <v>16452</v>
      </c>
      <c r="K1024" s="5">
        <v>0.23674933138828105</v>
      </c>
      <c r="L1024" s="5">
        <v>7.7194262095793822E-3</v>
      </c>
    </row>
    <row r="1025" spans="7:12">
      <c r="G1025" t="s">
        <v>1593</v>
      </c>
      <c r="H1025" t="s">
        <v>118</v>
      </c>
      <c r="I1025" t="s">
        <v>288</v>
      </c>
      <c r="J1025" s="4">
        <v>5659</v>
      </c>
      <c r="K1025" s="5">
        <v>0.23661424279908111</v>
      </c>
      <c r="L1025" s="5">
        <v>1.4843611945573423E-2</v>
      </c>
    </row>
    <row r="1026" spans="7:12">
      <c r="G1026" t="s">
        <v>1594</v>
      </c>
      <c r="H1026" t="s">
        <v>100</v>
      </c>
      <c r="I1026" t="s">
        <v>280</v>
      </c>
      <c r="J1026" s="4">
        <v>3098</v>
      </c>
      <c r="K1026" s="5">
        <v>0.23660426081342803</v>
      </c>
      <c r="L1026" s="5">
        <v>1.2911555842479019E-2</v>
      </c>
    </row>
    <row r="1027" spans="7:12">
      <c r="G1027" t="s">
        <v>1595</v>
      </c>
      <c r="H1027" t="s">
        <v>136</v>
      </c>
      <c r="I1027" t="s">
        <v>299</v>
      </c>
      <c r="J1027" s="4">
        <v>2874</v>
      </c>
      <c r="K1027" s="5">
        <v>0.23660403618649964</v>
      </c>
      <c r="L1027" s="5">
        <v>6.6109951287404312E-3</v>
      </c>
    </row>
    <row r="1028" spans="7:12">
      <c r="G1028" t="s">
        <v>1596</v>
      </c>
      <c r="H1028" t="s">
        <v>136</v>
      </c>
      <c r="I1028" t="s">
        <v>326</v>
      </c>
      <c r="J1028" s="4">
        <v>9075</v>
      </c>
      <c r="K1028" s="5">
        <v>0.23658402203856749</v>
      </c>
      <c r="L1028" s="5">
        <v>1.2011019283746557E-2</v>
      </c>
    </row>
    <row r="1029" spans="7:12">
      <c r="G1029" t="s">
        <v>1597</v>
      </c>
      <c r="H1029" t="s">
        <v>103</v>
      </c>
      <c r="I1029" t="s">
        <v>149</v>
      </c>
      <c r="J1029" s="4">
        <v>4574</v>
      </c>
      <c r="K1029" s="5">
        <v>0.2365544381285527</v>
      </c>
      <c r="L1029" s="5">
        <v>2.1862702229995628E-2</v>
      </c>
    </row>
    <row r="1030" spans="7:12">
      <c r="G1030" t="s">
        <v>1598</v>
      </c>
      <c r="H1030" t="s">
        <v>134</v>
      </c>
      <c r="I1030" t="s">
        <v>254</v>
      </c>
      <c r="J1030" s="4">
        <v>2287</v>
      </c>
      <c r="K1030" s="5">
        <v>0.2365544381285527</v>
      </c>
      <c r="L1030" s="5">
        <v>1.1805859204197638E-2</v>
      </c>
    </row>
    <row r="1031" spans="7:12">
      <c r="G1031" t="s">
        <v>1599</v>
      </c>
      <c r="H1031" t="s">
        <v>137</v>
      </c>
      <c r="I1031" t="s">
        <v>89</v>
      </c>
      <c r="J1031" s="4">
        <v>10321</v>
      </c>
      <c r="K1031" s="5">
        <v>0.23650809030132738</v>
      </c>
      <c r="L1031" s="5">
        <v>2.1606433485127412E-2</v>
      </c>
    </row>
    <row r="1032" spans="7:12">
      <c r="G1032" t="s">
        <v>1600</v>
      </c>
      <c r="H1032" t="s">
        <v>118</v>
      </c>
      <c r="I1032" t="s">
        <v>319</v>
      </c>
      <c r="J1032" s="4">
        <v>3742</v>
      </c>
      <c r="K1032" s="5">
        <v>0.23650454302512025</v>
      </c>
      <c r="L1032" s="5">
        <v>8.2843399251737032E-3</v>
      </c>
    </row>
    <row r="1033" spans="7:12">
      <c r="G1033" t="s">
        <v>1601</v>
      </c>
      <c r="H1033" t="s">
        <v>347</v>
      </c>
      <c r="I1033" t="s">
        <v>95</v>
      </c>
      <c r="J1033" s="4">
        <v>1865</v>
      </c>
      <c r="K1033" s="5">
        <v>0.23646112600536193</v>
      </c>
      <c r="L1033" s="5">
        <v>9.6514745308310997E-3</v>
      </c>
    </row>
    <row r="1034" spans="7:12">
      <c r="G1034" t="s">
        <v>1602</v>
      </c>
      <c r="H1034" t="s">
        <v>254</v>
      </c>
      <c r="I1034" t="s">
        <v>259</v>
      </c>
      <c r="J1034" s="4">
        <v>3176</v>
      </c>
      <c r="K1034" s="5">
        <v>0.2364609571788413</v>
      </c>
      <c r="L1034" s="5">
        <v>2.0151133501259445E-2</v>
      </c>
    </row>
    <row r="1035" spans="7:12">
      <c r="G1035" t="s">
        <v>1603</v>
      </c>
      <c r="H1035" t="s">
        <v>221</v>
      </c>
      <c r="I1035" t="s">
        <v>149</v>
      </c>
      <c r="J1035" s="4">
        <v>3540</v>
      </c>
      <c r="K1035" s="5">
        <v>0.23644067796610169</v>
      </c>
      <c r="L1035" s="5">
        <v>2.231638418079096E-2</v>
      </c>
    </row>
    <row r="1036" spans="7:12">
      <c r="G1036" t="s">
        <v>1604</v>
      </c>
      <c r="H1036" t="s">
        <v>134</v>
      </c>
      <c r="I1036" t="s">
        <v>259</v>
      </c>
      <c r="J1036" s="4">
        <v>12022</v>
      </c>
      <c r="K1036" s="5">
        <v>0.23639993345533189</v>
      </c>
      <c r="L1036" s="5">
        <v>1.9297953751455665E-2</v>
      </c>
    </row>
    <row r="1037" spans="7:12">
      <c r="G1037" t="s">
        <v>1605</v>
      </c>
      <c r="H1037" t="s">
        <v>360</v>
      </c>
      <c r="I1037" t="s">
        <v>162</v>
      </c>
      <c r="J1037" s="4">
        <v>2568</v>
      </c>
      <c r="K1037" s="5">
        <v>0.23637071651090344</v>
      </c>
      <c r="L1037" s="5">
        <v>1.9080996884735201E-2</v>
      </c>
    </row>
    <row r="1038" spans="7:12">
      <c r="G1038" t="s">
        <v>1606</v>
      </c>
      <c r="H1038" t="s">
        <v>118</v>
      </c>
      <c r="I1038" t="s">
        <v>372</v>
      </c>
      <c r="J1038" s="4">
        <v>5509</v>
      </c>
      <c r="K1038" s="5">
        <v>0.23634053367217281</v>
      </c>
      <c r="L1038" s="5">
        <v>1.2161916863314576E-2</v>
      </c>
    </row>
    <row r="1039" spans="7:12">
      <c r="G1039" t="s">
        <v>1607</v>
      </c>
      <c r="H1039" t="s">
        <v>236</v>
      </c>
      <c r="I1039" t="s">
        <v>118</v>
      </c>
      <c r="J1039" s="4">
        <v>7697</v>
      </c>
      <c r="K1039" s="5">
        <v>0.23632584123684552</v>
      </c>
      <c r="L1039" s="5">
        <v>1.4031440821099129E-2</v>
      </c>
    </row>
    <row r="1040" spans="7:12">
      <c r="G1040" t="s">
        <v>1608</v>
      </c>
      <c r="H1040" t="s">
        <v>189</v>
      </c>
      <c r="I1040" t="s">
        <v>131</v>
      </c>
      <c r="J1040" s="4">
        <v>9652</v>
      </c>
      <c r="K1040" s="5">
        <v>0.23632407791131371</v>
      </c>
      <c r="L1040" s="5">
        <v>7.6668048072938248E-3</v>
      </c>
    </row>
    <row r="1041" spans="7:12">
      <c r="G1041" t="s">
        <v>1609</v>
      </c>
      <c r="H1041" t="s">
        <v>140</v>
      </c>
      <c r="I1041" t="s">
        <v>182</v>
      </c>
      <c r="J1041" s="4">
        <v>4862</v>
      </c>
      <c r="K1041" s="5">
        <v>0.23632250102838337</v>
      </c>
      <c r="L1041" s="5">
        <v>1.8099547511312219E-2</v>
      </c>
    </row>
    <row r="1042" spans="7:12">
      <c r="G1042" t="s">
        <v>1610</v>
      </c>
      <c r="H1042" t="s">
        <v>288</v>
      </c>
      <c r="I1042" t="s">
        <v>89</v>
      </c>
      <c r="J1042" s="4">
        <v>1553</v>
      </c>
      <c r="K1042" s="5">
        <v>0.23631680618158404</v>
      </c>
      <c r="L1042" s="5">
        <v>1.8673535093367676E-2</v>
      </c>
    </row>
    <row r="1043" spans="7:12">
      <c r="G1043" t="s">
        <v>1611</v>
      </c>
      <c r="H1043" t="s">
        <v>100</v>
      </c>
      <c r="I1043" t="s">
        <v>233</v>
      </c>
      <c r="J1043" s="4">
        <v>11685</v>
      </c>
      <c r="K1043" s="5">
        <v>0.23628583654257596</v>
      </c>
      <c r="L1043" s="5">
        <v>1.0954214805305947E-2</v>
      </c>
    </row>
    <row r="1044" spans="7:12">
      <c r="G1044" t="s">
        <v>1612</v>
      </c>
      <c r="H1044" t="s">
        <v>372</v>
      </c>
      <c r="I1044" t="s">
        <v>370</v>
      </c>
      <c r="J1044" s="4">
        <v>1236</v>
      </c>
      <c r="K1044" s="5">
        <v>0.23624595469255663</v>
      </c>
      <c r="L1044" s="5">
        <v>7.2815533980582527E-3</v>
      </c>
    </row>
    <row r="1045" spans="7:12">
      <c r="G1045" t="s">
        <v>1613</v>
      </c>
      <c r="H1045" t="s">
        <v>134</v>
      </c>
      <c r="I1045" t="s">
        <v>218</v>
      </c>
      <c r="J1045" s="4">
        <v>13830</v>
      </c>
      <c r="K1045" s="5">
        <v>0.23622559652928415</v>
      </c>
      <c r="L1045" s="5">
        <v>1.5328994938539408E-2</v>
      </c>
    </row>
    <row r="1046" spans="7:12">
      <c r="G1046" t="s">
        <v>1614</v>
      </c>
      <c r="H1046" t="s">
        <v>218</v>
      </c>
      <c r="I1046" t="s">
        <v>115</v>
      </c>
      <c r="J1046" s="4">
        <v>18215</v>
      </c>
      <c r="K1046" s="5">
        <v>0.23612407356574253</v>
      </c>
      <c r="L1046" s="5">
        <v>1.2626955805654681E-2</v>
      </c>
    </row>
    <row r="1047" spans="7:12">
      <c r="G1047" t="s">
        <v>1615</v>
      </c>
      <c r="H1047" t="s">
        <v>368</v>
      </c>
      <c r="I1047" t="s">
        <v>95</v>
      </c>
      <c r="J1047" s="4">
        <v>1296</v>
      </c>
      <c r="K1047" s="5">
        <v>0.2361111111111111</v>
      </c>
      <c r="L1047" s="5">
        <v>2.3148148148148147E-2</v>
      </c>
    </row>
    <row r="1048" spans="7:12">
      <c r="G1048" t="s">
        <v>1616</v>
      </c>
      <c r="H1048" t="s">
        <v>459</v>
      </c>
      <c r="I1048" t="s">
        <v>89</v>
      </c>
      <c r="J1048" s="4">
        <v>2597</v>
      </c>
      <c r="K1048" s="5">
        <v>0.23604158644589912</v>
      </c>
      <c r="L1048" s="5">
        <v>2.3873700423565652E-2</v>
      </c>
    </row>
    <row r="1049" spans="7:12">
      <c r="G1049" t="s">
        <v>1617</v>
      </c>
      <c r="H1049" t="s">
        <v>118</v>
      </c>
      <c r="I1049" t="s">
        <v>273</v>
      </c>
      <c r="J1049" s="4">
        <v>3004</v>
      </c>
      <c r="K1049" s="5">
        <v>0.23601864181091878</v>
      </c>
      <c r="L1049" s="5">
        <v>9.6537949400798927E-3</v>
      </c>
    </row>
    <row r="1050" spans="7:12">
      <c r="G1050" t="s">
        <v>1618</v>
      </c>
      <c r="H1050" t="s">
        <v>215</v>
      </c>
      <c r="I1050" t="s">
        <v>416</v>
      </c>
      <c r="J1050" s="4">
        <v>1746</v>
      </c>
      <c r="K1050" s="5">
        <v>0.23596792668957617</v>
      </c>
      <c r="L1050" s="5">
        <v>6.3001145475372281E-3</v>
      </c>
    </row>
    <row r="1051" spans="7:12">
      <c r="G1051" t="s">
        <v>1619</v>
      </c>
      <c r="H1051" t="s">
        <v>259</v>
      </c>
      <c r="I1051" t="s">
        <v>254</v>
      </c>
      <c r="J1051" s="4">
        <v>3171</v>
      </c>
      <c r="K1051" s="5">
        <v>0.2358877325764743</v>
      </c>
      <c r="L1051" s="5">
        <v>1.9867549668874173E-2</v>
      </c>
    </row>
    <row r="1052" spans="7:12">
      <c r="G1052" t="s">
        <v>1620</v>
      </c>
      <c r="H1052" t="s">
        <v>118</v>
      </c>
      <c r="I1052" t="s">
        <v>286</v>
      </c>
      <c r="J1052" s="4">
        <v>2599</v>
      </c>
      <c r="K1052" s="5">
        <v>0.23585994613312813</v>
      </c>
      <c r="L1052" s="5">
        <v>1.6544824932666409E-2</v>
      </c>
    </row>
    <row r="1053" spans="7:12">
      <c r="G1053" t="s">
        <v>1621</v>
      </c>
      <c r="H1053" t="s">
        <v>100</v>
      </c>
      <c r="I1053" t="s">
        <v>461</v>
      </c>
      <c r="J1053" s="4">
        <v>2799</v>
      </c>
      <c r="K1053" s="5">
        <v>0.23579849946409431</v>
      </c>
      <c r="L1053" s="5">
        <v>7.8599499821364778E-3</v>
      </c>
    </row>
    <row r="1054" spans="7:12">
      <c r="G1054" t="s">
        <v>1622</v>
      </c>
      <c r="H1054" t="s">
        <v>162</v>
      </c>
      <c r="I1054" t="s">
        <v>233</v>
      </c>
      <c r="J1054" s="4">
        <v>8025</v>
      </c>
      <c r="K1054" s="5">
        <v>0.23576323987538941</v>
      </c>
      <c r="L1054" s="5">
        <v>1.2087227414330218E-2</v>
      </c>
    </row>
    <row r="1055" spans="7:12">
      <c r="G1055" t="s">
        <v>1623</v>
      </c>
      <c r="H1055" t="s">
        <v>182</v>
      </c>
      <c r="I1055" t="s">
        <v>160</v>
      </c>
      <c r="J1055" s="4">
        <v>4510</v>
      </c>
      <c r="K1055" s="5">
        <v>0.23569844789356983</v>
      </c>
      <c r="L1055" s="5">
        <v>1.1751662971175166E-2</v>
      </c>
    </row>
    <row r="1056" spans="7:12">
      <c r="G1056" t="s">
        <v>1624</v>
      </c>
      <c r="H1056" t="s">
        <v>100</v>
      </c>
      <c r="I1056" t="s">
        <v>238</v>
      </c>
      <c r="J1056" s="4">
        <v>2394</v>
      </c>
      <c r="K1056" s="5">
        <v>0.23558897243107768</v>
      </c>
      <c r="L1056" s="5">
        <v>1.2531328320802004E-2</v>
      </c>
    </row>
    <row r="1057" spans="7:12">
      <c r="G1057" t="s">
        <v>1625</v>
      </c>
      <c r="H1057" t="s">
        <v>137</v>
      </c>
      <c r="I1057" t="s">
        <v>226</v>
      </c>
      <c r="J1057" s="4">
        <v>4576</v>
      </c>
      <c r="K1057" s="5">
        <v>0.23557692307692307</v>
      </c>
      <c r="L1057" s="5">
        <v>8.5227272727272721E-3</v>
      </c>
    </row>
    <row r="1058" spans="7:12">
      <c r="G1058" t="s">
        <v>1626</v>
      </c>
      <c r="H1058" t="s">
        <v>95</v>
      </c>
      <c r="I1058" t="s">
        <v>103</v>
      </c>
      <c r="J1058" s="4">
        <v>13809</v>
      </c>
      <c r="K1058" s="5">
        <v>0.23557100441740894</v>
      </c>
      <c r="L1058" s="5">
        <v>1.2093562169599536E-2</v>
      </c>
    </row>
    <row r="1059" spans="7:12">
      <c r="G1059" t="s">
        <v>1627</v>
      </c>
      <c r="H1059" t="s">
        <v>115</v>
      </c>
      <c r="I1059" t="s">
        <v>317</v>
      </c>
      <c r="J1059" s="4">
        <v>4169</v>
      </c>
      <c r="K1059" s="5">
        <v>0.23554809306788199</v>
      </c>
      <c r="L1059" s="5">
        <v>1.4391940513312544E-2</v>
      </c>
    </row>
    <row r="1060" spans="7:12">
      <c r="G1060" t="s">
        <v>1628</v>
      </c>
      <c r="H1060" t="s">
        <v>525</v>
      </c>
      <c r="I1060" t="s">
        <v>449</v>
      </c>
      <c r="J1060" s="4">
        <v>1019</v>
      </c>
      <c r="K1060" s="5">
        <v>0.23552502453385674</v>
      </c>
      <c r="L1060" s="5">
        <v>9.8135426889106973E-3</v>
      </c>
    </row>
    <row r="1061" spans="7:12">
      <c r="G1061" t="s">
        <v>1629</v>
      </c>
      <c r="H1061" t="s">
        <v>149</v>
      </c>
      <c r="I1061" t="s">
        <v>254</v>
      </c>
      <c r="J1061" s="4">
        <v>3936</v>
      </c>
      <c r="K1061" s="5">
        <v>0.23551829268292682</v>
      </c>
      <c r="L1061" s="5">
        <v>2.6422764227642278E-2</v>
      </c>
    </row>
    <row r="1062" spans="7:12">
      <c r="G1062" t="s">
        <v>1630</v>
      </c>
      <c r="H1062" t="s">
        <v>182</v>
      </c>
      <c r="I1062" t="s">
        <v>412</v>
      </c>
      <c r="J1062" s="4">
        <v>3295</v>
      </c>
      <c r="K1062" s="5">
        <v>0.2355083459787557</v>
      </c>
      <c r="L1062" s="5">
        <v>8.1942336874051593E-3</v>
      </c>
    </row>
    <row r="1063" spans="7:12">
      <c r="G1063" t="s">
        <v>1631</v>
      </c>
      <c r="H1063" t="s">
        <v>326</v>
      </c>
      <c r="I1063" t="s">
        <v>252</v>
      </c>
      <c r="J1063" s="4">
        <v>1635</v>
      </c>
      <c r="K1063" s="5">
        <v>0.23547400611620795</v>
      </c>
      <c r="L1063" s="5">
        <v>2.4464831804281344E-3</v>
      </c>
    </row>
    <row r="1064" spans="7:12">
      <c r="G1064" t="s">
        <v>1632</v>
      </c>
      <c r="H1064" t="s">
        <v>103</v>
      </c>
      <c r="I1064" t="s">
        <v>489</v>
      </c>
      <c r="J1064" s="4">
        <v>8940</v>
      </c>
      <c r="K1064" s="5">
        <v>0.2354586129753915</v>
      </c>
      <c r="L1064" s="5">
        <v>6.2639821029082778E-3</v>
      </c>
    </row>
    <row r="1065" spans="7:12">
      <c r="G1065" t="s">
        <v>1633</v>
      </c>
      <c r="H1065" t="s">
        <v>215</v>
      </c>
      <c r="I1065" t="s">
        <v>468</v>
      </c>
      <c r="J1065" s="4">
        <v>6886</v>
      </c>
      <c r="K1065" s="5">
        <v>0.23540516990996224</v>
      </c>
      <c r="L1065" s="5">
        <v>7.406331687481847E-3</v>
      </c>
    </row>
    <row r="1066" spans="7:12">
      <c r="G1066" t="s">
        <v>1634</v>
      </c>
      <c r="H1066" t="s">
        <v>146</v>
      </c>
      <c r="I1066" t="s">
        <v>100</v>
      </c>
      <c r="J1066" s="4">
        <v>3467</v>
      </c>
      <c r="K1066" s="5">
        <v>0.23536198442457457</v>
      </c>
      <c r="L1066" s="5">
        <v>1.7017594462070955E-2</v>
      </c>
    </row>
    <row r="1067" spans="7:12">
      <c r="G1067" t="s">
        <v>1635</v>
      </c>
      <c r="H1067" t="s">
        <v>410</v>
      </c>
      <c r="I1067" t="s">
        <v>89</v>
      </c>
      <c r="J1067" s="4">
        <v>6136</v>
      </c>
      <c r="K1067" s="5">
        <v>0.23533246414602346</v>
      </c>
      <c r="L1067" s="5">
        <v>2.3956975228161669E-2</v>
      </c>
    </row>
    <row r="1068" spans="7:12">
      <c r="G1068" t="s">
        <v>1636</v>
      </c>
      <c r="H1068" t="s">
        <v>136</v>
      </c>
      <c r="I1068" t="s">
        <v>416</v>
      </c>
      <c r="J1068" s="4">
        <v>2112</v>
      </c>
      <c r="K1068" s="5">
        <v>0.2353219696969697</v>
      </c>
      <c r="L1068" s="5">
        <v>7.102272727272727E-3</v>
      </c>
    </row>
    <row r="1069" spans="7:12">
      <c r="G1069" t="s">
        <v>1637</v>
      </c>
      <c r="H1069" t="s">
        <v>85</v>
      </c>
      <c r="I1069" t="s">
        <v>459</v>
      </c>
      <c r="J1069" s="4">
        <v>1224</v>
      </c>
      <c r="K1069" s="5">
        <v>0.23529411764705882</v>
      </c>
      <c r="L1069" s="5">
        <v>7.3529411764705881E-3</v>
      </c>
    </row>
    <row r="1070" spans="7:12">
      <c r="G1070" t="s">
        <v>1638</v>
      </c>
      <c r="H1070" t="s">
        <v>95</v>
      </c>
      <c r="I1070" t="s">
        <v>172</v>
      </c>
      <c r="J1070" s="4">
        <v>1390</v>
      </c>
      <c r="K1070" s="5">
        <v>0.23525179856115108</v>
      </c>
      <c r="L1070" s="5">
        <v>5.0359712230215823E-3</v>
      </c>
    </row>
    <row r="1071" spans="7:12">
      <c r="G1071" t="s">
        <v>1639</v>
      </c>
      <c r="H1071" t="s">
        <v>218</v>
      </c>
      <c r="I1071" t="s">
        <v>204</v>
      </c>
      <c r="J1071" s="4">
        <v>20694</v>
      </c>
      <c r="K1071" s="5">
        <v>0.23523726684063012</v>
      </c>
      <c r="L1071" s="5">
        <v>1.7009761283463806E-2</v>
      </c>
    </row>
    <row r="1072" spans="7:12">
      <c r="G1072" t="s">
        <v>1640</v>
      </c>
      <c r="H1072" t="s">
        <v>136</v>
      </c>
      <c r="I1072" t="s">
        <v>80</v>
      </c>
      <c r="J1072" s="4">
        <v>3673</v>
      </c>
      <c r="K1072" s="5">
        <v>0.23523005717397222</v>
      </c>
      <c r="L1072" s="5">
        <v>1.3068336509665124E-2</v>
      </c>
    </row>
    <row r="1073" spans="7:12">
      <c r="G1073" t="s">
        <v>1641</v>
      </c>
      <c r="H1073" t="s">
        <v>137</v>
      </c>
      <c r="I1073" t="s">
        <v>85</v>
      </c>
      <c r="J1073" s="4">
        <v>9402</v>
      </c>
      <c r="K1073" s="5">
        <v>0.23516273133375878</v>
      </c>
      <c r="L1073" s="5">
        <v>1.4571367794086364E-2</v>
      </c>
    </row>
    <row r="1074" spans="7:12">
      <c r="G1074" t="s">
        <v>1642</v>
      </c>
      <c r="H1074" t="s">
        <v>149</v>
      </c>
      <c r="I1074" t="s">
        <v>317</v>
      </c>
      <c r="J1074" s="4">
        <v>1195</v>
      </c>
      <c r="K1074" s="5">
        <v>0.23514644351464434</v>
      </c>
      <c r="L1074" s="5">
        <v>2.3430962343096235E-2</v>
      </c>
    </row>
    <row r="1075" spans="7:12">
      <c r="G1075" t="s">
        <v>1643</v>
      </c>
      <c r="H1075" t="s">
        <v>118</v>
      </c>
      <c r="I1075" t="s">
        <v>386</v>
      </c>
      <c r="J1075" s="4">
        <v>1140</v>
      </c>
      <c r="K1075" s="5">
        <v>0.23508771929824562</v>
      </c>
      <c r="L1075" s="5">
        <v>7.0175438596491229E-3</v>
      </c>
    </row>
    <row r="1076" spans="7:12">
      <c r="G1076" t="s">
        <v>1644</v>
      </c>
      <c r="H1076" t="s">
        <v>1645</v>
      </c>
      <c r="I1076" t="s">
        <v>118</v>
      </c>
      <c r="J1076" s="4">
        <v>1004</v>
      </c>
      <c r="K1076" s="5">
        <v>0.23505976095617531</v>
      </c>
      <c r="L1076" s="5">
        <v>2.2908366533864542E-2</v>
      </c>
    </row>
    <row r="1077" spans="7:12">
      <c r="G1077" t="s">
        <v>1646</v>
      </c>
      <c r="H1077" t="s">
        <v>80</v>
      </c>
      <c r="I1077" t="s">
        <v>268</v>
      </c>
      <c r="J1077" s="4">
        <v>2859</v>
      </c>
      <c r="K1077" s="5">
        <v>0.23504721930745015</v>
      </c>
      <c r="L1077" s="5">
        <v>9.7936341378104235E-3</v>
      </c>
    </row>
    <row r="1078" spans="7:12">
      <c r="G1078" t="s">
        <v>1647</v>
      </c>
      <c r="H1078" t="s">
        <v>259</v>
      </c>
      <c r="I1078" t="s">
        <v>457</v>
      </c>
      <c r="J1078" s="4">
        <v>1170</v>
      </c>
      <c r="K1078" s="5">
        <v>0.23504273504273504</v>
      </c>
      <c r="L1078" s="5">
        <v>4.2735042735042736E-2</v>
      </c>
    </row>
    <row r="1079" spans="7:12">
      <c r="G1079" t="s">
        <v>1648</v>
      </c>
      <c r="H1079" t="s">
        <v>118</v>
      </c>
      <c r="I1079" t="s">
        <v>131</v>
      </c>
      <c r="J1079" s="4">
        <v>15995</v>
      </c>
      <c r="K1079" s="5">
        <v>0.23501094091903721</v>
      </c>
      <c r="L1079" s="5">
        <v>1.0003125976867771E-2</v>
      </c>
    </row>
    <row r="1080" spans="7:12">
      <c r="G1080" t="s">
        <v>1649</v>
      </c>
      <c r="H1080" t="s">
        <v>182</v>
      </c>
      <c r="I1080" t="s">
        <v>352</v>
      </c>
      <c r="J1080" s="4">
        <v>1451</v>
      </c>
      <c r="K1080" s="5">
        <v>0.23501033769813923</v>
      </c>
      <c r="L1080" s="5">
        <v>5.5134390075809786E-3</v>
      </c>
    </row>
    <row r="1081" spans="7:12">
      <c r="G1081" t="s">
        <v>1650</v>
      </c>
      <c r="H1081" t="s">
        <v>178</v>
      </c>
      <c r="I1081" t="s">
        <v>118</v>
      </c>
      <c r="J1081" s="4">
        <v>6099</v>
      </c>
      <c r="K1081" s="5">
        <v>0.23495655025414003</v>
      </c>
      <c r="L1081" s="5">
        <v>2.2298737497950482E-2</v>
      </c>
    </row>
    <row r="1082" spans="7:12">
      <c r="G1082" t="s">
        <v>1651</v>
      </c>
      <c r="H1082" t="s">
        <v>149</v>
      </c>
      <c r="I1082" t="s">
        <v>449</v>
      </c>
      <c r="J1082" s="4">
        <v>2920</v>
      </c>
      <c r="K1082" s="5">
        <v>0.23493150684931507</v>
      </c>
      <c r="L1082" s="5">
        <v>1.8493150684931507E-2</v>
      </c>
    </row>
    <row r="1083" spans="7:12">
      <c r="G1083" t="s">
        <v>1652</v>
      </c>
      <c r="H1083" t="s">
        <v>233</v>
      </c>
      <c r="I1083" t="s">
        <v>80</v>
      </c>
      <c r="J1083" s="4">
        <v>6251</v>
      </c>
      <c r="K1083" s="5">
        <v>0.23484242521196608</v>
      </c>
      <c r="L1083" s="5">
        <v>1.4557670772676373E-2</v>
      </c>
    </row>
    <row r="1084" spans="7:12">
      <c r="G1084" t="s">
        <v>1653</v>
      </c>
      <c r="H1084" t="s">
        <v>103</v>
      </c>
      <c r="I1084" t="s">
        <v>352</v>
      </c>
      <c r="J1084" s="4">
        <v>12623</v>
      </c>
      <c r="K1084" s="5">
        <v>0.23473025429771052</v>
      </c>
      <c r="L1084" s="5">
        <v>9.9025588211993972E-3</v>
      </c>
    </row>
    <row r="1085" spans="7:12">
      <c r="G1085" t="s">
        <v>1654</v>
      </c>
      <c r="H1085" t="s">
        <v>178</v>
      </c>
      <c r="I1085" t="s">
        <v>89</v>
      </c>
      <c r="J1085" s="4">
        <v>2795</v>
      </c>
      <c r="K1085" s="5">
        <v>0.23470483005366727</v>
      </c>
      <c r="L1085" s="5">
        <v>1.6457960644007157E-2</v>
      </c>
    </row>
    <row r="1086" spans="7:12">
      <c r="G1086" t="s">
        <v>1655</v>
      </c>
      <c r="H1086" t="s">
        <v>215</v>
      </c>
      <c r="I1086" t="s">
        <v>233</v>
      </c>
      <c r="J1086" s="4">
        <v>3946</v>
      </c>
      <c r="K1086" s="5">
        <v>0.23466801824632538</v>
      </c>
      <c r="L1086" s="5">
        <v>4.5615813482007099E-3</v>
      </c>
    </row>
    <row r="1087" spans="7:12">
      <c r="G1087" t="s">
        <v>1656</v>
      </c>
      <c r="H1087" t="s">
        <v>233</v>
      </c>
      <c r="I1087" t="s">
        <v>182</v>
      </c>
      <c r="J1087" s="4">
        <v>2429</v>
      </c>
      <c r="K1087" s="5">
        <v>0.23466447097571017</v>
      </c>
      <c r="L1087" s="5">
        <v>3.7052284890901604E-3</v>
      </c>
    </row>
    <row r="1088" spans="7:12">
      <c r="G1088" t="s">
        <v>1657</v>
      </c>
      <c r="H1088" t="s">
        <v>85</v>
      </c>
      <c r="I1088" t="s">
        <v>115</v>
      </c>
      <c r="J1088" s="4">
        <v>7181</v>
      </c>
      <c r="K1088" s="5">
        <v>0.2346469850995683</v>
      </c>
      <c r="L1088" s="5">
        <v>1.4900431694750034E-2</v>
      </c>
    </row>
    <row r="1089" spans="7:12">
      <c r="G1089" t="s">
        <v>1658</v>
      </c>
      <c r="H1089" t="s">
        <v>140</v>
      </c>
      <c r="I1089" t="s">
        <v>103</v>
      </c>
      <c r="J1089" s="4">
        <v>9572</v>
      </c>
      <c r="K1089" s="5">
        <v>0.23464270789803593</v>
      </c>
      <c r="L1089" s="5">
        <v>1.9954032595068952E-2</v>
      </c>
    </row>
    <row r="1090" spans="7:12">
      <c r="G1090" t="s">
        <v>1659</v>
      </c>
      <c r="H1090" t="s">
        <v>282</v>
      </c>
      <c r="I1090" t="s">
        <v>204</v>
      </c>
      <c r="J1090" s="4">
        <v>4476</v>
      </c>
      <c r="K1090" s="5">
        <v>0.23458445040214476</v>
      </c>
      <c r="L1090" s="5">
        <v>1.7873100983020553E-2</v>
      </c>
    </row>
    <row r="1091" spans="7:12">
      <c r="G1091" t="s">
        <v>1660</v>
      </c>
      <c r="H1091" t="s">
        <v>118</v>
      </c>
      <c r="I1091" t="s">
        <v>484</v>
      </c>
      <c r="J1091" s="4">
        <v>1961</v>
      </c>
      <c r="K1091" s="5">
        <v>0.23457419683834779</v>
      </c>
      <c r="L1091" s="5">
        <v>6.6292707802141767E-3</v>
      </c>
    </row>
    <row r="1092" spans="7:12">
      <c r="G1092" t="s">
        <v>1661</v>
      </c>
      <c r="H1092" t="s">
        <v>95</v>
      </c>
      <c r="I1092" t="s">
        <v>100</v>
      </c>
      <c r="J1092" s="4">
        <v>15911</v>
      </c>
      <c r="K1092" s="5">
        <v>0.23442901137577776</v>
      </c>
      <c r="L1092" s="5">
        <v>1.3638363396392433E-2</v>
      </c>
    </row>
    <row r="1093" spans="7:12">
      <c r="G1093" t="s">
        <v>1662</v>
      </c>
      <c r="H1093" t="s">
        <v>136</v>
      </c>
      <c r="I1093" t="s">
        <v>202</v>
      </c>
      <c r="J1093" s="4">
        <v>5473</v>
      </c>
      <c r="K1093" s="5">
        <v>0.23442353371094463</v>
      </c>
      <c r="L1093" s="5">
        <v>1.8271514708569341E-2</v>
      </c>
    </row>
    <row r="1094" spans="7:12">
      <c r="G1094" t="s">
        <v>1663</v>
      </c>
      <c r="H1094" t="s">
        <v>233</v>
      </c>
      <c r="I1094" t="s">
        <v>254</v>
      </c>
      <c r="J1094" s="4">
        <v>1762</v>
      </c>
      <c r="K1094" s="5">
        <v>0.23439273552780931</v>
      </c>
      <c r="L1094" s="5">
        <v>9.0805902383654935E-3</v>
      </c>
    </row>
    <row r="1095" spans="7:12">
      <c r="G1095" t="s">
        <v>1664</v>
      </c>
      <c r="H1095" t="s">
        <v>118</v>
      </c>
      <c r="I1095" t="s">
        <v>457</v>
      </c>
      <c r="J1095" s="4">
        <v>4976</v>
      </c>
      <c r="K1095" s="5">
        <v>0.23432475884244372</v>
      </c>
      <c r="L1095" s="5">
        <v>1.1254019292604502E-2</v>
      </c>
    </row>
    <row r="1096" spans="7:12">
      <c r="G1096" t="s">
        <v>1665</v>
      </c>
      <c r="H1096" t="s">
        <v>221</v>
      </c>
      <c r="I1096" t="s">
        <v>226</v>
      </c>
      <c r="J1096" s="4">
        <v>1515</v>
      </c>
      <c r="K1096" s="5">
        <v>0.23432343234323433</v>
      </c>
      <c r="L1096" s="5">
        <v>1.0561056105610561E-2</v>
      </c>
    </row>
    <row r="1097" spans="7:12">
      <c r="G1097" t="s">
        <v>1666</v>
      </c>
      <c r="H1097" t="s">
        <v>149</v>
      </c>
      <c r="I1097" t="s">
        <v>89</v>
      </c>
      <c r="J1097" s="4">
        <v>5941</v>
      </c>
      <c r="K1097" s="5">
        <v>0.23430398922740278</v>
      </c>
      <c r="L1097" s="5">
        <v>1.9188688772933851E-2</v>
      </c>
    </row>
    <row r="1098" spans="7:12">
      <c r="G1098" t="s">
        <v>1667</v>
      </c>
      <c r="H1098" t="s">
        <v>322</v>
      </c>
      <c r="I1098" t="s">
        <v>89</v>
      </c>
      <c r="J1098" s="4">
        <v>10892</v>
      </c>
      <c r="K1098" s="5">
        <v>0.23430040396621374</v>
      </c>
      <c r="L1098" s="5">
        <v>1.5424164524421594E-2</v>
      </c>
    </row>
    <row r="1099" spans="7:12">
      <c r="G1099" t="s">
        <v>1668</v>
      </c>
      <c r="H1099" t="s">
        <v>342</v>
      </c>
      <c r="I1099" t="s">
        <v>103</v>
      </c>
      <c r="J1099" s="4">
        <v>2070</v>
      </c>
      <c r="K1099" s="5">
        <v>0.23429951690821257</v>
      </c>
      <c r="L1099" s="5">
        <v>7.7294685990338162E-3</v>
      </c>
    </row>
    <row r="1100" spans="7:12">
      <c r="G1100" t="s">
        <v>1669</v>
      </c>
      <c r="H1100" t="s">
        <v>115</v>
      </c>
      <c r="I1100" t="s">
        <v>370</v>
      </c>
      <c r="J1100" s="4">
        <v>5073</v>
      </c>
      <c r="K1100" s="5">
        <v>0.23418095801301006</v>
      </c>
      <c r="L1100" s="5">
        <v>1.1827321111768185E-2</v>
      </c>
    </row>
    <row r="1101" spans="7:12">
      <c r="G1101" t="s">
        <v>1670</v>
      </c>
      <c r="H1101" t="s">
        <v>295</v>
      </c>
      <c r="I1101" t="s">
        <v>103</v>
      </c>
      <c r="J1101" s="4">
        <v>3412</v>
      </c>
      <c r="K1101" s="5">
        <v>0.23417350527549824</v>
      </c>
      <c r="L1101" s="5">
        <v>1.1723329425556858E-2</v>
      </c>
    </row>
    <row r="1102" spans="7:12">
      <c r="G1102" t="s">
        <v>1671</v>
      </c>
      <c r="H1102" t="s">
        <v>140</v>
      </c>
      <c r="I1102" t="s">
        <v>372</v>
      </c>
      <c r="J1102" s="4">
        <v>1546</v>
      </c>
      <c r="K1102" s="5">
        <v>0.23415265200517466</v>
      </c>
      <c r="L1102" s="5">
        <v>5.0452781371280724E-2</v>
      </c>
    </row>
    <row r="1103" spans="7:12">
      <c r="G1103" t="s">
        <v>1672</v>
      </c>
      <c r="H1103" t="s">
        <v>149</v>
      </c>
      <c r="I1103" t="s">
        <v>282</v>
      </c>
      <c r="J1103" s="4">
        <v>5155</v>
      </c>
      <c r="K1103" s="5">
        <v>0.23414161008729389</v>
      </c>
      <c r="L1103" s="5">
        <v>2.967992240543162E-2</v>
      </c>
    </row>
    <row r="1104" spans="7:12">
      <c r="G1104" t="s">
        <v>1673</v>
      </c>
      <c r="H1104" t="s">
        <v>517</v>
      </c>
      <c r="I1104" t="s">
        <v>89</v>
      </c>
      <c r="J1104" s="4">
        <v>1371</v>
      </c>
      <c r="K1104" s="5">
        <v>0.23413566739606126</v>
      </c>
      <c r="L1104" s="5">
        <v>1.8234865061998541E-2</v>
      </c>
    </row>
    <row r="1105" spans="7:12">
      <c r="G1105" t="s">
        <v>1674</v>
      </c>
      <c r="H1105" t="s">
        <v>346</v>
      </c>
      <c r="I1105" t="s">
        <v>149</v>
      </c>
      <c r="J1105" s="4">
        <v>1803</v>
      </c>
      <c r="K1105" s="5">
        <v>0.23405435385468662</v>
      </c>
      <c r="L1105" s="5">
        <v>2.9395452024403773E-2</v>
      </c>
    </row>
    <row r="1106" spans="7:12">
      <c r="G1106" t="s">
        <v>1675</v>
      </c>
      <c r="H1106" t="s">
        <v>100</v>
      </c>
      <c r="I1106" t="s">
        <v>334</v>
      </c>
      <c r="J1106" s="4">
        <v>5503</v>
      </c>
      <c r="K1106" s="5">
        <v>0.23405415228057425</v>
      </c>
      <c r="L1106" s="5">
        <v>1.7990187170634199E-2</v>
      </c>
    </row>
    <row r="1107" spans="7:12">
      <c r="G1107" t="s">
        <v>1676</v>
      </c>
      <c r="H1107" t="s">
        <v>189</v>
      </c>
      <c r="I1107" t="s">
        <v>85</v>
      </c>
      <c r="J1107" s="4">
        <v>5645</v>
      </c>
      <c r="K1107" s="5">
        <v>0.23401240035429582</v>
      </c>
      <c r="L1107" s="5">
        <v>1.2223206377325066E-2</v>
      </c>
    </row>
    <row r="1108" spans="7:12">
      <c r="G1108" t="s">
        <v>1677</v>
      </c>
      <c r="H1108" t="s">
        <v>221</v>
      </c>
      <c r="I1108" t="s">
        <v>204</v>
      </c>
      <c r="J1108" s="4">
        <v>5643</v>
      </c>
      <c r="K1108" s="5">
        <v>0.23391812865497075</v>
      </c>
      <c r="L1108" s="5">
        <v>2.0379230905546695E-2</v>
      </c>
    </row>
    <row r="1109" spans="7:12">
      <c r="G1109" t="s">
        <v>1678</v>
      </c>
      <c r="H1109" t="s">
        <v>118</v>
      </c>
      <c r="I1109" t="s">
        <v>129</v>
      </c>
      <c r="J1109" s="4">
        <v>1150</v>
      </c>
      <c r="K1109" s="5">
        <v>0.23391304347826086</v>
      </c>
      <c r="L1109" s="5">
        <v>1.0434782608695653E-2</v>
      </c>
    </row>
    <row r="1110" spans="7:12">
      <c r="G1110" t="s">
        <v>1679</v>
      </c>
      <c r="H1110" t="s">
        <v>311</v>
      </c>
      <c r="I1110" t="s">
        <v>103</v>
      </c>
      <c r="J1110" s="4">
        <v>4425</v>
      </c>
      <c r="K1110" s="5">
        <v>0.23389830508474577</v>
      </c>
      <c r="L1110" s="5">
        <v>1.8531073446327685E-2</v>
      </c>
    </row>
    <row r="1111" spans="7:12">
      <c r="G1111" t="s">
        <v>1680</v>
      </c>
      <c r="H1111" t="s">
        <v>103</v>
      </c>
      <c r="I1111" t="s">
        <v>340</v>
      </c>
      <c r="J1111" s="4">
        <v>2805</v>
      </c>
      <c r="K1111" s="5">
        <v>0.23386809269162209</v>
      </c>
      <c r="L1111" s="5">
        <v>5.7040998217468804E-3</v>
      </c>
    </row>
    <row r="1112" spans="7:12">
      <c r="G1112" t="s">
        <v>1681</v>
      </c>
      <c r="H1112" t="s">
        <v>89</v>
      </c>
      <c r="I1112" t="s">
        <v>322</v>
      </c>
      <c r="J1112" s="4">
        <v>10887</v>
      </c>
      <c r="K1112" s="5">
        <v>0.23367318820611738</v>
      </c>
      <c r="L1112" s="5">
        <v>1.4696426931202352E-2</v>
      </c>
    </row>
    <row r="1113" spans="7:12">
      <c r="G1113" t="s">
        <v>1682</v>
      </c>
      <c r="H1113" t="s">
        <v>286</v>
      </c>
      <c r="I1113" t="s">
        <v>118</v>
      </c>
      <c r="J1113" s="4">
        <v>2598</v>
      </c>
      <c r="K1113" s="5">
        <v>0.23364126250962278</v>
      </c>
      <c r="L1113" s="5">
        <v>1.7705927636643571E-2</v>
      </c>
    </row>
    <row r="1114" spans="7:12">
      <c r="G1114" t="s">
        <v>1683</v>
      </c>
      <c r="H1114" t="s">
        <v>162</v>
      </c>
      <c r="I1114" t="s">
        <v>282</v>
      </c>
      <c r="J1114" s="4">
        <v>4020</v>
      </c>
      <c r="K1114" s="5">
        <v>0.2335820895522388</v>
      </c>
      <c r="L1114" s="5">
        <v>1.4427860696517412E-2</v>
      </c>
    </row>
    <row r="1115" spans="7:12">
      <c r="G1115" t="s">
        <v>1684</v>
      </c>
      <c r="H1115" t="s">
        <v>97</v>
      </c>
      <c r="I1115" t="s">
        <v>140</v>
      </c>
      <c r="J1115" s="4">
        <v>1096</v>
      </c>
      <c r="K1115" s="5">
        <v>0.23357664233576642</v>
      </c>
      <c r="L1115" s="5">
        <v>2.7372262773722629E-2</v>
      </c>
    </row>
    <row r="1116" spans="7:12">
      <c r="G1116" t="s">
        <v>1685</v>
      </c>
      <c r="H1116" t="s">
        <v>240</v>
      </c>
      <c r="I1116" t="s">
        <v>202</v>
      </c>
      <c r="J1116" s="4">
        <v>2646</v>
      </c>
      <c r="K1116" s="5">
        <v>0.23356009070294784</v>
      </c>
      <c r="L1116" s="5">
        <v>1.3227513227513227E-2</v>
      </c>
    </row>
    <row r="1117" spans="7:12">
      <c r="G1117" t="s">
        <v>1686</v>
      </c>
      <c r="H1117" t="s">
        <v>118</v>
      </c>
      <c r="I1117" t="s">
        <v>215</v>
      </c>
      <c r="J1117" s="4">
        <v>15352</v>
      </c>
      <c r="K1117" s="5">
        <v>0.23352006253256904</v>
      </c>
      <c r="L1117" s="5">
        <v>9.4450234497133918E-3</v>
      </c>
    </row>
    <row r="1118" spans="7:12">
      <c r="G1118" t="s">
        <v>1687</v>
      </c>
      <c r="H1118" t="s">
        <v>162</v>
      </c>
      <c r="I1118" t="s">
        <v>182</v>
      </c>
      <c r="J1118" s="4">
        <v>4745</v>
      </c>
      <c r="K1118" s="5">
        <v>0.23350895679662803</v>
      </c>
      <c r="L1118" s="5">
        <v>5.4794520547945206E-3</v>
      </c>
    </row>
    <row r="1119" spans="7:12">
      <c r="G1119" t="s">
        <v>1688</v>
      </c>
      <c r="H1119" t="s">
        <v>215</v>
      </c>
      <c r="I1119" t="s">
        <v>189</v>
      </c>
      <c r="J1119" s="4">
        <v>6096</v>
      </c>
      <c r="K1119" s="5">
        <v>0.23343175853018372</v>
      </c>
      <c r="L1119" s="5">
        <v>6.5616797900262466E-3</v>
      </c>
    </row>
    <row r="1120" spans="7:12">
      <c r="G1120" t="s">
        <v>1689</v>
      </c>
      <c r="H1120" t="s">
        <v>137</v>
      </c>
      <c r="I1120" t="s">
        <v>282</v>
      </c>
      <c r="J1120" s="4">
        <v>4627</v>
      </c>
      <c r="K1120" s="5">
        <v>0.23341257834449969</v>
      </c>
      <c r="L1120" s="5">
        <v>1.5344715798573589E-2</v>
      </c>
    </row>
    <row r="1121" spans="7:12">
      <c r="G1121" t="s">
        <v>1690</v>
      </c>
      <c r="H1121" t="s">
        <v>134</v>
      </c>
      <c r="I1121" t="s">
        <v>226</v>
      </c>
      <c r="J1121" s="4">
        <v>9715</v>
      </c>
      <c r="K1121" s="5">
        <v>0.23335048893463717</v>
      </c>
      <c r="L1121" s="5">
        <v>1.0705095213587236E-2</v>
      </c>
    </row>
    <row r="1122" spans="7:12">
      <c r="G1122" t="s">
        <v>1691</v>
      </c>
      <c r="H1122" t="s">
        <v>140</v>
      </c>
      <c r="I1122" t="s">
        <v>233</v>
      </c>
      <c r="J1122" s="4">
        <v>6129</v>
      </c>
      <c r="K1122" s="5">
        <v>0.23331701745798661</v>
      </c>
      <c r="L1122" s="5">
        <v>2.5289606787404145E-2</v>
      </c>
    </row>
    <row r="1123" spans="7:12">
      <c r="G1123" t="s">
        <v>1692</v>
      </c>
      <c r="H1123" t="s">
        <v>134</v>
      </c>
      <c r="I1123" t="s">
        <v>215</v>
      </c>
      <c r="J1123" s="4">
        <v>6258</v>
      </c>
      <c r="K1123" s="5">
        <v>0.23330137424097155</v>
      </c>
      <c r="L1123" s="5">
        <v>1.2783636944710771E-2</v>
      </c>
    </row>
    <row r="1124" spans="7:12">
      <c r="G1124" t="s">
        <v>1693</v>
      </c>
      <c r="H1124" t="s">
        <v>85</v>
      </c>
      <c r="I1124" t="s">
        <v>105</v>
      </c>
      <c r="J1124" s="4">
        <v>8296</v>
      </c>
      <c r="K1124" s="5">
        <v>0.23312439729990356</v>
      </c>
      <c r="L1124" s="5">
        <v>6.5091610414657669E-3</v>
      </c>
    </row>
    <row r="1125" spans="7:12">
      <c r="G1125" t="s">
        <v>1694</v>
      </c>
      <c r="H1125" t="s">
        <v>408</v>
      </c>
      <c r="I1125" t="s">
        <v>80</v>
      </c>
      <c r="J1125" s="4">
        <v>3089</v>
      </c>
      <c r="K1125" s="5">
        <v>0.23308514082227258</v>
      </c>
      <c r="L1125" s="5">
        <v>1.0359339592101004E-2</v>
      </c>
    </row>
    <row r="1126" spans="7:12">
      <c r="G1126" t="s">
        <v>1695</v>
      </c>
      <c r="H1126" t="s">
        <v>118</v>
      </c>
      <c r="I1126" t="s">
        <v>334</v>
      </c>
      <c r="J1126" s="4">
        <v>4532</v>
      </c>
      <c r="K1126" s="5">
        <v>0.23300970873786409</v>
      </c>
      <c r="L1126" s="5">
        <v>1.4563106796116505E-2</v>
      </c>
    </row>
    <row r="1127" spans="7:12">
      <c r="G1127" t="s">
        <v>1696</v>
      </c>
      <c r="H1127" t="s">
        <v>356</v>
      </c>
      <c r="I1127" t="s">
        <v>204</v>
      </c>
      <c r="J1127" s="4">
        <v>1206</v>
      </c>
      <c r="K1127" s="5">
        <v>0.2330016583747927</v>
      </c>
      <c r="L1127" s="5">
        <v>1.7412935323383085E-2</v>
      </c>
    </row>
    <row r="1128" spans="7:12">
      <c r="G1128" t="s">
        <v>1697</v>
      </c>
      <c r="H1128" t="s">
        <v>89</v>
      </c>
      <c r="I1128" t="s">
        <v>346</v>
      </c>
      <c r="J1128" s="4">
        <v>5322</v>
      </c>
      <c r="K1128" s="5">
        <v>0.23299511461856445</v>
      </c>
      <c r="L1128" s="5">
        <v>1.6723036452461482E-2</v>
      </c>
    </row>
    <row r="1129" spans="7:12">
      <c r="G1129" t="s">
        <v>1698</v>
      </c>
      <c r="H1129" t="s">
        <v>89</v>
      </c>
      <c r="I1129" t="s">
        <v>77</v>
      </c>
      <c r="J1129" s="4">
        <v>3361</v>
      </c>
      <c r="K1129" s="5">
        <v>0.23296637905385301</v>
      </c>
      <c r="L1129" s="5">
        <v>3.1538232668848559E-2</v>
      </c>
    </row>
    <row r="1130" spans="7:12">
      <c r="G1130" t="s">
        <v>1699</v>
      </c>
      <c r="H1130" t="s">
        <v>131</v>
      </c>
      <c r="I1130" t="s">
        <v>466</v>
      </c>
      <c r="J1130" s="4">
        <v>7985</v>
      </c>
      <c r="K1130" s="5">
        <v>0.23293675641828429</v>
      </c>
      <c r="L1130" s="5">
        <v>8.5159674389480283E-3</v>
      </c>
    </row>
    <row r="1131" spans="7:12">
      <c r="G1131" t="s">
        <v>1700</v>
      </c>
      <c r="H1131" t="s">
        <v>1701</v>
      </c>
      <c r="I1131" t="s">
        <v>103</v>
      </c>
      <c r="J1131" s="4">
        <v>1258</v>
      </c>
      <c r="K1131" s="5">
        <v>0.23290937996820349</v>
      </c>
      <c r="L1131" s="5">
        <v>3.8155802861685212E-2</v>
      </c>
    </row>
    <row r="1132" spans="7:12">
      <c r="G1132" t="s">
        <v>1702</v>
      </c>
      <c r="H1132" t="s">
        <v>118</v>
      </c>
      <c r="I1132" t="s">
        <v>299</v>
      </c>
      <c r="J1132" s="4">
        <v>8610</v>
      </c>
      <c r="K1132" s="5">
        <v>0.23286875725900116</v>
      </c>
      <c r="L1132" s="5">
        <v>1.7073170731707318E-2</v>
      </c>
    </row>
    <row r="1133" spans="7:12">
      <c r="G1133" t="s">
        <v>1703</v>
      </c>
      <c r="H1133" t="s">
        <v>282</v>
      </c>
      <c r="I1133" t="s">
        <v>89</v>
      </c>
      <c r="J1133" s="4">
        <v>5593</v>
      </c>
      <c r="K1133" s="5">
        <v>0.23279098873591991</v>
      </c>
      <c r="L1133" s="5">
        <v>2.3958519578043985E-2</v>
      </c>
    </row>
    <row r="1134" spans="7:12">
      <c r="G1134" t="s">
        <v>1704</v>
      </c>
      <c r="H1134" t="s">
        <v>137</v>
      </c>
      <c r="I1134" t="s">
        <v>136</v>
      </c>
      <c r="J1134" s="4">
        <v>5095</v>
      </c>
      <c r="K1134" s="5">
        <v>0.23277723258096172</v>
      </c>
      <c r="L1134" s="5">
        <v>1.4327772325809618E-2</v>
      </c>
    </row>
    <row r="1135" spans="7:12">
      <c r="G1135" t="s">
        <v>1705</v>
      </c>
      <c r="H1135" t="s">
        <v>118</v>
      </c>
      <c r="I1135" t="s">
        <v>358</v>
      </c>
      <c r="J1135" s="4">
        <v>10427</v>
      </c>
      <c r="K1135" s="5">
        <v>0.23276110098782007</v>
      </c>
      <c r="L1135" s="5">
        <v>1.7358780090150572E-2</v>
      </c>
    </row>
    <row r="1136" spans="7:12">
      <c r="G1136" t="s">
        <v>1706</v>
      </c>
      <c r="H1136" t="s">
        <v>291</v>
      </c>
      <c r="I1136" t="s">
        <v>89</v>
      </c>
      <c r="J1136" s="4">
        <v>5783</v>
      </c>
      <c r="K1136" s="5">
        <v>0.23275116721424866</v>
      </c>
      <c r="L1136" s="5">
        <v>2.126923742002421E-2</v>
      </c>
    </row>
    <row r="1137" spans="7:12">
      <c r="G1137" t="s">
        <v>1707</v>
      </c>
      <c r="H1137" t="s">
        <v>118</v>
      </c>
      <c r="I1137" t="s">
        <v>461</v>
      </c>
      <c r="J1137" s="4">
        <v>8805</v>
      </c>
      <c r="K1137" s="5">
        <v>0.23270868824531515</v>
      </c>
      <c r="L1137" s="5">
        <v>8.8586030664395236E-3</v>
      </c>
    </row>
    <row r="1138" spans="7:12">
      <c r="G1138" t="s">
        <v>1708</v>
      </c>
      <c r="H1138" t="s">
        <v>268</v>
      </c>
      <c r="I1138" t="s">
        <v>80</v>
      </c>
      <c r="J1138" s="4">
        <v>2875</v>
      </c>
      <c r="K1138" s="5">
        <v>0.23269565217391305</v>
      </c>
      <c r="L1138" s="5">
        <v>1.0782608695652174E-2</v>
      </c>
    </row>
    <row r="1139" spans="7:12">
      <c r="G1139" t="s">
        <v>1709</v>
      </c>
      <c r="H1139" t="s">
        <v>100</v>
      </c>
      <c r="I1139" t="s">
        <v>286</v>
      </c>
      <c r="J1139" s="4">
        <v>2205</v>
      </c>
      <c r="K1139" s="5">
        <v>0.23265306122448978</v>
      </c>
      <c r="L1139" s="5">
        <v>1.4512471655328799E-2</v>
      </c>
    </row>
    <row r="1140" spans="7:12">
      <c r="G1140" t="s">
        <v>1710</v>
      </c>
      <c r="H1140" t="s">
        <v>131</v>
      </c>
      <c r="I1140" t="s">
        <v>451</v>
      </c>
      <c r="J1140" s="4">
        <v>4015</v>
      </c>
      <c r="K1140" s="5">
        <v>0.23262764632627647</v>
      </c>
      <c r="L1140" s="5">
        <v>6.4757160647571609E-3</v>
      </c>
    </row>
    <row r="1141" spans="7:12">
      <c r="G1141" t="s">
        <v>1711</v>
      </c>
      <c r="H1141" t="s">
        <v>377</v>
      </c>
      <c r="I1141" t="s">
        <v>489</v>
      </c>
      <c r="J1141" s="4">
        <v>1410</v>
      </c>
      <c r="K1141" s="5">
        <v>0.23262411347517731</v>
      </c>
      <c r="L1141" s="5">
        <v>6.382978723404255E-3</v>
      </c>
    </row>
    <row r="1142" spans="7:12">
      <c r="G1142" t="s">
        <v>1712</v>
      </c>
      <c r="H1142" t="s">
        <v>461</v>
      </c>
      <c r="I1142" t="s">
        <v>103</v>
      </c>
      <c r="J1142" s="4">
        <v>23576</v>
      </c>
      <c r="K1142" s="5">
        <v>0.23260943332202239</v>
      </c>
      <c r="L1142" s="5">
        <v>8.7801153715643034E-3</v>
      </c>
    </row>
    <row r="1143" spans="7:12">
      <c r="G1143" t="s">
        <v>1713</v>
      </c>
      <c r="H1143" t="s">
        <v>140</v>
      </c>
      <c r="I1143" t="s">
        <v>134</v>
      </c>
      <c r="J1143" s="4">
        <v>11119</v>
      </c>
      <c r="K1143" s="5">
        <v>0.2325748718409929</v>
      </c>
      <c r="L1143" s="5">
        <v>1.9785951974098392E-2</v>
      </c>
    </row>
    <row r="1144" spans="7:12">
      <c r="G1144" t="s">
        <v>1714</v>
      </c>
      <c r="H1144" t="s">
        <v>115</v>
      </c>
      <c r="I1144" t="s">
        <v>100</v>
      </c>
      <c r="J1144" s="4">
        <v>9116</v>
      </c>
      <c r="K1144" s="5">
        <v>0.23255813953488372</v>
      </c>
      <c r="L1144" s="5">
        <v>1.3273365511189118E-2</v>
      </c>
    </row>
    <row r="1145" spans="7:12">
      <c r="G1145" t="s">
        <v>1715</v>
      </c>
      <c r="H1145" t="s">
        <v>115</v>
      </c>
      <c r="I1145" t="s">
        <v>252</v>
      </c>
      <c r="J1145" s="4">
        <v>5440</v>
      </c>
      <c r="K1145" s="5">
        <v>0.23253676470588236</v>
      </c>
      <c r="L1145" s="5">
        <v>9.1911764705882356E-3</v>
      </c>
    </row>
    <row r="1146" spans="7:12">
      <c r="G1146" t="s">
        <v>1716</v>
      </c>
      <c r="H1146" t="s">
        <v>115</v>
      </c>
      <c r="I1146" t="s">
        <v>103</v>
      </c>
      <c r="J1146" s="4">
        <v>9127</v>
      </c>
      <c r="K1146" s="5">
        <v>0.2324969869617618</v>
      </c>
      <c r="L1146" s="5">
        <v>9.5321573353785473E-3</v>
      </c>
    </row>
    <row r="1147" spans="7:12">
      <c r="G1147" t="s">
        <v>1717</v>
      </c>
      <c r="H1147" t="s">
        <v>160</v>
      </c>
      <c r="I1147" t="s">
        <v>263</v>
      </c>
      <c r="J1147" s="4">
        <v>3081</v>
      </c>
      <c r="K1147" s="5">
        <v>0.23239208049334631</v>
      </c>
      <c r="L1147" s="5">
        <v>8.7633885102239538E-3</v>
      </c>
    </row>
    <row r="1148" spans="7:12">
      <c r="G1148" t="s">
        <v>1718</v>
      </c>
      <c r="H1148" t="s">
        <v>331</v>
      </c>
      <c r="I1148" t="s">
        <v>89</v>
      </c>
      <c r="J1148" s="4">
        <v>5444</v>
      </c>
      <c r="K1148" s="5">
        <v>0.23236590742101396</v>
      </c>
      <c r="L1148" s="5">
        <v>2.1858927259368111E-2</v>
      </c>
    </row>
    <row r="1149" spans="7:12">
      <c r="G1149" t="s">
        <v>1719</v>
      </c>
      <c r="H1149" t="s">
        <v>440</v>
      </c>
      <c r="I1149" t="s">
        <v>226</v>
      </c>
      <c r="J1149" s="4">
        <v>3456</v>
      </c>
      <c r="K1149" s="5">
        <v>0.23234953703703703</v>
      </c>
      <c r="L1149" s="5">
        <v>1.4467592592592593E-2</v>
      </c>
    </row>
    <row r="1150" spans="7:12">
      <c r="G1150" t="s">
        <v>1720</v>
      </c>
      <c r="H1150" t="s">
        <v>89</v>
      </c>
      <c r="I1150" t="s">
        <v>486</v>
      </c>
      <c r="J1150" s="4">
        <v>1240</v>
      </c>
      <c r="K1150" s="5">
        <v>0.23225806451612904</v>
      </c>
      <c r="L1150" s="5">
        <v>2.4193548387096775E-3</v>
      </c>
    </row>
    <row r="1151" spans="7:12">
      <c r="G1151" t="s">
        <v>1721</v>
      </c>
      <c r="H1151" t="s">
        <v>118</v>
      </c>
      <c r="I1151" t="s">
        <v>228</v>
      </c>
      <c r="J1151" s="4">
        <v>2731</v>
      </c>
      <c r="K1151" s="5">
        <v>0.23214939582570487</v>
      </c>
      <c r="L1151" s="5">
        <v>6.2248260710362508E-3</v>
      </c>
    </row>
    <row r="1152" spans="7:12">
      <c r="G1152" t="s">
        <v>1722</v>
      </c>
      <c r="H1152" t="s">
        <v>115</v>
      </c>
      <c r="I1152" t="s">
        <v>202</v>
      </c>
      <c r="J1152" s="4">
        <v>9185</v>
      </c>
      <c r="K1152" s="5">
        <v>0.23211758301578661</v>
      </c>
      <c r="L1152" s="5">
        <v>1.7637452367991292E-2</v>
      </c>
    </row>
    <row r="1153" spans="7:12">
      <c r="G1153" t="s">
        <v>1723</v>
      </c>
      <c r="H1153" t="s">
        <v>288</v>
      </c>
      <c r="I1153" t="s">
        <v>202</v>
      </c>
      <c r="J1153" s="4">
        <v>2448</v>
      </c>
      <c r="K1153" s="5">
        <v>0.23202614379084968</v>
      </c>
      <c r="L1153" s="5">
        <v>1.6748366013071895E-2</v>
      </c>
    </row>
    <row r="1154" spans="7:12">
      <c r="G1154" t="s">
        <v>1724</v>
      </c>
      <c r="H1154" t="s">
        <v>182</v>
      </c>
      <c r="I1154" t="s">
        <v>89</v>
      </c>
      <c r="J1154" s="4">
        <v>10471</v>
      </c>
      <c r="K1154" s="5">
        <v>0.23197402349345811</v>
      </c>
      <c r="L1154" s="5">
        <v>2.1105911565275522E-2</v>
      </c>
    </row>
    <row r="1155" spans="7:12">
      <c r="G1155" t="s">
        <v>1725</v>
      </c>
      <c r="H1155" t="s">
        <v>137</v>
      </c>
      <c r="I1155" t="s">
        <v>256</v>
      </c>
      <c r="J1155" s="4">
        <v>1522</v>
      </c>
      <c r="K1155" s="5">
        <v>0.23193166885676741</v>
      </c>
      <c r="L1155" s="5">
        <v>2.3653088042049936E-2</v>
      </c>
    </row>
    <row r="1156" spans="7:12">
      <c r="G1156" t="s">
        <v>1726</v>
      </c>
      <c r="H1156" t="s">
        <v>215</v>
      </c>
      <c r="I1156" t="s">
        <v>362</v>
      </c>
      <c r="J1156" s="4">
        <v>2462</v>
      </c>
      <c r="K1156" s="5">
        <v>0.23192526401299757</v>
      </c>
      <c r="L1156" s="5">
        <v>8.9358245329000819E-3</v>
      </c>
    </row>
    <row r="1157" spans="7:12">
      <c r="G1157" t="s">
        <v>1727</v>
      </c>
      <c r="H1157" t="s">
        <v>80</v>
      </c>
      <c r="I1157" t="s">
        <v>100</v>
      </c>
      <c r="J1157" s="4">
        <v>9862</v>
      </c>
      <c r="K1157" s="5">
        <v>0.23190022307848307</v>
      </c>
      <c r="L1157" s="5">
        <v>1.4500101399310485E-2</v>
      </c>
    </row>
    <row r="1158" spans="7:12">
      <c r="G1158" t="s">
        <v>1728</v>
      </c>
      <c r="H1158" t="s">
        <v>180</v>
      </c>
      <c r="I1158" t="s">
        <v>144</v>
      </c>
      <c r="J1158" s="4">
        <v>1436</v>
      </c>
      <c r="K1158" s="5">
        <v>0.23189415041782729</v>
      </c>
      <c r="L1158" s="5">
        <v>1.6016713091922007E-2</v>
      </c>
    </row>
    <row r="1159" spans="7:12">
      <c r="G1159" t="s">
        <v>1729</v>
      </c>
      <c r="H1159" t="s">
        <v>95</v>
      </c>
      <c r="I1159" t="s">
        <v>299</v>
      </c>
      <c r="J1159" s="4">
        <v>1268</v>
      </c>
      <c r="K1159" s="5">
        <v>0.23186119873817035</v>
      </c>
      <c r="L1159" s="5">
        <v>1.2618296529968454E-2</v>
      </c>
    </row>
    <row r="1160" spans="7:12">
      <c r="G1160" t="s">
        <v>1730</v>
      </c>
      <c r="H1160" t="s">
        <v>259</v>
      </c>
      <c r="I1160" t="s">
        <v>374</v>
      </c>
      <c r="J1160" s="4">
        <v>2907</v>
      </c>
      <c r="K1160" s="5">
        <v>0.23185414516683867</v>
      </c>
      <c r="L1160" s="5">
        <v>4.1279669762641899E-2</v>
      </c>
    </row>
    <row r="1161" spans="7:12">
      <c r="G1161" t="s">
        <v>1731</v>
      </c>
      <c r="H1161" t="s">
        <v>103</v>
      </c>
      <c r="I1161" t="s">
        <v>366</v>
      </c>
      <c r="J1161" s="4">
        <v>3224</v>
      </c>
      <c r="K1161" s="5">
        <v>0.23169975186104219</v>
      </c>
      <c r="L1161" s="5">
        <v>8.3746898263027288E-3</v>
      </c>
    </row>
    <row r="1162" spans="7:12">
      <c r="G1162" t="s">
        <v>1732</v>
      </c>
      <c r="H1162" t="s">
        <v>388</v>
      </c>
      <c r="I1162" t="s">
        <v>89</v>
      </c>
      <c r="J1162" s="4">
        <v>6433</v>
      </c>
      <c r="K1162" s="5">
        <v>0.23161821856054718</v>
      </c>
      <c r="L1162" s="5">
        <v>2.0674646354733407E-2</v>
      </c>
    </row>
    <row r="1163" spans="7:12">
      <c r="G1163" t="s">
        <v>1733</v>
      </c>
      <c r="H1163" t="s">
        <v>100</v>
      </c>
      <c r="I1163" t="s">
        <v>136</v>
      </c>
      <c r="J1163" s="4">
        <v>2379</v>
      </c>
      <c r="K1163" s="5">
        <v>0.23160992013451029</v>
      </c>
      <c r="L1163" s="5">
        <v>8.8272383354350576E-3</v>
      </c>
    </row>
    <row r="1164" spans="7:12">
      <c r="G1164" t="s">
        <v>1734</v>
      </c>
      <c r="H1164" t="s">
        <v>115</v>
      </c>
      <c r="I1164" t="s">
        <v>331</v>
      </c>
      <c r="J1164" s="4">
        <v>2388</v>
      </c>
      <c r="K1164" s="5">
        <v>0.2315745393634841</v>
      </c>
      <c r="L1164" s="5">
        <v>6.7001675041876048E-3</v>
      </c>
    </row>
    <row r="1165" spans="7:12">
      <c r="G1165" t="s">
        <v>1735</v>
      </c>
      <c r="H1165" t="s">
        <v>422</v>
      </c>
      <c r="I1165" t="s">
        <v>80</v>
      </c>
      <c r="J1165" s="4">
        <v>3131</v>
      </c>
      <c r="K1165" s="5">
        <v>0.23155541360587673</v>
      </c>
      <c r="L1165" s="5">
        <v>1.4372404982433726E-2</v>
      </c>
    </row>
    <row r="1166" spans="7:12">
      <c r="G1166" t="s">
        <v>1736</v>
      </c>
      <c r="H1166" t="s">
        <v>121</v>
      </c>
      <c r="I1166" t="s">
        <v>165</v>
      </c>
      <c r="J1166" s="4">
        <v>3036</v>
      </c>
      <c r="K1166" s="5">
        <v>0.23155467720685111</v>
      </c>
      <c r="L1166" s="5">
        <v>1.1198945981554678E-2</v>
      </c>
    </row>
    <row r="1167" spans="7:12">
      <c r="G1167" t="s">
        <v>1737</v>
      </c>
      <c r="H1167" t="s">
        <v>215</v>
      </c>
      <c r="I1167" t="s">
        <v>131</v>
      </c>
      <c r="J1167" s="4">
        <v>19366</v>
      </c>
      <c r="K1167" s="5">
        <v>0.23153981204172261</v>
      </c>
      <c r="L1167" s="5">
        <v>8.468449860580398E-3</v>
      </c>
    </row>
    <row r="1168" spans="7:12">
      <c r="G1168" t="s">
        <v>1738</v>
      </c>
      <c r="H1168" t="s">
        <v>202</v>
      </c>
      <c r="I1168" t="s">
        <v>352</v>
      </c>
      <c r="J1168" s="4">
        <v>1858</v>
      </c>
      <c r="K1168" s="5">
        <v>0.23143164693218515</v>
      </c>
      <c r="L1168" s="5">
        <v>1.3993541442411194E-2</v>
      </c>
    </row>
    <row r="1169" spans="7:12">
      <c r="G1169" t="s">
        <v>1739</v>
      </c>
      <c r="H1169" t="s">
        <v>322</v>
      </c>
      <c r="I1169" t="s">
        <v>85</v>
      </c>
      <c r="J1169" s="4">
        <v>4972</v>
      </c>
      <c r="K1169" s="5">
        <v>0.23129525341914722</v>
      </c>
      <c r="L1169" s="5">
        <v>1.1263073209975865E-2</v>
      </c>
    </row>
    <row r="1170" spans="7:12">
      <c r="G1170" t="s">
        <v>1740</v>
      </c>
      <c r="H1170" t="s">
        <v>100</v>
      </c>
      <c r="I1170" t="s">
        <v>336</v>
      </c>
      <c r="J1170" s="4">
        <v>7957</v>
      </c>
      <c r="K1170" s="5">
        <v>0.23124293075279628</v>
      </c>
      <c r="L1170" s="5">
        <v>1.3949981148674124E-2</v>
      </c>
    </row>
    <row r="1171" spans="7:12">
      <c r="G1171" t="s">
        <v>1741</v>
      </c>
      <c r="H1171" t="s">
        <v>136</v>
      </c>
      <c r="I1171" t="s">
        <v>95</v>
      </c>
      <c r="J1171" s="4">
        <v>8832</v>
      </c>
      <c r="K1171" s="5">
        <v>0.23120471014492755</v>
      </c>
      <c r="L1171" s="5">
        <v>1.5398550724637682E-2</v>
      </c>
    </row>
    <row r="1172" spans="7:12">
      <c r="G1172" t="s">
        <v>1742</v>
      </c>
      <c r="H1172" t="s">
        <v>305</v>
      </c>
      <c r="I1172" t="s">
        <v>89</v>
      </c>
      <c r="J1172" s="4">
        <v>9574</v>
      </c>
      <c r="K1172" s="5">
        <v>0.2311468560685189</v>
      </c>
      <c r="L1172" s="5">
        <v>1.8278671401712972E-2</v>
      </c>
    </row>
    <row r="1173" spans="7:12">
      <c r="G1173" t="s">
        <v>1743</v>
      </c>
      <c r="H1173" t="s">
        <v>103</v>
      </c>
      <c r="I1173" t="s">
        <v>436</v>
      </c>
      <c r="J1173" s="4">
        <v>4206</v>
      </c>
      <c r="K1173" s="5">
        <v>0.23109843081312412</v>
      </c>
      <c r="L1173" s="5">
        <v>9.7479790775083213E-3</v>
      </c>
    </row>
    <row r="1174" spans="7:12">
      <c r="G1174" t="s">
        <v>1744</v>
      </c>
      <c r="H1174" t="s">
        <v>182</v>
      </c>
      <c r="I1174" t="s">
        <v>233</v>
      </c>
      <c r="J1174" s="4">
        <v>2389</v>
      </c>
      <c r="K1174" s="5">
        <v>0.23105902051067392</v>
      </c>
      <c r="L1174" s="5">
        <v>6.6973629133528674E-3</v>
      </c>
    </row>
    <row r="1175" spans="7:12">
      <c r="G1175" t="s">
        <v>1745</v>
      </c>
      <c r="H1175" t="s">
        <v>131</v>
      </c>
      <c r="I1175" t="s">
        <v>136</v>
      </c>
      <c r="J1175" s="4">
        <v>9028</v>
      </c>
      <c r="K1175" s="5">
        <v>0.23105892778023926</v>
      </c>
      <c r="L1175" s="5">
        <v>9.7474523704031892E-3</v>
      </c>
    </row>
    <row r="1176" spans="7:12">
      <c r="G1176" t="s">
        <v>1746</v>
      </c>
      <c r="H1176" t="s">
        <v>162</v>
      </c>
      <c r="I1176" t="s">
        <v>372</v>
      </c>
      <c r="J1176" s="4">
        <v>1476</v>
      </c>
      <c r="K1176" s="5">
        <v>0.23102981029810299</v>
      </c>
      <c r="L1176" s="5">
        <v>3.9295392953929538E-2</v>
      </c>
    </row>
    <row r="1177" spans="7:12">
      <c r="G1177" t="s">
        <v>1747</v>
      </c>
      <c r="H1177" t="s">
        <v>215</v>
      </c>
      <c r="I1177" t="s">
        <v>414</v>
      </c>
      <c r="J1177" s="4">
        <v>1394</v>
      </c>
      <c r="K1177" s="5">
        <v>0.23098995695839311</v>
      </c>
      <c r="L1177" s="5">
        <v>4.30416068866571E-3</v>
      </c>
    </row>
    <row r="1178" spans="7:12">
      <c r="G1178" t="s">
        <v>1748</v>
      </c>
      <c r="H1178" t="s">
        <v>131</v>
      </c>
      <c r="I1178" t="s">
        <v>457</v>
      </c>
      <c r="J1178" s="4">
        <v>2087</v>
      </c>
      <c r="K1178" s="5">
        <v>0.23095352180162912</v>
      </c>
      <c r="L1178" s="5">
        <v>3.8332534738859609E-3</v>
      </c>
    </row>
    <row r="1179" spans="7:12">
      <c r="G1179" t="s">
        <v>1749</v>
      </c>
      <c r="H1179" t="s">
        <v>218</v>
      </c>
      <c r="I1179" t="s">
        <v>390</v>
      </c>
      <c r="J1179" s="4">
        <v>3144</v>
      </c>
      <c r="K1179" s="5">
        <v>0.23091603053435114</v>
      </c>
      <c r="L1179" s="5">
        <v>6.9974554707379136E-3</v>
      </c>
    </row>
    <row r="1180" spans="7:12">
      <c r="G1180" t="s">
        <v>1750</v>
      </c>
      <c r="H1180" t="s">
        <v>326</v>
      </c>
      <c r="I1180" t="s">
        <v>140</v>
      </c>
      <c r="J1180" s="4">
        <v>7856</v>
      </c>
      <c r="K1180" s="5">
        <v>0.23090631364562117</v>
      </c>
      <c r="L1180" s="5">
        <v>1.4129327902240326E-2</v>
      </c>
    </row>
    <row r="1181" spans="7:12">
      <c r="G1181" t="s">
        <v>1751</v>
      </c>
      <c r="H1181" t="s">
        <v>182</v>
      </c>
      <c r="I1181" t="s">
        <v>268</v>
      </c>
      <c r="J1181" s="4">
        <v>2443</v>
      </c>
      <c r="K1181" s="5">
        <v>0.23086369218174377</v>
      </c>
      <c r="L1181" s="5">
        <v>7.3679901760130987E-3</v>
      </c>
    </row>
    <row r="1182" spans="7:12">
      <c r="G1182" t="s">
        <v>1752</v>
      </c>
      <c r="H1182" t="s">
        <v>136</v>
      </c>
      <c r="I1182" t="s">
        <v>254</v>
      </c>
      <c r="J1182" s="4">
        <v>3509</v>
      </c>
      <c r="K1182" s="5">
        <v>0.23083499572527785</v>
      </c>
      <c r="L1182" s="5">
        <v>1.2539184952978056E-2</v>
      </c>
    </row>
    <row r="1183" spans="7:12">
      <c r="G1183" t="s">
        <v>1753</v>
      </c>
      <c r="H1183" t="s">
        <v>129</v>
      </c>
      <c r="I1183" t="s">
        <v>140</v>
      </c>
      <c r="J1183" s="4">
        <v>1551</v>
      </c>
      <c r="K1183" s="5">
        <v>0.23081882656350741</v>
      </c>
      <c r="L1183" s="5">
        <v>2.9013539651837523E-2</v>
      </c>
    </row>
    <row r="1184" spans="7:12">
      <c r="G1184" t="s">
        <v>1754</v>
      </c>
      <c r="H1184" t="s">
        <v>134</v>
      </c>
      <c r="I1184" t="s">
        <v>374</v>
      </c>
      <c r="J1184" s="4">
        <v>2903</v>
      </c>
      <c r="K1184" s="5">
        <v>0.23079572855666552</v>
      </c>
      <c r="L1184" s="5">
        <v>1.2056493282810886E-2</v>
      </c>
    </row>
    <row r="1185" spans="7:12">
      <c r="G1185" t="s">
        <v>1755</v>
      </c>
      <c r="H1185" t="s">
        <v>202</v>
      </c>
      <c r="I1185" t="s">
        <v>360</v>
      </c>
      <c r="J1185" s="4">
        <v>1456</v>
      </c>
      <c r="K1185" s="5">
        <v>0.23076923076923078</v>
      </c>
      <c r="L1185" s="5">
        <v>1.9230769230769232E-2</v>
      </c>
    </row>
    <row r="1186" spans="7:12">
      <c r="G1186" t="s">
        <v>1756</v>
      </c>
      <c r="H1186" t="s">
        <v>118</v>
      </c>
      <c r="I1186" t="s">
        <v>233</v>
      </c>
      <c r="J1186" s="4">
        <v>14330</v>
      </c>
      <c r="K1186" s="5">
        <v>0.23070481507327287</v>
      </c>
      <c r="L1186" s="5">
        <v>1.374738311235171E-2</v>
      </c>
    </row>
    <row r="1187" spans="7:12">
      <c r="G1187" t="s">
        <v>1757</v>
      </c>
      <c r="H1187" t="s">
        <v>268</v>
      </c>
      <c r="I1187" t="s">
        <v>372</v>
      </c>
      <c r="J1187" s="4">
        <v>1981</v>
      </c>
      <c r="K1187" s="5">
        <v>0.23069156991418477</v>
      </c>
      <c r="L1187" s="5">
        <v>8.0767289247854618E-3</v>
      </c>
    </row>
    <row r="1188" spans="7:12">
      <c r="G1188" t="s">
        <v>1758</v>
      </c>
      <c r="H1188" t="s">
        <v>218</v>
      </c>
      <c r="I1188" t="s">
        <v>326</v>
      </c>
      <c r="J1188" s="4">
        <v>11104</v>
      </c>
      <c r="K1188" s="5">
        <v>0.23054755043227665</v>
      </c>
      <c r="L1188" s="5">
        <v>6.3940922190201732E-3</v>
      </c>
    </row>
    <row r="1189" spans="7:12">
      <c r="G1189" t="s">
        <v>1759</v>
      </c>
      <c r="H1189" t="s">
        <v>118</v>
      </c>
      <c r="I1189" t="s">
        <v>414</v>
      </c>
      <c r="J1189" s="4">
        <v>10721</v>
      </c>
      <c r="K1189" s="5">
        <v>0.23048223113515531</v>
      </c>
      <c r="L1189" s="5">
        <v>1.1006435966794143E-2</v>
      </c>
    </row>
    <row r="1190" spans="7:12">
      <c r="G1190" t="s">
        <v>1760</v>
      </c>
      <c r="H1190" t="s">
        <v>238</v>
      </c>
      <c r="I1190" t="s">
        <v>134</v>
      </c>
      <c r="J1190" s="4">
        <v>1202</v>
      </c>
      <c r="K1190" s="5">
        <v>0.23044925124792012</v>
      </c>
      <c r="L1190" s="5">
        <v>1.8302828618968387E-2</v>
      </c>
    </row>
    <row r="1191" spans="7:12">
      <c r="G1191" t="s">
        <v>1761</v>
      </c>
      <c r="H1191" t="s">
        <v>140</v>
      </c>
      <c r="I1191" t="s">
        <v>449</v>
      </c>
      <c r="J1191" s="4">
        <v>2530</v>
      </c>
      <c r="K1191" s="5">
        <v>0.23043478260869565</v>
      </c>
      <c r="L1191" s="5">
        <v>1.6996047430830039E-2</v>
      </c>
    </row>
    <row r="1192" spans="7:12">
      <c r="G1192" t="s">
        <v>1762</v>
      </c>
      <c r="H1192" t="s">
        <v>202</v>
      </c>
      <c r="I1192" t="s">
        <v>137</v>
      </c>
      <c r="J1192" s="4">
        <v>7739</v>
      </c>
      <c r="K1192" s="5">
        <v>0.23039152345264247</v>
      </c>
      <c r="L1192" s="5">
        <v>1.834862385321101E-2</v>
      </c>
    </row>
    <row r="1193" spans="7:12">
      <c r="G1193" t="s">
        <v>1763</v>
      </c>
      <c r="H1193" t="s">
        <v>358</v>
      </c>
      <c r="I1193" t="s">
        <v>89</v>
      </c>
      <c r="J1193" s="4">
        <v>5218</v>
      </c>
      <c r="K1193" s="5">
        <v>0.23035645841318514</v>
      </c>
      <c r="L1193" s="5">
        <v>2.0314296665389038E-2</v>
      </c>
    </row>
    <row r="1194" spans="7:12">
      <c r="G1194" t="s">
        <v>1764</v>
      </c>
      <c r="H1194" t="s">
        <v>144</v>
      </c>
      <c r="I1194" t="s">
        <v>100</v>
      </c>
      <c r="J1194" s="4">
        <v>5701</v>
      </c>
      <c r="K1194" s="5">
        <v>0.23031047184704437</v>
      </c>
      <c r="L1194" s="5">
        <v>2.2452201368181022E-2</v>
      </c>
    </row>
    <row r="1195" spans="7:12">
      <c r="G1195" t="s">
        <v>1765</v>
      </c>
      <c r="H1195" t="s">
        <v>134</v>
      </c>
      <c r="I1195" t="s">
        <v>457</v>
      </c>
      <c r="J1195" s="4">
        <v>1989</v>
      </c>
      <c r="K1195" s="5">
        <v>0.23026646556058319</v>
      </c>
      <c r="L1195" s="5">
        <v>1.0055304172951232E-2</v>
      </c>
    </row>
    <row r="1196" spans="7:12">
      <c r="G1196" t="s">
        <v>1766</v>
      </c>
      <c r="H1196" t="s">
        <v>204</v>
      </c>
      <c r="I1196" t="s">
        <v>121</v>
      </c>
      <c r="J1196" s="4">
        <v>5108</v>
      </c>
      <c r="K1196" s="5">
        <v>0.23022709475332812</v>
      </c>
      <c r="L1196" s="5">
        <v>1.4291307752545028E-2</v>
      </c>
    </row>
    <row r="1197" spans="7:12">
      <c r="G1197" t="s">
        <v>1767</v>
      </c>
      <c r="H1197" t="s">
        <v>319</v>
      </c>
      <c r="I1197" t="s">
        <v>95</v>
      </c>
      <c r="J1197" s="4">
        <v>4778</v>
      </c>
      <c r="K1197" s="5">
        <v>0.23022185014650481</v>
      </c>
      <c r="L1197" s="5">
        <v>1.0464629552113856E-2</v>
      </c>
    </row>
    <row r="1198" spans="7:12">
      <c r="G1198" t="s">
        <v>1768</v>
      </c>
      <c r="H1198" t="s">
        <v>319</v>
      </c>
      <c r="I1198" t="s">
        <v>202</v>
      </c>
      <c r="J1198" s="4">
        <v>1629</v>
      </c>
      <c r="K1198" s="5">
        <v>0.23020257826887661</v>
      </c>
      <c r="L1198" s="5">
        <v>9.8219766728054013E-3</v>
      </c>
    </row>
    <row r="1199" spans="7:12">
      <c r="G1199" t="s">
        <v>1769</v>
      </c>
      <c r="H1199" t="s">
        <v>100</v>
      </c>
      <c r="I1199" t="s">
        <v>326</v>
      </c>
      <c r="J1199" s="4">
        <v>8524</v>
      </c>
      <c r="K1199" s="5">
        <v>0.23017362740497418</v>
      </c>
      <c r="L1199" s="5">
        <v>4.8099483810417646E-3</v>
      </c>
    </row>
    <row r="1200" spans="7:12">
      <c r="G1200" t="s">
        <v>1770</v>
      </c>
      <c r="H1200" t="s">
        <v>377</v>
      </c>
      <c r="I1200" t="s">
        <v>140</v>
      </c>
      <c r="J1200" s="4">
        <v>6791</v>
      </c>
      <c r="K1200" s="5">
        <v>0.23015756147842734</v>
      </c>
      <c r="L1200" s="5">
        <v>2.0910027978206451E-2</v>
      </c>
    </row>
    <row r="1201" spans="7:12">
      <c r="G1201" t="s">
        <v>1771</v>
      </c>
      <c r="H1201" t="s">
        <v>322</v>
      </c>
      <c r="I1201" t="s">
        <v>388</v>
      </c>
      <c r="J1201" s="4">
        <v>1221</v>
      </c>
      <c r="K1201" s="5">
        <v>0.23013923013923013</v>
      </c>
      <c r="L1201" s="5">
        <v>4.095004095004095E-3</v>
      </c>
    </row>
    <row r="1202" spans="7:12">
      <c r="G1202" t="s">
        <v>1772</v>
      </c>
      <c r="H1202" t="s">
        <v>95</v>
      </c>
      <c r="I1202" t="s">
        <v>293</v>
      </c>
      <c r="J1202" s="4">
        <v>3116</v>
      </c>
      <c r="K1202" s="5">
        <v>0.23010269576379974</v>
      </c>
      <c r="L1202" s="5">
        <v>9.9486521181001292E-3</v>
      </c>
    </row>
    <row r="1203" spans="7:12">
      <c r="G1203" t="s">
        <v>1773</v>
      </c>
      <c r="H1203" t="s">
        <v>162</v>
      </c>
      <c r="I1203" t="s">
        <v>226</v>
      </c>
      <c r="J1203" s="4">
        <v>13677</v>
      </c>
      <c r="K1203" s="5">
        <v>0.23009431892958981</v>
      </c>
      <c r="L1203" s="5">
        <v>8.7738539153323098E-3</v>
      </c>
    </row>
    <row r="1204" spans="7:12">
      <c r="G1204" t="s">
        <v>1774</v>
      </c>
      <c r="H1204" t="s">
        <v>118</v>
      </c>
      <c r="I1204" t="s">
        <v>354</v>
      </c>
      <c r="J1204" s="4">
        <v>3399</v>
      </c>
      <c r="K1204" s="5">
        <v>0.23006766696087083</v>
      </c>
      <c r="L1204" s="5">
        <v>1.2650779641070904E-2</v>
      </c>
    </row>
    <row r="1205" spans="7:12">
      <c r="G1205" t="s">
        <v>1775</v>
      </c>
      <c r="H1205" t="s">
        <v>149</v>
      </c>
      <c r="I1205" t="s">
        <v>322</v>
      </c>
      <c r="J1205" s="4">
        <v>5264</v>
      </c>
      <c r="K1205" s="5">
        <v>0.23005319148936171</v>
      </c>
      <c r="L1205" s="5">
        <v>2.1466565349544074E-2</v>
      </c>
    </row>
    <row r="1206" spans="7:12">
      <c r="G1206" t="s">
        <v>1776</v>
      </c>
      <c r="H1206" t="s">
        <v>103</v>
      </c>
      <c r="I1206" t="s">
        <v>377</v>
      </c>
      <c r="J1206" s="4">
        <v>18459</v>
      </c>
      <c r="K1206" s="5">
        <v>0.23002329486971126</v>
      </c>
      <c r="L1206" s="5">
        <v>9.3179478845007851E-3</v>
      </c>
    </row>
    <row r="1207" spans="7:12">
      <c r="G1207" t="s">
        <v>1777</v>
      </c>
      <c r="H1207" t="s">
        <v>89</v>
      </c>
      <c r="I1207" t="s">
        <v>377</v>
      </c>
      <c r="J1207" s="4">
        <v>9522</v>
      </c>
      <c r="K1207" s="5">
        <v>0.22999369880277254</v>
      </c>
      <c r="L1207" s="5">
        <v>1.6593152699012813E-2</v>
      </c>
    </row>
    <row r="1208" spans="7:12">
      <c r="G1208" t="s">
        <v>1778</v>
      </c>
      <c r="H1208" t="s">
        <v>233</v>
      </c>
      <c r="I1208" t="s">
        <v>140</v>
      </c>
      <c r="J1208" s="4">
        <v>6131</v>
      </c>
      <c r="K1208" s="5">
        <v>0.22997879628119394</v>
      </c>
      <c r="L1208" s="5">
        <v>3.0337628445604305E-2</v>
      </c>
    </row>
    <row r="1209" spans="7:12">
      <c r="G1209" t="s">
        <v>1779</v>
      </c>
      <c r="H1209" t="s">
        <v>118</v>
      </c>
      <c r="I1209" t="s">
        <v>1780</v>
      </c>
      <c r="J1209" s="4">
        <v>2009</v>
      </c>
      <c r="K1209" s="5">
        <v>0.22996515679442509</v>
      </c>
      <c r="L1209" s="5">
        <v>1.3937282229965157E-2</v>
      </c>
    </row>
    <row r="1210" spans="7:12">
      <c r="G1210" t="s">
        <v>1781</v>
      </c>
      <c r="H1210" t="s">
        <v>136</v>
      </c>
      <c r="I1210" t="s">
        <v>461</v>
      </c>
      <c r="J1210" s="4">
        <v>2009</v>
      </c>
      <c r="K1210" s="5">
        <v>0.22996515679442509</v>
      </c>
      <c r="L1210" s="5">
        <v>1.0950721752115481E-2</v>
      </c>
    </row>
    <row r="1211" spans="7:12">
      <c r="G1211" t="s">
        <v>1782</v>
      </c>
      <c r="H1211" t="s">
        <v>340</v>
      </c>
      <c r="I1211" t="s">
        <v>118</v>
      </c>
      <c r="J1211" s="4">
        <v>5258</v>
      </c>
      <c r="K1211" s="5">
        <v>0.22993533662989729</v>
      </c>
      <c r="L1211" s="5">
        <v>1.6546215290985166E-2</v>
      </c>
    </row>
    <row r="1212" spans="7:12">
      <c r="G1212" t="s">
        <v>1783</v>
      </c>
      <c r="H1212" t="s">
        <v>334</v>
      </c>
      <c r="I1212" t="s">
        <v>118</v>
      </c>
      <c r="J1212" s="4">
        <v>4532</v>
      </c>
      <c r="K1212" s="5">
        <v>0.22992056487202117</v>
      </c>
      <c r="L1212" s="5">
        <v>1.5225066195939982E-2</v>
      </c>
    </row>
    <row r="1213" spans="7:12">
      <c r="G1213" t="s">
        <v>1784</v>
      </c>
      <c r="H1213" t="s">
        <v>204</v>
      </c>
      <c r="I1213" t="s">
        <v>293</v>
      </c>
      <c r="J1213" s="4">
        <v>3728</v>
      </c>
      <c r="K1213" s="5">
        <v>0.22988197424892703</v>
      </c>
      <c r="L1213" s="5">
        <v>4.1309012875536483E-2</v>
      </c>
    </row>
    <row r="1214" spans="7:12">
      <c r="G1214" t="s">
        <v>1785</v>
      </c>
      <c r="H1214" t="s">
        <v>252</v>
      </c>
      <c r="I1214" t="s">
        <v>259</v>
      </c>
      <c r="J1214" s="4">
        <v>10934</v>
      </c>
      <c r="K1214" s="5">
        <v>0.22983354673495518</v>
      </c>
      <c r="L1214" s="5">
        <v>3.2010243277848911E-2</v>
      </c>
    </row>
    <row r="1215" spans="7:12">
      <c r="G1215" t="s">
        <v>1786</v>
      </c>
      <c r="H1215" t="s">
        <v>388</v>
      </c>
      <c r="I1215" t="s">
        <v>95</v>
      </c>
      <c r="J1215" s="4">
        <v>2163</v>
      </c>
      <c r="K1215" s="5">
        <v>0.22977346278317151</v>
      </c>
      <c r="L1215" s="5">
        <v>6.4724919093851136E-3</v>
      </c>
    </row>
    <row r="1216" spans="7:12">
      <c r="G1216" t="s">
        <v>1787</v>
      </c>
      <c r="H1216" t="s">
        <v>326</v>
      </c>
      <c r="I1216" t="s">
        <v>95</v>
      </c>
      <c r="J1216" s="4">
        <v>5167</v>
      </c>
      <c r="K1216" s="5">
        <v>0.22972711437971743</v>
      </c>
      <c r="L1216" s="5">
        <v>8.5155796400232242E-3</v>
      </c>
    </row>
    <row r="1217" spans="7:12">
      <c r="G1217" t="s">
        <v>1788</v>
      </c>
      <c r="H1217" t="s">
        <v>95</v>
      </c>
      <c r="I1217" t="s">
        <v>134</v>
      </c>
      <c r="J1217" s="4">
        <v>11189</v>
      </c>
      <c r="K1217" s="5">
        <v>0.22968987398337654</v>
      </c>
      <c r="L1217" s="5">
        <v>1.3942264724282777E-2</v>
      </c>
    </row>
    <row r="1218" spans="7:12">
      <c r="G1218" t="s">
        <v>1789</v>
      </c>
      <c r="H1218" t="s">
        <v>414</v>
      </c>
      <c r="I1218" t="s">
        <v>131</v>
      </c>
      <c r="J1218" s="4">
        <v>3135</v>
      </c>
      <c r="K1218" s="5">
        <v>0.22966507177033493</v>
      </c>
      <c r="L1218" s="5">
        <v>6.0606060606060606E-3</v>
      </c>
    </row>
    <row r="1219" spans="7:12">
      <c r="G1219" t="s">
        <v>1790</v>
      </c>
      <c r="H1219" t="s">
        <v>121</v>
      </c>
      <c r="I1219" t="s">
        <v>224</v>
      </c>
      <c r="J1219" s="4">
        <v>5295</v>
      </c>
      <c r="K1219" s="5">
        <v>0.22965061378659113</v>
      </c>
      <c r="L1219" s="5">
        <v>1.3408876298394712E-2</v>
      </c>
    </row>
    <row r="1220" spans="7:12">
      <c r="G1220" t="s">
        <v>1791</v>
      </c>
      <c r="H1220" t="s">
        <v>288</v>
      </c>
      <c r="I1220" t="s">
        <v>100</v>
      </c>
      <c r="J1220" s="4">
        <v>3519</v>
      </c>
      <c r="K1220" s="5">
        <v>0.2296106848536516</v>
      </c>
      <c r="L1220" s="5">
        <v>1.4492753623188406E-2</v>
      </c>
    </row>
    <row r="1221" spans="7:12">
      <c r="G1221" t="s">
        <v>1792</v>
      </c>
      <c r="H1221" t="s">
        <v>231</v>
      </c>
      <c r="I1221" t="s">
        <v>89</v>
      </c>
      <c r="J1221" s="4">
        <v>1189</v>
      </c>
      <c r="K1221" s="5">
        <v>0.22960470984020184</v>
      </c>
      <c r="L1221" s="5">
        <v>2.1867115222876366E-2</v>
      </c>
    </row>
    <row r="1222" spans="7:12">
      <c r="G1222" t="s">
        <v>1793</v>
      </c>
      <c r="H1222" t="s">
        <v>377</v>
      </c>
      <c r="I1222" t="s">
        <v>118</v>
      </c>
      <c r="J1222" s="4">
        <v>17127</v>
      </c>
      <c r="K1222" s="5">
        <v>0.22957902726688853</v>
      </c>
      <c r="L1222" s="5">
        <v>1.3253926548724237E-2</v>
      </c>
    </row>
    <row r="1223" spans="7:12">
      <c r="G1223" t="s">
        <v>1794</v>
      </c>
      <c r="H1223" t="s">
        <v>204</v>
      </c>
      <c r="I1223" t="s">
        <v>459</v>
      </c>
      <c r="J1223" s="4">
        <v>2509</v>
      </c>
      <c r="K1223" s="5">
        <v>0.22957353527301713</v>
      </c>
      <c r="L1223" s="5">
        <v>3.1885213232363492E-2</v>
      </c>
    </row>
    <row r="1224" spans="7:12">
      <c r="G1224" t="s">
        <v>1795</v>
      </c>
      <c r="H1224" t="s">
        <v>331</v>
      </c>
      <c r="I1224" t="s">
        <v>356</v>
      </c>
      <c r="J1224" s="4">
        <v>1211</v>
      </c>
      <c r="K1224" s="5">
        <v>0.22956234516928159</v>
      </c>
      <c r="L1224" s="5">
        <v>9.9091659785301399E-3</v>
      </c>
    </row>
    <row r="1225" spans="7:12">
      <c r="G1225" t="s">
        <v>1796</v>
      </c>
      <c r="H1225" t="s">
        <v>162</v>
      </c>
      <c r="I1225" t="s">
        <v>131</v>
      </c>
      <c r="J1225" s="4">
        <v>4884</v>
      </c>
      <c r="K1225" s="5">
        <v>0.22952497952497952</v>
      </c>
      <c r="L1225" s="5">
        <v>6.3472563472563468E-3</v>
      </c>
    </row>
    <row r="1226" spans="7:12">
      <c r="G1226" t="s">
        <v>1797</v>
      </c>
      <c r="H1226" t="s">
        <v>162</v>
      </c>
      <c r="I1226" t="s">
        <v>136</v>
      </c>
      <c r="J1226" s="4">
        <v>4074</v>
      </c>
      <c r="K1226" s="5">
        <v>0.22950417280314186</v>
      </c>
      <c r="L1226" s="5">
        <v>1.3745704467353952E-2</v>
      </c>
    </row>
    <row r="1227" spans="7:12">
      <c r="G1227" t="s">
        <v>1798</v>
      </c>
      <c r="H1227" t="s">
        <v>362</v>
      </c>
      <c r="I1227" t="s">
        <v>215</v>
      </c>
      <c r="J1227" s="4">
        <v>2462</v>
      </c>
      <c r="K1227" s="5">
        <v>0.22948822095857027</v>
      </c>
      <c r="L1227" s="5">
        <v>1.2997562956945572E-2</v>
      </c>
    </row>
    <row r="1228" spans="7:12">
      <c r="G1228" t="s">
        <v>1799</v>
      </c>
      <c r="H1228" t="s">
        <v>326</v>
      </c>
      <c r="I1228" t="s">
        <v>131</v>
      </c>
      <c r="J1228" s="4">
        <v>20407</v>
      </c>
      <c r="K1228" s="5">
        <v>0.22943107757142156</v>
      </c>
      <c r="L1228" s="5">
        <v>8.9185083549762345E-3</v>
      </c>
    </row>
    <row r="1229" spans="7:12">
      <c r="G1229" t="s">
        <v>1800</v>
      </c>
      <c r="H1229" t="s">
        <v>140</v>
      </c>
      <c r="I1229" t="s">
        <v>288</v>
      </c>
      <c r="J1229" s="4">
        <v>2315</v>
      </c>
      <c r="K1229" s="5">
        <v>0.22937365010799135</v>
      </c>
      <c r="L1229" s="5">
        <v>4.1900647948164144E-2</v>
      </c>
    </row>
    <row r="1230" spans="7:12">
      <c r="G1230" t="s">
        <v>1801</v>
      </c>
      <c r="H1230" t="s">
        <v>136</v>
      </c>
      <c r="I1230" t="s">
        <v>388</v>
      </c>
      <c r="J1230" s="4">
        <v>1818</v>
      </c>
      <c r="K1230" s="5">
        <v>0.22937293729372937</v>
      </c>
      <c r="L1230" s="5">
        <v>9.9009900990099011E-3</v>
      </c>
    </row>
    <row r="1231" spans="7:12">
      <c r="G1231" t="s">
        <v>1802</v>
      </c>
      <c r="H1231" t="s">
        <v>1102</v>
      </c>
      <c r="I1231" t="s">
        <v>118</v>
      </c>
      <c r="J1231" s="4">
        <v>1090</v>
      </c>
      <c r="K1231" s="5">
        <v>0.22935779816513763</v>
      </c>
      <c r="L1231" s="5">
        <v>1.4678899082568808E-2</v>
      </c>
    </row>
    <row r="1232" spans="7:12">
      <c r="G1232" t="s">
        <v>1803</v>
      </c>
      <c r="H1232" t="s">
        <v>322</v>
      </c>
      <c r="I1232" t="s">
        <v>189</v>
      </c>
      <c r="J1232" s="4">
        <v>4103</v>
      </c>
      <c r="K1232" s="5">
        <v>0.22934438215939557</v>
      </c>
      <c r="L1232" s="5">
        <v>7.7991713380453328E-3</v>
      </c>
    </row>
    <row r="1233" spans="7:12">
      <c r="G1233" t="s">
        <v>1804</v>
      </c>
      <c r="H1233" t="s">
        <v>202</v>
      </c>
      <c r="I1233" t="s">
        <v>388</v>
      </c>
      <c r="J1233" s="4">
        <v>1256</v>
      </c>
      <c r="K1233" s="5">
        <v>0.22929936305732485</v>
      </c>
      <c r="L1233" s="5">
        <v>9.5541401273885346E-3</v>
      </c>
    </row>
    <row r="1234" spans="7:12">
      <c r="G1234" t="s">
        <v>1805</v>
      </c>
      <c r="H1234" t="s">
        <v>410</v>
      </c>
      <c r="I1234" t="s">
        <v>100</v>
      </c>
      <c r="J1234" s="4">
        <v>5609</v>
      </c>
      <c r="K1234" s="5">
        <v>0.22927438045997503</v>
      </c>
      <c r="L1234" s="5">
        <v>1.4975931538598681E-2</v>
      </c>
    </row>
    <row r="1235" spans="7:12">
      <c r="G1235" t="s">
        <v>1806</v>
      </c>
      <c r="H1235" t="s">
        <v>160</v>
      </c>
      <c r="I1235" t="s">
        <v>252</v>
      </c>
      <c r="J1235" s="4">
        <v>1239</v>
      </c>
      <c r="K1235" s="5">
        <v>0.22921711057304278</v>
      </c>
      <c r="L1235" s="5">
        <v>7.2639225181598066E-3</v>
      </c>
    </row>
    <row r="1236" spans="7:12">
      <c r="G1236" t="s">
        <v>1807</v>
      </c>
      <c r="H1236" t="s">
        <v>136</v>
      </c>
      <c r="I1236" t="s">
        <v>252</v>
      </c>
      <c r="J1236" s="4">
        <v>3259</v>
      </c>
      <c r="K1236" s="5">
        <v>0.22921141454433874</v>
      </c>
      <c r="L1236" s="5">
        <v>1.2887388769561215E-2</v>
      </c>
    </row>
    <row r="1237" spans="7:12">
      <c r="G1237" t="s">
        <v>1808</v>
      </c>
      <c r="H1237" t="s">
        <v>100</v>
      </c>
      <c r="I1237" t="s">
        <v>342</v>
      </c>
      <c r="J1237" s="4">
        <v>8032</v>
      </c>
      <c r="K1237" s="5">
        <v>0.22920816733067728</v>
      </c>
      <c r="L1237" s="5">
        <v>1.245019920318725E-2</v>
      </c>
    </row>
    <row r="1238" spans="7:12">
      <c r="G1238" t="s">
        <v>1809</v>
      </c>
      <c r="H1238" t="s">
        <v>204</v>
      </c>
      <c r="I1238" t="s">
        <v>329</v>
      </c>
      <c r="J1238" s="4">
        <v>3617</v>
      </c>
      <c r="K1238" s="5">
        <v>0.22919546585568151</v>
      </c>
      <c r="L1238" s="5">
        <v>2.8753110312413604E-2</v>
      </c>
    </row>
    <row r="1239" spans="7:12">
      <c r="G1239" t="s">
        <v>1810</v>
      </c>
      <c r="H1239" t="s">
        <v>240</v>
      </c>
      <c r="I1239" t="s">
        <v>118</v>
      </c>
      <c r="J1239" s="4">
        <v>6172</v>
      </c>
      <c r="K1239" s="5">
        <v>0.22909915748541801</v>
      </c>
      <c r="L1239" s="5">
        <v>1.2151652624756967E-2</v>
      </c>
    </row>
    <row r="1240" spans="7:12">
      <c r="G1240" t="s">
        <v>1811</v>
      </c>
      <c r="H1240" t="s">
        <v>218</v>
      </c>
      <c r="I1240" t="s">
        <v>189</v>
      </c>
      <c r="J1240" s="4">
        <v>13027</v>
      </c>
      <c r="K1240" s="5">
        <v>0.22906271589775082</v>
      </c>
      <c r="L1240" s="5">
        <v>9.3651646580179635E-3</v>
      </c>
    </row>
    <row r="1241" spans="7:12">
      <c r="G1241" t="s">
        <v>1812</v>
      </c>
      <c r="H1241" t="s">
        <v>103</v>
      </c>
      <c r="I1241" t="s">
        <v>228</v>
      </c>
      <c r="J1241" s="4">
        <v>7972</v>
      </c>
      <c r="K1241" s="5">
        <v>0.22905168088309083</v>
      </c>
      <c r="L1241" s="5">
        <v>6.2719518314099344E-3</v>
      </c>
    </row>
    <row r="1242" spans="7:12">
      <c r="G1242" t="s">
        <v>1813</v>
      </c>
      <c r="H1242" t="s">
        <v>160</v>
      </c>
      <c r="I1242" t="s">
        <v>461</v>
      </c>
      <c r="J1242" s="4">
        <v>2052</v>
      </c>
      <c r="K1242" s="5">
        <v>0.22904483430799219</v>
      </c>
      <c r="L1242" s="5">
        <v>1.023391812865497E-2</v>
      </c>
    </row>
    <row r="1243" spans="7:12">
      <c r="G1243" t="s">
        <v>1814</v>
      </c>
      <c r="H1243" t="s">
        <v>218</v>
      </c>
      <c r="I1243" t="s">
        <v>495</v>
      </c>
      <c r="J1243" s="4">
        <v>1109</v>
      </c>
      <c r="K1243" s="5">
        <v>0.22903516681695221</v>
      </c>
      <c r="L1243" s="5">
        <v>9.0171325518485117E-4</v>
      </c>
    </row>
    <row r="1244" spans="7:12">
      <c r="G1244" t="s">
        <v>1815</v>
      </c>
      <c r="H1244" t="s">
        <v>254</v>
      </c>
      <c r="I1244" t="s">
        <v>360</v>
      </c>
      <c r="J1244" s="4">
        <v>1227</v>
      </c>
      <c r="K1244" s="5">
        <v>0.22901385493072535</v>
      </c>
      <c r="L1244" s="5">
        <v>1.2224938875305624E-2</v>
      </c>
    </row>
    <row r="1245" spans="7:12">
      <c r="G1245" t="s">
        <v>1816</v>
      </c>
      <c r="H1245" t="s">
        <v>228</v>
      </c>
      <c r="I1245" t="s">
        <v>103</v>
      </c>
      <c r="J1245" s="4">
        <v>7975</v>
      </c>
      <c r="K1245" s="5">
        <v>0.22896551724137931</v>
      </c>
      <c r="L1245" s="5">
        <v>8.0250783699059563E-3</v>
      </c>
    </row>
    <row r="1246" spans="7:12">
      <c r="G1246" t="s">
        <v>1817</v>
      </c>
      <c r="H1246" t="s">
        <v>134</v>
      </c>
      <c r="I1246" t="s">
        <v>346</v>
      </c>
      <c r="J1246" s="4">
        <v>5320</v>
      </c>
      <c r="K1246" s="5">
        <v>0.22894736842105262</v>
      </c>
      <c r="L1246" s="5">
        <v>8.6466165413533833E-3</v>
      </c>
    </row>
    <row r="1247" spans="7:12">
      <c r="G1247" t="s">
        <v>1818</v>
      </c>
      <c r="H1247" t="s">
        <v>414</v>
      </c>
      <c r="I1247" t="s">
        <v>80</v>
      </c>
      <c r="J1247" s="4">
        <v>3093</v>
      </c>
      <c r="K1247" s="5">
        <v>0.22890397672162949</v>
      </c>
      <c r="L1247" s="5">
        <v>8.4060782411897825E-3</v>
      </c>
    </row>
    <row r="1248" spans="7:12">
      <c r="G1248" t="s">
        <v>1819</v>
      </c>
      <c r="H1248" t="s">
        <v>352</v>
      </c>
      <c r="I1248" t="s">
        <v>182</v>
      </c>
      <c r="J1248" s="4">
        <v>1481</v>
      </c>
      <c r="K1248" s="5">
        <v>0.22889939230249831</v>
      </c>
      <c r="L1248" s="5">
        <v>4.0513166779203242E-3</v>
      </c>
    </row>
    <row r="1249" spans="7:12">
      <c r="G1249" t="s">
        <v>1820</v>
      </c>
      <c r="H1249" t="s">
        <v>204</v>
      </c>
      <c r="I1249" t="s">
        <v>426</v>
      </c>
      <c r="J1249" s="4">
        <v>3469</v>
      </c>
      <c r="K1249" s="5">
        <v>0.2288844047275872</v>
      </c>
      <c r="L1249" s="5">
        <v>2.3349668492360909E-2</v>
      </c>
    </row>
    <row r="1250" spans="7:12">
      <c r="G1250" t="s">
        <v>1821</v>
      </c>
      <c r="H1250" t="s">
        <v>215</v>
      </c>
      <c r="I1250" t="s">
        <v>418</v>
      </c>
      <c r="J1250" s="4">
        <v>4649</v>
      </c>
      <c r="K1250" s="5">
        <v>0.2288664228866423</v>
      </c>
      <c r="L1250" s="5">
        <v>1.5702301570230157E-2</v>
      </c>
    </row>
    <row r="1251" spans="7:12">
      <c r="G1251" t="s">
        <v>1822</v>
      </c>
      <c r="H1251" t="s">
        <v>377</v>
      </c>
      <c r="I1251" t="s">
        <v>162</v>
      </c>
      <c r="J1251" s="4">
        <v>6315</v>
      </c>
      <c r="K1251" s="5">
        <v>0.2288202692003167</v>
      </c>
      <c r="L1251" s="5">
        <v>6.6508313539192397E-3</v>
      </c>
    </row>
    <row r="1252" spans="7:12">
      <c r="G1252" t="s">
        <v>1823</v>
      </c>
      <c r="H1252" t="s">
        <v>118</v>
      </c>
      <c r="I1252" t="s">
        <v>1824</v>
      </c>
      <c r="J1252" s="4">
        <v>1499</v>
      </c>
      <c r="K1252" s="5">
        <v>0.22881921280853904</v>
      </c>
      <c r="L1252" s="5">
        <v>2.2014676450967312E-2</v>
      </c>
    </row>
    <row r="1253" spans="7:12">
      <c r="G1253" t="s">
        <v>1825</v>
      </c>
      <c r="H1253" t="s">
        <v>240</v>
      </c>
      <c r="I1253" t="s">
        <v>121</v>
      </c>
      <c r="J1253" s="4">
        <v>1530</v>
      </c>
      <c r="K1253" s="5">
        <v>0.22875816993464052</v>
      </c>
      <c r="L1253" s="5">
        <v>1.4379084967320261E-2</v>
      </c>
    </row>
    <row r="1254" spans="7:12">
      <c r="G1254" t="s">
        <v>1826</v>
      </c>
      <c r="H1254" t="s">
        <v>137</v>
      </c>
      <c r="I1254" t="s">
        <v>453</v>
      </c>
      <c r="J1254" s="4">
        <v>1482</v>
      </c>
      <c r="K1254" s="5">
        <v>0.22874493927125505</v>
      </c>
      <c r="L1254" s="5">
        <v>2.0242914979757085E-2</v>
      </c>
    </row>
    <row r="1255" spans="7:12">
      <c r="G1255" t="s">
        <v>1827</v>
      </c>
      <c r="H1255" t="s">
        <v>202</v>
      </c>
      <c r="I1255" t="s">
        <v>105</v>
      </c>
      <c r="J1255" s="4">
        <v>4656</v>
      </c>
      <c r="K1255" s="5">
        <v>0.22873711340206185</v>
      </c>
      <c r="L1255" s="5">
        <v>1.1383161512027491E-2</v>
      </c>
    </row>
    <row r="1256" spans="7:12">
      <c r="G1256" t="s">
        <v>1828</v>
      </c>
      <c r="H1256" t="s">
        <v>134</v>
      </c>
      <c r="I1256" t="s">
        <v>204</v>
      </c>
      <c r="J1256" s="4">
        <v>6895</v>
      </c>
      <c r="K1256" s="5">
        <v>0.22871646120377084</v>
      </c>
      <c r="L1256" s="5">
        <v>1.4358230601885425E-2</v>
      </c>
    </row>
    <row r="1257" spans="7:12">
      <c r="G1257" t="s">
        <v>1829</v>
      </c>
      <c r="H1257" t="s">
        <v>140</v>
      </c>
      <c r="I1257" t="s">
        <v>254</v>
      </c>
      <c r="J1257" s="4">
        <v>6266</v>
      </c>
      <c r="K1257" s="5">
        <v>0.22869454197255026</v>
      </c>
      <c r="L1257" s="5">
        <v>2.1864028088094477E-2</v>
      </c>
    </row>
    <row r="1258" spans="7:12">
      <c r="G1258" t="s">
        <v>1830</v>
      </c>
      <c r="H1258" t="s">
        <v>160</v>
      </c>
      <c r="I1258" t="s">
        <v>390</v>
      </c>
      <c r="J1258" s="4">
        <v>1102</v>
      </c>
      <c r="K1258" s="5">
        <v>0.22867513611615245</v>
      </c>
      <c r="L1258" s="5">
        <v>1.0889292196007259E-2</v>
      </c>
    </row>
    <row r="1259" spans="7:12">
      <c r="G1259" t="s">
        <v>1831</v>
      </c>
      <c r="H1259" t="s">
        <v>100</v>
      </c>
      <c r="I1259" t="s">
        <v>146</v>
      </c>
      <c r="J1259" s="4">
        <v>3468</v>
      </c>
      <c r="K1259" s="5">
        <v>0.22866205305651671</v>
      </c>
      <c r="L1259" s="5">
        <v>1.7877739331026529E-2</v>
      </c>
    </row>
    <row r="1260" spans="7:12">
      <c r="G1260" t="s">
        <v>1832</v>
      </c>
      <c r="H1260" t="s">
        <v>202</v>
      </c>
      <c r="I1260" t="s">
        <v>140</v>
      </c>
      <c r="J1260" s="4">
        <v>8809</v>
      </c>
      <c r="K1260" s="5">
        <v>0.22862981042116018</v>
      </c>
      <c r="L1260" s="5">
        <v>2.8266545578385743E-2</v>
      </c>
    </row>
    <row r="1261" spans="7:12">
      <c r="G1261" t="s">
        <v>1833</v>
      </c>
      <c r="H1261" t="s">
        <v>118</v>
      </c>
      <c r="I1261" t="s">
        <v>346</v>
      </c>
      <c r="J1261" s="4">
        <v>5333</v>
      </c>
      <c r="K1261" s="5">
        <v>0.22857678604912807</v>
      </c>
      <c r="L1261" s="5">
        <v>9.0005625351584472E-3</v>
      </c>
    </row>
    <row r="1262" spans="7:12">
      <c r="G1262" t="s">
        <v>1834</v>
      </c>
      <c r="H1262" t="s">
        <v>202</v>
      </c>
      <c r="I1262" t="s">
        <v>233</v>
      </c>
      <c r="J1262" s="4">
        <v>7019</v>
      </c>
      <c r="K1262" s="5">
        <v>0.22852258156432539</v>
      </c>
      <c r="L1262" s="5">
        <v>1.5101866362729734E-2</v>
      </c>
    </row>
    <row r="1263" spans="7:12">
      <c r="G1263" t="s">
        <v>1835</v>
      </c>
      <c r="H1263" t="s">
        <v>252</v>
      </c>
      <c r="I1263" t="s">
        <v>89</v>
      </c>
      <c r="J1263" s="4">
        <v>6425</v>
      </c>
      <c r="K1263" s="5">
        <v>0.22848249027237355</v>
      </c>
      <c r="L1263" s="5">
        <v>1.8832684824902725E-2</v>
      </c>
    </row>
    <row r="1264" spans="7:12">
      <c r="G1264" t="s">
        <v>1836</v>
      </c>
      <c r="H1264" t="s">
        <v>182</v>
      </c>
      <c r="I1264" t="s">
        <v>434</v>
      </c>
      <c r="J1264" s="4">
        <v>1882</v>
      </c>
      <c r="K1264" s="5">
        <v>0.22848034006376194</v>
      </c>
      <c r="L1264" s="5">
        <v>8.5015940488841653E-3</v>
      </c>
    </row>
    <row r="1265" spans="7:12">
      <c r="G1265" t="s">
        <v>1837</v>
      </c>
      <c r="H1265" t="s">
        <v>118</v>
      </c>
      <c r="I1265" t="s">
        <v>103</v>
      </c>
      <c r="J1265" s="4">
        <v>19083</v>
      </c>
      <c r="K1265" s="5">
        <v>0.22847560656081328</v>
      </c>
      <c r="L1265" s="5">
        <v>1.2000209610648221E-2</v>
      </c>
    </row>
    <row r="1266" spans="7:12">
      <c r="G1266" t="s">
        <v>1838</v>
      </c>
      <c r="H1266" t="s">
        <v>140</v>
      </c>
      <c r="I1266" t="s">
        <v>89</v>
      </c>
      <c r="J1266" s="4">
        <v>10789</v>
      </c>
      <c r="K1266" s="5">
        <v>0.22847344517564186</v>
      </c>
      <c r="L1266" s="5">
        <v>2.5766984892019649E-2</v>
      </c>
    </row>
    <row r="1267" spans="7:12">
      <c r="G1267" t="s">
        <v>1839</v>
      </c>
      <c r="H1267" t="s">
        <v>204</v>
      </c>
      <c r="I1267" t="s">
        <v>288</v>
      </c>
      <c r="J1267" s="4">
        <v>3489</v>
      </c>
      <c r="K1267" s="5">
        <v>0.2284322155345371</v>
      </c>
      <c r="L1267" s="5">
        <v>3.840642017770135E-2</v>
      </c>
    </row>
    <row r="1268" spans="7:12">
      <c r="G1268" t="s">
        <v>1840</v>
      </c>
      <c r="H1268" t="s">
        <v>118</v>
      </c>
      <c r="I1268" t="s">
        <v>85</v>
      </c>
      <c r="J1268" s="4">
        <v>12816</v>
      </c>
      <c r="K1268" s="5">
        <v>0.2283863920099875</v>
      </c>
      <c r="L1268" s="5">
        <v>1.0611735330836454E-2</v>
      </c>
    </row>
    <row r="1269" spans="7:12">
      <c r="G1269" t="s">
        <v>1841</v>
      </c>
      <c r="H1269" t="s">
        <v>136</v>
      </c>
      <c r="I1269" t="s">
        <v>331</v>
      </c>
      <c r="J1269" s="4">
        <v>2347</v>
      </c>
      <c r="K1269" s="5">
        <v>0.22837665104388583</v>
      </c>
      <c r="L1269" s="5">
        <v>8.0954409884959524E-3</v>
      </c>
    </row>
    <row r="1270" spans="7:12">
      <c r="G1270" t="s">
        <v>1842</v>
      </c>
      <c r="H1270" t="s">
        <v>118</v>
      </c>
      <c r="I1270" t="s">
        <v>370</v>
      </c>
      <c r="J1270" s="4">
        <v>20455</v>
      </c>
      <c r="K1270" s="5">
        <v>0.2283549254461012</v>
      </c>
      <c r="L1270" s="5">
        <v>1.1293082375947202E-2</v>
      </c>
    </row>
    <row r="1271" spans="7:12">
      <c r="G1271" t="s">
        <v>1843</v>
      </c>
      <c r="H1271" t="s">
        <v>301</v>
      </c>
      <c r="I1271" t="s">
        <v>100</v>
      </c>
      <c r="J1271" s="4">
        <v>3372</v>
      </c>
      <c r="K1271" s="5">
        <v>0.22835112692763937</v>
      </c>
      <c r="L1271" s="5">
        <v>9.7864768683274019E-3</v>
      </c>
    </row>
    <row r="1272" spans="7:12">
      <c r="G1272" t="s">
        <v>1844</v>
      </c>
      <c r="H1272" t="s">
        <v>152</v>
      </c>
      <c r="I1272" t="s">
        <v>118</v>
      </c>
      <c r="J1272" s="4">
        <v>2256</v>
      </c>
      <c r="K1272" s="5">
        <v>0.22828014184397163</v>
      </c>
      <c r="L1272" s="5">
        <v>2.2606382978723406E-2</v>
      </c>
    </row>
    <row r="1273" spans="7:12">
      <c r="G1273" t="s">
        <v>1845</v>
      </c>
      <c r="H1273" t="s">
        <v>231</v>
      </c>
      <c r="I1273" t="s">
        <v>204</v>
      </c>
      <c r="J1273" s="4">
        <v>1069</v>
      </c>
      <c r="K1273" s="5">
        <v>0.22825070159027128</v>
      </c>
      <c r="L1273" s="5">
        <v>3.7418147801683815E-2</v>
      </c>
    </row>
    <row r="1274" spans="7:12">
      <c r="G1274" t="s">
        <v>1846</v>
      </c>
      <c r="H1274" t="s">
        <v>392</v>
      </c>
      <c r="I1274" t="s">
        <v>95</v>
      </c>
      <c r="J1274" s="4">
        <v>2423</v>
      </c>
      <c r="K1274" s="5">
        <v>0.2282294676021461</v>
      </c>
      <c r="L1274" s="5">
        <v>1.4857614527445316E-2</v>
      </c>
    </row>
    <row r="1275" spans="7:12">
      <c r="G1275" t="s">
        <v>1847</v>
      </c>
      <c r="H1275" t="s">
        <v>182</v>
      </c>
      <c r="I1275" t="s">
        <v>398</v>
      </c>
      <c r="J1275" s="4">
        <v>10755</v>
      </c>
      <c r="K1275" s="5">
        <v>0.22817294281729428</v>
      </c>
      <c r="L1275" s="5">
        <v>1.1715481171548118E-2</v>
      </c>
    </row>
    <row r="1276" spans="7:12">
      <c r="G1276" t="s">
        <v>1848</v>
      </c>
      <c r="H1276" t="s">
        <v>326</v>
      </c>
      <c r="I1276" t="s">
        <v>182</v>
      </c>
      <c r="J1276" s="4">
        <v>16724</v>
      </c>
      <c r="K1276" s="5">
        <v>0.22811528342501794</v>
      </c>
      <c r="L1276" s="5">
        <v>9.0887347524515674E-3</v>
      </c>
    </row>
    <row r="1277" spans="7:12">
      <c r="G1277" t="s">
        <v>1849</v>
      </c>
      <c r="H1277" t="s">
        <v>118</v>
      </c>
      <c r="I1277" t="s">
        <v>1645</v>
      </c>
      <c r="J1277" s="4">
        <v>1004</v>
      </c>
      <c r="K1277" s="5">
        <v>0.22808764940239043</v>
      </c>
      <c r="L1277" s="5">
        <v>1.9920318725099601E-2</v>
      </c>
    </row>
    <row r="1278" spans="7:12">
      <c r="G1278" t="s">
        <v>1850</v>
      </c>
      <c r="H1278" t="s">
        <v>118</v>
      </c>
      <c r="I1278" t="s">
        <v>144</v>
      </c>
      <c r="J1278" s="4">
        <v>3131</v>
      </c>
      <c r="K1278" s="5">
        <v>0.22804215905461514</v>
      </c>
      <c r="L1278" s="5">
        <v>1.8205046311082721E-2</v>
      </c>
    </row>
    <row r="1279" spans="7:12">
      <c r="G1279" t="s">
        <v>1851</v>
      </c>
      <c r="H1279" t="s">
        <v>134</v>
      </c>
      <c r="I1279" t="s">
        <v>103</v>
      </c>
      <c r="J1279" s="4">
        <v>14665</v>
      </c>
      <c r="K1279" s="5">
        <v>0.22802591203545858</v>
      </c>
      <c r="L1279" s="5">
        <v>1.1728605523354927E-2</v>
      </c>
    </row>
    <row r="1280" spans="7:12">
      <c r="G1280" t="s">
        <v>1852</v>
      </c>
      <c r="H1280" t="s">
        <v>269</v>
      </c>
      <c r="I1280" t="s">
        <v>115</v>
      </c>
      <c r="J1280" s="4">
        <v>1149</v>
      </c>
      <c r="K1280" s="5">
        <v>0.22802436901653611</v>
      </c>
      <c r="L1280" s="5">
        <v>4.3516100957354219E-3</v>
      </c>
    </row>
    <row r="1281" spans="7:12">
      <c r="G1281" t="s">
        <v>1853</v>
      </c>
      <c r="H1281" t="s">
        <v>282</v>
      </c>
      <c r="I1281" t="s">
        <v>149</v>
      </c>
      <c r="J1281" s="4">
        <v>5153</v>
      </c>
      <c r="K1281" s="5">
        <v>0.22802251115854841</v>
      </c>
      <c r="L1281" s="5">
        <v>2.8915195032020183E-2</v>
      </c>
    </row>
    <row r="1282" spans="7:12">
      <c r="G1282" t="s">
        <v>1854</v>
      </c>
      <c r="H1282" t="s">
        <v>136</v>
      </c>
      <c r="I1282" t="s">
        <v>204</v>
      </c>
      <c r="J1282" s="4">
        <v>6330</v>
      </c>
      <c r="K1282" s="5">
        <v>0.22796208530805687</v>
      </c>
      <c r="L1282" s="5">
        <v>1.7061611374407582E-2</v>
      </c>
    </row>
    <row r="1283" spans="7:12">
      <c r="G1283" t="s">
        <v>1855</v>
      </c>
      <c r="H1283" t="s">
        <v>100</v>
      </c>
      <c r="I1283" t="s">
        <v>453</v>
      </c>
      <c r="J1283" s="4">
        <v>7870</v>
      </c>
      <c r="K1283" s="5">
        <v>0.22795425667090216</v>
      </c>
      <c r="L1283" s="5">
        <v>1.0546378653113088E-2</v>
      </c>
    </row>
    <row r="1284" spans="7:12">
      <c r="G1284" t="s">
        <v>1856</v>
      </c>
      <c r="H1284" t="s">
        <v>103</v>
      </c>
      <c r="I1284" t="s">
        <v>412</v>
      </c>
      <c r="J1284" s="4">
        <v>4362</v>
      </c>
      <c r="K1284" s="5">
        <v>0.22787712058688675</v>
      </c>
      <c r="L1284" s="5">
        <v>3.2095369096744614E-3</v>
      </c>
    </row>
    <row r="1285" spans="7:12">
      <c r="G1285" t="s">
        <v>1857</v>
      </c>
      <c r="H1285" t="s">
        <v>331</v>
      </c>
      <c r="I1285" t="s">
        <v>118</v>
      </c>
      <c r="J1285" s="4">
        <v>9256</v>
      </c>
      <c r="K1285" s="5">
        <v>0.22785220397579947</v>
      </c>
      <c r="L1285" s="5">
        <v>1.5557476231633534E-2</v>
      </c>
    </row>
    <row r="1286" spans="7:12">
      <c r="G1286" t="s">
        <v>1858</v>
      </c>
      <c r="H1286" t="s">
        <v>118</v>
      </c>
      <c r="I1286" t="s">
        <v>160</v>
      </c>
      <c r="J1286" s="4">
        <v>3542</v>
      </c>
      <c r="K1286" s="5">
        <v>0.22783738001129306</v>
      </c>
      <c r="L1286" s="5">
        <v>1.9762845849802372E-2</v>
      </c>
    </row>
    <row r="1287" spans="7:12">
      <c r="G1287" t="s">
        <v>1859</v>
      </c>
      <c r="H1287" t="s">
        <v>236</v>
      </c>
      <c r="I1287" t="s">
        <v>406</v>
      </c>
      <c r="J1287" s="4">
        <v>2322</v>
      </c>
      <c r="K1287" s="5">
        <v>0.22782084409991388</v>
      </c>
      <c r="L1287" s="5">
        <v>8.6132644272179162E-3</v>
      </c>
    </row>
    <row r="1288" spans="7:12">
      <c r="G1288" t="s">
        <v>1860</v>
      </c>
      <c r="H1288" t="s">
        <v>115</v>
      </c>
      <c r="I1288" t="s">
        <v>392</v>
      </c>
      <c r="J1288" s="4">
        <v>4855</v>
      </c>
      <c r="K1288" s="5">
        <v>0.22780638516992791</v>
      </c>
      <c r="L1288" s="5">
        <v>1.0092687950566427E-2</v>
      </c>
    </row>
    <row r="1289" spans="7:12">
      <c r="G1289" t="s">
        <v>1861</v>
      </c>
      <c r="H1289" t="s">
        <v>160</v>
      </c>
      <c r="I1289" t="s">
        <v>131</v>
      </c>
      <c r="J1289" s="4">
        <v>8718</v>
      </c>
      <c r="K1289" s="5">
        <v>0.2278045423262216</v>
      </c>
      <c r="L1289" s="5">
        <v>1.2732278045423262E-2</v>
      </c>
    </row>
    <row r="1290" spans="7:12">
      <c r="G1290" t="s">
        <v>1862</v>
      </c>
      <c r="H1290" t="s">
        <v>140</v>
      </c>
      <c r="I1290" t="s">
        <v>252</v>
      </c>
      <c r="J1290" s="4">
        <v>7305</v>
      </c>
      <c r="K1290" s="5">
        <v>0.22778918548939084</v>
      </c>
      <c r="L1290" s="5">
        <v>2.5051334702258728E-2</v>
      </c>
    </row>
    <row r="1291" spans="7:12">
      <c r="G1291" t="s">
        <v>1863</v>
      </c>
      <c r="H1291" t="s">
        <v>366</v>
      </c>
      <c r="I1291" t="s">
        <v>118</v>
      </c>
      <c r="J1291" s="4">
        <v>7371</v>
      </c>
      <c r="K1291" s="5">
        <v>0.22778456111789444</v>
      </c>
      <c r="L1291" s="5">
        <v>2.2249355582688916E-2</v>
      </c>
    </row>
    <row r="1292" spans="7:12">
      <c r="G1292" t="s">
        <v>1864</v>
      </c>
      <c r="H1292" t="s">
        <v>461</v>
      </c>
      <c r="I1292" t="s">
        <v>89</v>
      </c>
      <c r="J1292" s="4">
        <v>11396</v>
      </c>
      <c r="K1292" s="5">
        <v>0.22771147771147771</v>
      </c>
      <c r="L1292" s="5">
        <v>1.5970515970515971E-2</v>
      </c>
    </row>
    <row r="1293" spans="7:12">
      <c r="G1293" t="s">
        <v>1865</v>
      </c>
      <c r="H1293" t="s">
        <v>131</v>
      </c>
      <c r="I1293" t="s">
        <v>412</v>
      </c>
      <c r="J1293" s="4">
        <v>5372</v>
      </c>
      <c r="K1293" s="5">
        <v>0.22766195085629187</v>
      </c>
      <c r="L1293" s="5">
        <v>4.6537602382725239E-3</v>
      </c>
    </row>
    <row r="1294" spans="7:12">
      <c r="G1294" t="s">
        <v>1866</v>
      </c>
      <c r="H1294" t="s">
        <v>118</v>
      </c>
      <c r="I1294" t="s">
        <v>497</v>
      </c>
      <c r="J1294" s="4">
        <v>2873</v>
      </c>
      <c r="K1294" s="5">
        <v>0.22763661677688826</v>
      </c>
      <c r="L1294" s="5">
        <v>6.9613644274277757E-3</v>
      </c>
    </row>
    <row r="1295" spans="7:12">
      <c r="G1295" t="s">
        <v>1867</v>
      </c>
      <c r="H1295" t="s">
        <v>202</v>
      </c>
      <c r="I1295" t="s">
        <v>204</v>
      </c>
      <c r="J1295" s="4">
        <v>6437</v>
      </c>
      <c r="K1295" s="5">
        <v>0.2275904924654342</v>
      </c>
      <c r="L1295" s="5">
        <v>1.9574335870747243E-2</v>
      </c>
    </row>
    <row r="1296" spans="7:12">
      <c r="G1296" t="s">
        <v>1868</v>
      </c>
      <c r="H1296" t="s">
        <v>233</v>
      </c>
      <c r="I1296" t="s">
        <v>358</v>
      </c>
      <c r="J1296" s="4">
        <v>2465</v>
      </c>
      <c r="K1296" s="5">
        <v>0.22758620689655173</v>
      </c>
      <c r="L1296" s="5">
        <v>6.4908722109533468E-3</v>
      </c>
    </row>
    <row r="1297" spans="7:12">
      <c r="G1297" t="s">
        <v>1869</v>
      </c>
      <c r="H1297" t="s">
        <v>240</v>
      </c>
      <c r="I1297" t="s">
        <v>204</v>
      </c>
      <c r="J1297" s="4">
        <v>5748</v>
      </c>
      <c r="K1297" s="5">
        <v>0.22755741127348644</v>
      </c>
      <c r="L1297" s="5">
        <v>3.3228949199721643E-2</v>
      </c>
    </row>
    <row r="1298" spans="7:12">
      <c r="G1298" t="s">
        <v>1870</v>
      </c>
      <c r="H1298" t="s">
        <v>218</v>
      </c>
      <c r="I1298" t="s">
        <v>319</v>
      </c>
      <c r="J1298" s="4">
        <v>3033</v>
      </c>
      <c r="K1298" s="5">
        <v>0.22749752720079131</v>
      </c>
      <c r="L1298" s="5">
        <v>1.1539729640619849E-2</v>
      </c>
    </row>
    <row r="1299" spans="7:12">
      <c r="G1299" t="s">
        <v>1871</v>
      </c>
      <c r="H1299" t="s">
        <v>131</v>
      </c>
      <c r="I1299" t="s">
        <v>416</v>
      </c>
      <c r="J1299" s="4">
        <v>6669</v>
      </c>
      <c r="K1299" s="5">
        <v>0.22747038536512221</v>
      </c>
      <c r="L1299" s="5">
        <v>7.9472184735342628E-3</v>
      </c>
    </row>
    <row r="1300" spans="7:12">
      <c r="G1300" t="s">
        <v>1872</v>
      </c>
      <c r="H1300" t="s">
        <v>103</v>
      </c>
      <c r="I1300" t="s">
        <v>336</v>
      </c>
      <c r="J1300" s="4">
        <v>1187</v>
      </c>
      <c r="K1300" s="5">
        <v>0.22746419545071608</v>
      </c>
      <c r="L1300" s="5">
        <v>5.8972198820556026E-3</v>
      </c>
    </row>
    <row r="1301" spans="7:12">
      <c r="G1301" t="s">
        <v>1873</v>
      </c>
      <c r="H1301" t="s">
        <v>162</v>
      </c>
      <c r="I1301" t="s">
        <v>288</v>
      </c>
      <c r="J1301" s="4">
        <v>3003</v>
      </c>
      <c r="K1301" s="5">
        <v>0.22743922743922743</v>
      </c>
      <c r="L1301" s="5">
        <v>1.5651015651015652E-2</v>
      </c>
    </row>
    <row r="1302" spans="7:12">
      <c r="G1302" t="s">
        <v>1874</v>
      </c>
      <c r="H1302" t="s">
        <v>118</v>
      </c>
      <c r="I1302" t="s">
        <v>115</v>
      </c>
      <c r="J1302" s="4">
        <v>8202</v>
      </c>
      <c r="K1302" s="5">
        <v>0.22738356498415022</v>
      </c>
      <c r="L1302" s="5">
        <v>1.4386734942696903E-2</v>
      </c>
    </row>
    <row r="1303" spans="7:12">
      <c r="G1303" t="s">
        <v>1875</v>
      </c>
      <c r="H1303" t="s">
        <v>254</v>
      </c>
      <c r="I1303" t="s">
        <v>414</v>
      </c>
      <c r="J1303" s="4">
        <v>1909</v>
      </c>
      <c r="K1303" s="5">
        <v>0.22734415924567836</v>
      </c>
      <c r="L1303" s="5">
        <v>7.3336825563122057E-3</v>
      </c>
    </row>
    <row r="1304" spans="7:12">
      <c r="G1304" t="s">
        <v>1876</v>
      </c>
      <c r="H1304" t="s">
        <v>204</v>
      </c>
      <c r="I1304" t="s">
        <v>259</v>
      </c>
      <c r="J1304" s="4">
        <v>14772</v>
      </c>
      <c r="K1304" s="5">
        <v>0.22732196046574601</v>
      </c>
      <c r="L1304" s="5">
        <v>3.3441646357974544E-2</v>
      </c>
    </row>
    <row r="1305" spans="7:12">
      <c r="G1305" t="s">
        <v>1877</v>
      </c>
      <c r="H1305" t="s">
        <v>103</v>
      </c>
      <c r="I1305" t="s">
        <v>400</v>
      </c>
      <c r="J1305" s="4">
        <v>3428</v>
      </c>
      <c r="K1305" s="5">
        <v>0.22724620770128354</v>
      </c>
      <c r="L1305" s="5">
        <v>1.0793465577596266E-2</v>
      </c>
    </row>
    <row r="1306" spans="7:12">
      <c r="G1306" t="s">
        <v>1878</v>
      </c>
      <c r="H1306" t="s">
        <v>204</v>
      </c>
      <c r="I1306" t="s">
        <v>388</v>
      </c>
      <c r="J1306" s="4">
        <v>3010</v>
      </c>
      <c r="K1306" s="5">
        <v>0.22724252491694352</v>
      </c>
      <c r="L1306" s="5">
        <v>2.9568106312292359E-2</v>
      </c>
    </row>
    <row r="1307" spans="7:12">
      <c r="G1307" t="s">
        <v>1879</v>
      </c>
      <c r="H1307" t="s">
        <v>202</v>
      </c>
      <c r="I1307" t="s">
        <v>259</v>
      </c>
      <c r="J1307" s="4">
        <v>8032</v>
      </c>
      <c r="K1307" s="5">
        <v>0.22721613545816732</v>
      </c>
      <c r="L1307" s="5">
        <v>2.2161354581673308E-2</v>
      </c>
    </row>
    <row r="1308" spans="7:12">
      <c r="G1308" t="s">
        <v>1880</v>
      </c>
      <c r="H1308" t="s">
        <v>103</v>
      </c>
      <c r="I1308" t="s">
        <v>250</v>
      </c>
      <c r="J1308" s="4">
        <v>2104</v>
      </c>
      <c r="K1308" s="5">
        <v>0.22718631178707224</v>
      </c>
      <c r="L1308" s="5">
        <v>9.0304182509505695E-3</v>
      </c>
    </row>
    <row r="1309" spans="7:12">
      <c r="G1309" t="s">
        <v>1881</v>
      </c>
      <c r="H1309" t="s">
        <v>118</v>
      </c>
      <c r="I1309" t="s">
        <v>293</v>
      </c>
      <c r="J1309" s="4">
        <v>4120</v>
      </c>
      <c r="K1309" s="5">
        <v>0.22718446601941747</v>
      </c>
      <c r="L1309" s="5">
        <v>1.0194174757281554E-2</v>
      </c>
    </row>
    <row r="1310" spans="7:12">
      <c r="G1310" t="s">
        <v>1882</v>
      </c>
      <c r="H1310" t="s">
        <v>311</v>
      </c>
      <c r="I1310" t="s">
        <v>118</v>
      </c>
      <c r="J1310" s="4">
        <v>5379</v>
      </c>
      <c r="K1310" s="5">
        <v>0.22717977319204313</v>
      </c>
      <c r="L1310" s="5">
        <v>1.5430377393567578E-2</v>
      </c>
    </row>
    <row r="1311" spans="7:12">
      <c r="G1311" t="s">
        <v>1883</v>
      </c>
      <c r="H1311" t="s">
        <v>410</v>
      </c>
      <c r="I1311" t="s">
        <v>162</v>
      </c>
      <c r="J1311" s="4">
        <v>2136</v>
      </c>
      <c r="K1311" s="5">
        <v>0.22705992509363296</v>
      </c>
      <c r="L1311" s="5">
        <v>1.8258426966292134E-2</v>
      </c>
    </row>
    <row r="1312" spans="7:12">
      <c r="G1312" t="s">
        <v>1884</v>
      </c>
      <c r="H1312" t="s">
        <v>137</v>
      </c>
      <c r="I1312" t="s">
        <v>422</v>
      </c>
      <c r="J1312" s="4">
        <v>4510</v>
      </c>
      <c r="K1312" s="5">
        <v>0.2270509977827051</v>
      </c>
      <c r="L1312" s="5">
        <v>1.9068736141906874E-2</v>
      </c>
    </row>
    <row r="1313" spans="7:12">
      <c r="G1313" t="s">
        <v>1885</v>
      </c>
      <c r="H1313" t="s">
        <v>160</v>
      </c>
      <c r="I1313" t="s">
        <v>408</v>
      </c>
      <c r="J1313" s="4">
        <v>2084</v>
      </c>
      <c r="K1313" s="5">
        <v>0.22696737044145873</v>
      </c>
      <c r="L1313" s="5">
        <v>1.199616122840691E-2</v>
      </c>
    </row>
    <row r="1314" spans="7:12">
      <c r="G1314" t="s">
        <v>1886</v>
      </c>
      <c r="H1314" t="s">
        <v>103</v>
      </c>
      <c r="I1314" t="s">
        <v>266</v>
      </c>
      <c r="J1314" s="4">
        <v>4829</v>
      </c>
      <c r="K1314" s="5">
        <v>0.22696210395527025</v>
      </c>
      <c r="L1314" s="5">
        <v>1.5945330296127564E-2</v>
      </c>
    </row>
    <row r="1315" spans="7:12">
      <c r="G1315" t="s">
        <v>1887</v>
      </c>
      <c r="H1315" t="s">
        <v>221</v>
      </c>
      <c r="I1315" t="s">
        <v>416</v>
      </c>
      <c r="J1315" s="4">
        <v>1181</v>
      </c>
      <c r="K1315" s="5">
        <v>0.22692633361558001</v>
      </c>
      <c r="L1315" s="5">
        <v>2.5402201524132089E-3</v>
      </c>
    </row>
    <row r="1316" spans="7:12">
      <c r="G1316" t="s">
        <v>1888</v>
      </c>
      <c r="H1316" t="s">
        <v>346</v>
      </c>
      <c r="I1316" t="s">
        <v>95</v>
      </c>
      <c r="J1316" s="4">
        <v>5363</v>
      </c>
      <c r="K1316" s="5">
        <v>0.22692522841693083</v>
      </c>
      <c r="L1316" s="5">
        <v>1.0628379638262167E-2</v>
      </c>
    </row>
    <row r="1317" spans="7:12">
      <c r="G1317" t="s">
        <v>1889</v>
      </c>
      <c r="H1317" t="s">
        <v>238</v>
      </c>
      <c r="I1317" t="s">
        <v>89</v>
      </c>
      <c r="J1317" s="4">
        <v>5954</v>
      </c>
      <c r="K1317" s="5">
        <v>0.22690628149143433</v>
      </c>
      <c r="L1317" s="5">
        <v>2.7208599261001009E-2</v>
      </c>
    </row>
    <row r="1318" spans="7:12">
      <c r="G1318" t="s">
        <v>1890</v>
      </c>
      <c r="H1318" t="s">
        <v>349</v>
      </c>
      <c r="I1318" t="s">
        <v>89</v>
      </c>
      <c r="J1318" s="4">
        <v>7705</v>
      </c>
      <c r="K1318" s="5">
        <v>0.22686567164179106</v>
      </c>
      <c r="L1318" s="5">
        <v>2.946138870863076E-2</v>
      </c>
    </row>
    <row r="1319" spans="7:12">
      <c r="G1319" t="s">
        <v>1891</v>
      </c>
      <c r="H1319" t="s">
        <v>160</v>
      </c>
      <c r="I1319" t="s">
        <v>291</v>
      </c>
      <c r="J1319" s="4">
        <v>2756</v>
      </c>
      <c r="K1319" s="5">
        <v>0.22677793904208998</v>
      </c>
      <c r="L1319" s="5">
        <v>7.9825834542815669E-3</v>
      </c>
    </row>
    <row r="1320" spans="7:12">
      <c r="G1320" t="s">
        <v>1892</v>
      </c>
      <c r="H1320" t="s">
        <v>236</v>
      </c>
      <c r="I1320" t="s">
        <v>254</v>
      </c>
      <c r="J1320" s="4">
        <v>2630</v>
      </c>
      <c r="K1320" s="5">
        <v>0.22661596958174904</v>
      </c>
      <c r="L1320" s="5">
        <v>1.1026615969581748E-2</v>
      </c>
    </row>
    <row r="1321" spans="7:12">
      <c r="G1321" t="s">
        <v>1893</v>
      </c>
      <c r="H1321" t="s">
        <v>470</v>
      </c>
      <c r="I1321" t="s">
        <v>118</v>
      </c>
      <c r="J1321" s="4">
        <v>1077</v>
      </c>
      <c r="K1321" s="5">
        <v>0.2265552460538533</v>
      </c>
      <c r="L1321" s="5">
        <v>1.7641597028783658E-2</v>
      </c>
    </row>
    <row r="1322" spans="7:12">
      <c r="G1322" t="s">
        <v>1894</v>
      </c>
      <c r="H1322" t="s">
        <v>259</v>
      </c>
      <c r="I1322" t="s">
        <v>263</v>
      </c>
      <c r="J1322" s="4">
        <v>1439</v>
      </c>
      <c r="K1322" s="5">
        <v>0.226546212647672</v>
      </c>
      <c r="L1322" s="5">
        <v>3.683113273106324E-2</v>
      </c>
    </row>
    <row r="1323" spans="7:12">
      <c r="G1323" t="s">
        <v>1895</v>
      </c>
      <c r="H1323" t="s">
        <v>202</v>
      </c>
      <c r="I1323" t="s">
        <v>160</v>
      </c>
      <c r="J1323" s="4">
        <v>4049</v>
      </c>
      <c r="K1323" s="5">
        <v>0.22647567300568042</v>
      </c>
      <c r="L1323" s="5">
        <v>1.9757964929612251E-2</v>
      </c>
    </row>
    <row r="1324" spans="7:12">
      <c r="G1324" t="s">
        <v>1896</v>
      </c>
      <c r="H1324" t="s">
        <v>118</v>
      </c>
      <c r="I1324" t="s">
        <v>331</v>
      </c>
      <c r="J1324" s="4">
        <v>9463</v>
      </c>
      <c r="K1324" s="5">
        <v>0.22646095318609322</v>
      </c>
      <c r="L1324" s="5">
        <v>1.4477438444467928E-2</v>
      </c>
    </row>
    <row r="1325" spans="7:12">
      <c r="G1325" t="s">
        <v>1897</v>
      </c>
      <c r="H1325" t="s">
        <v>215</v>
      </c>
      <c r="I1325" t="s">
        <v>352</v>
      </c>
      <c r="J1325" s="4">
        <v>3440</v>
      </c>
      <c r="K1325" s="5">
        <v>0.22645348837209303</v>
      </c>
      <c r="L1325" s="5">
        <v>9.3023255813953487E-3</v>
      </c>
    </row>
    <row r="1326" spans="7:12">
      <c r="G1326" t="s">
        <v>1898</v>
      </c>
      <c r="H1326" t="s">
        <v>182</v>
      </c>
      <c r="I1326" t="s">
        <v>362</v>
      </c>
      <c r="J1326" s="4">
        <v>2769</v>
      </c>
      <c r="K1326" s="5">
        <v>0.22643553629469124</v>
      </c>
      <c r="L1326" s="5">
        <v>1.2639942217407007E-2</v>
      </c>
    </row>
    <row r="1327" spans="7:12">
      <c r="G1327" t="s">
        <v>1899</v>
      </c>
      <c r="H1327" t="s">
        <v>140</v>
      </c>
      <c r="I1327" t="s">
        <v>100</v>
      </c>
      <c r="J1327" s="4">
        <v>11599</v>
      </c>
      <c r="K1327" s="5">
        <v>0.22631261315630657</v>
      </c>
      <c r="L1327" s="5">
        <v>2.5260798344684886E-2</v>
      </c>
    </row>
    <row r="1328" spans="7:12">
      <c r="G1328" t="s">
        <v>1900</v>
      </c>
      <c r="H1328" t="s">
        <v>434</v>
      </c>
      <c r="I1328" t="s">
        <v>418</v>
      </c>
      <c r="J1328" s="4">
        <v>1034</v>
      </c>
      <c r="K1328" s="5">
        <v>0.22630560928433269</v>
      </c>
      <c r="L1328" s="5">
        <v>5.8027079303675051E-3</v>
      </c>
    </row>
    <row r="1329" spans="7:12">
      <c r="G1329" t="s">
        <v>1901</v>
      </c>
      <c r="H1329" t="s">
        <v>233</v>
      </c>
      <c r="I1329" t="s">
        <v>137</v>
      </c>
      <c r="J1329" s="4">
        <v>8286</v>
      </c>
      <c r="K1329" s="5">
        <v>0.22628530050687906</v>
      </c>
      <c r="L1329" s="5">
        <v>1.3637460777214578E-2</v>
      </c>
    </row>
    <row r="1330" spans="7:12">
      <c r="G1330" t="s">
        <v>1902</v>
      </c>
      <c r="H1330" t="s">
        <v>131</v>
      </c>
      <c r="I1330" t="s">
        <v>525</v>
      </c>
      <c r="J1330" s="4">
        <v>1096</v>
      </c>
      <c r="K1330" s="5">
        <v>0.22627737226277372</v>
      </c>
      <c r="L1330" s="5">
        <v>0</v>
      </c>
    </row>
    <row r="1331" spans="7:12">
      <c r="G1331" t="s">
        <v>1903</v>
      </c>
      <c r="H1331" t="s">
        <v>259</v>
      </c>
      <c r="I1331" t="s">
        <v>118</v>
      </c>
      <c r="J1331" s="4">
        <v>32439</v>
      </c>
      <c r="K1331" s="5">
        <v>0.22627084682018558</v>
      </c>
      <c r="L1331" s="5">
        <v>2.5401522858287864E-2</v>
      </c>
    </row>
    <row r="1332" spans="7:12">
      <c r="G1332" t="s">
        <v>1904</v>
      </c>
      <c r="H1332" t="s">
        <v>137</v>
      </c>
      <c r="I1332" t="s">
        <v>162</v>
      </c>
      <c r="J1332" s="4">
        <v>14831</v>
      </c>
      <c r="K1332" s="5">
        <v>0.22621535971950643</v>
      </c>
      <c r="L1332" s="5">
        <v>1.8609668936686669E-2</v>
      </c>
    </row>
    <row r="1333" spans="7:12">
      <c r="G1333" t="s">
        <v>1905</v>
      </c>
      <c r="H1333" t="s">
        <v>105</v>
      </c>
      <c r="I1333" t="s">
        <v>85</v>
      </c>
      <c r="J1333" s="4">
        <v>8298</v>
      </c>
      <c r="K1333" s="5">
        <v>0.22619908411665463</v>
      </c>
      <c r="L1333" s="5">
        <v>6.8691250903832246E-3</v>
      </c>
    </row>
    <row r="1334" spans="7:12">
      <c r="G1334" t="s">
        <v>1906</v>
      </c>
      <c r="H1334" t="s">
        <v>89</v>
      </c>
      <c r="I1334" t="s">
        <v>395</v>
      </c>
      <c r="J1334" s="4">
        <v>1614</v>
      </c>
      <c r="K1334" s="5">
        <v>0.22614622057001238</v>
      </c>
      <c r="L1334" s="5">
        <v>1.6728624535315983E-2</v>
      </c>
    </row>
    <row r="1335" spans="7:12">
      <c r="G1335" t="s">
        <v>1907</v>
      </c>
      <c r="H1335" t="s">
        <v>1908</v>
      </c>
      <c r="I1335" t="s">
        <v>103</v>
      </c>
      <c r="J1335" s="4">
        <v>2189</v>
      </c>
      <c r="K1335" s="5">
        <v>0.22613065326633167</v>
      </c>
      <c r="L1335" s="5">
        <v>1.1420740063956145E-2</v>
      </c>
    </row>
    <row r="1336" spans="7:12">
      <c r="G1336" t="s">
        <v>1909</v>
      </c>
      <c r="H1336" t="s">
        <v>162</v>
      </c>
      <c r="I1336" t="s">
        <v>252</v>
      </c>
      <c r="J1336" s="4">
        <v>8964</v>
      </c>
      <c r="K1336" s="5">
        <v>0.22612672913877732</v>
      </c>
      <c r="L1336" s="5">
        <v>1.5394912985274432E-2</v>
      </c>
    </row>
    <row r="1337" spans="7:12">
      <c r="G1337" t="s">
        <v>1910</v>
      </c>
      <c r="H1337" t="s">
        <v>420</v>
      </c>
      <c r="I1337" t="s">
        <v>204</v>
      </c>
      <c r="J1337" s="4">
        <v>3180</v>
      </c>
      <c r="K1337" s="5">
        <v>0.22610062893081762</v>
      </c>
      <c r="L1337" s="5">
        <v>3.7735849056603772E-2</v>
      </c>
    </row>
    <row r="1338" spans="7:12">
      <c r="G1338" t="s">
        <v>1911</v>
      </c>
      <c r="H1338" t="s">
        <v>131</v>
      </c>
      <c r="I1338" t="s">
        <v>414</v>
      </c>
      <c r="J1338" s="4">
        <v>3127</v>
      </c>
      <c r="K1338" s="5">
        <v>0.22609529900863448</v>
      </c>
      <c r="L1338" s="5">
        <v>4.1573393028461782E-3</v>
      </c>
    </row>
    <row r="1339" spans="7:12">
      <c r="G1339" t="s">
        <v>1912</v>
      </c>
      <c r="H1339" t="s">
        <v>160</v>
      </c>
      <c r="I1339" t="s">
        <v>115</v>
      </c>
      <c r="J1339" s="4">
        <v>5436</v>
      </c>
      <c r="K1339" s="5">
        <v>0.22608535688005887</v>
      </c>
      <c r="L1339" s="5">
        <v>1.5636497424576894E-2</v>
      </c>
    </row>
    <row r="1340" spans="7:12">
      <c r="G1340" t="s">
        <v>1913</v>
      </c>
      <c r="H1340" t="s">
        <v>118</v>
      </c>
      <c r="I1340" t="s">
        <v>453</v>
      </c>
      <c r="J1340" s="4">
        <v>4061</v>
      </c>
      <c r="K1340" s="5">
        <v>0.22605269638020192</v>
      </c>
      <c r="L1340" s="5">
        <v>1.699088894360995E-2</v>
      </c>
    </row>
    <row r="1341" spans="7:12">
      <c r="G1341" t="s">
        <v>1914</v>
      </c>
      <c r="H1341" t="s">
        <v>131</v>
      </c>
      <c r="I1341" t="s">
        <v>236</v>
      </c>
      <c r="J1341" s="4">
        <v>6158</v>
      </c>
      <c r="K1341" s="5">
        <v>0.22604741799285483</v>
      </c>
      <c r="L1341" s="5">
        <v>7.1451770055212735E-3</v>
      </c>
    </row>
    <row r="1342" spans="7:12">
      <c r="G1342" t="s">
        <v>1915</v>
      </c>
      <c r="H1342" t="s">
        <v>218</v>
      </c>
      <c r="I1342" t="s">
        <v>297</v>
      </c>
      <c r="J1342" s="4">
        <v>7712</v>
      </c>
      <c r="K1342" s="5">
        <v>0.22601141078838174</v>
      </c>
      <c r="L1342" s="5">
        <v>9.7251037344398342E-3</v>
      </c>
    </row>
    <row r="1343" spans="7:12">
      <c r="G1343" t="s">
        <v>1916</v>
      </c>
      <c r="H1343" t="s">
        <v>118</v>
      </c>
      <c r="I1343" t="s">
        <v>100</v>
      </c>
      <c r="J1343" s="4">
        <v>13084</v>
      </c>
      <c r="K1343" s="5">
        <v>0.22600122286762458</v>
      </c>
      <c r="L1343" s="5">
        <v>1.0088657902782024E-2</v>
      </c>
    </row>
    <row r="1344" spans="7:12">
      <c r="G1344" t="s">
        <v>1917</v>
      </c>
      <c r="H1344" t="s">
        <v>408</v>
      </c>
      <c r="I1344" t="s">
        <v>100</v>
      </c>
      <c r="J1344" s="4">
        <v>5571</v>
      </c>
      <c r="K1344" s="5">
        <v>0.22599174295458624</v>
      </c>
      <c r="L1344" s="5">
        <v>1.1847065158858373E-2</v>
      </c>
    </row>
    <row r="1345" spans="7:12">
      <c r="G1345" t="s">
        <v>1918</v>
      </c>
      <c r="H1345" t="s">
        <v>100</v>
      </c>
      <c r="I1345" t="s">
        <v>380</v>
      </c>
      <c r="J1345" s="4">
        <v>2425</v>
      </c>
      <c r="K1345" s="5">
        <v>0.22597938144329896</v>
      </c>
      <c r="L1345" s="5">
        <v>1.4845360824742268E-2</v>
      </c>
    </row>
    <row r="1346" spans="7:12">
      <c r="G1346" t="s">
        <v>1919</v>
      </c>
      <c r="H1346" t="s">
        <v>236</v>
      </c>
      <c r="I1346" t="s">
        <v>352</v>
      </c>
      <c r="J1346" s="4">
        <v>3222</v>
      </c>
      <c r="K1346" s="5">
        <v>0.22594661700806953</v>
      </c>
      <c r="L1346" s="5">
        <v>7.4487895716945996E-3</v>
      </c>
    </row>
    <row r="1347" spans="7:12">
      <c r="G1347" t="s">
        <v>1920</v>
      </c>
      <c r="H1347" t="s">
        <v>402</v>
      </c>
      <c r="I1347" t="s">
        <v>80</v>
      </c>
      <c r="J1347" s="4">
        <v>1642</v>
      </c>
      <c r="K1347" s="5">
        <v>0.22594397076735689</v>
      </c>
      <c r="L1347" s="5">
        <v>1.4616321559074299E-2</v>
      </c>
    </row>
    <row r="1348" spans="7:12">
      <c r="G1348" t="s">
        <v>1921</v>
      </c>
      <c r="H1348" t="s">
        <v>398</v>
      </c>
      <c r="I1348" t="s">
        <v>182</v>
      </c>
      <c r="J1348" s="4">
        <v>10641</v>
      </c>
      <c r="K1348" s="5">
        <v>0.22591861667136548</v>
      </c>
      <c r="L1348" s="5">
        <v>1.127713560755568E-2</v>
      </c>
    </row>
    <row r="1349" spans="7:12">
      <c r="G1349" t="s">
        <v>1922</v>
      </c>
      <c r="H1349" t="s">
        <v>204</v>
      </c>
      <c r="I1349" t="s">
        <v>202</v>
      </c>
      <c r="J1349" s="4">
        <v>6432</v>
      </c>
      <c r="K1349" s="5">
        <v>0.22590174129353233</v>
      </c>
      <c r="L1349" s="5">
        <v>1.9123134328358209E-2</v>
      </c>
    </row>
    <row r="1350" spans="7:12">
      <c r="G1350" t="s">
        <v>1923</v>
      </c>
      <c r="H1350" t="s">
        <v>218</v>
      </c>
      <c r="I1350" t="s">
        <v>293</v>
      </c>
      <c r="J1350" s="4">
        <v>3055</v>
      </c>
      <c r="K1350" s="5">
        <v>0.22585924713584288</v>
      </c>
      <c r="L1350" s="5">
        <v>1.1129296235679214E-2</v>
      </c>
    </row>
    <row r="1351" spans="7:12">
      <c r="G1351" t="s">
        <v>1924</v>
      </c>
      <c r="H1351" t="s">
        <v>377</v>
      </c>
      <c r="I1351" t="s">
        <v>123</v>
      </c>
      <c r="J1351" s="4">
        <v>1094</v>
      </c>
      <c r="K1351" s="5">
        <v>0.22577696526508226</v>
      </c>
      <c r="L1351" s="5">
        <v>1.0968921389396709E-2</v>
      </c>
    </row>
    <row r="1352" spans="7:12">
      <c r="G1352" t="s">
        <v>1925</v>
      </c>
      <c r="H1352" t="s">
        <v>160</v>
      </c>
      <c r="I1352" t="s">
        <v>136</v>
      </c>
      <c r="J1352" s="4">
        <v>6821</v>
      </c>
      <c r="K1352" s="5">
        <v>0.22577334701656648</v>
      </c>
      <c r="L1352" s="5">
        <v>1.729951619997068E-2</v>
      </c>
    </row>
    <row r="1353" spans="7:12">
      <c r="G1353" t="s">
        <v>1926</v>
      </c>
      <c r="H1353" t="s">
        <v>226</v>
      </c>
      <c r="I1353" t="s">
        <v>326</v>
      </c>
      <c r="J1353" s="4">
        <v>13852</v>
      </c>
      <c r="K1353" s="5">
        <v>0.22574357493502742</v>
      </c>
      <c r="L1353" s="5">
        <v>5.8475310424487437E-3</v>
      </c>
    </row>
    <row r="1354" spans="7:12">
      <c r="G1354" t="s">
        <v>1927</v>
      </c>
      <c r="H1354" t="s">
        <v>331</v>
      </c>
      <c r="I1354" t="s">
        <v>131</v>
      </c>
      <c r="J1354" s="4">
        <v>2215</v>
      </c>
      <c r="K1354" s="5">
        <v>0.22573363431151242</v>
      </c>
      <c r="L1354" s="5">
        <v>9.0293453724604959E-3</v>
      </c>
    </row>
    <row r="1355" spans="7:12">
      <c r="G1355" t="s">
        <v>1928</v>
      </c>
      <c r="H1355" t="s">
        <v>175</v>
      </c>
      <c r="I1355" t="s">
        <v>103</v>
      </c>
      <c r="J1355" s="4">
        <v>3779</v>
      </c>
      <c r="K1355" s="5">
        <v>0.22572109023551204</v>
      </c>
      <c r="L1355" s="5">
        <v>1.8523418893887273E-2</v>
      </c>
    </row>
    <row r="1356" spans="7:12">
      <c r="G1356" t="s">
        <v>1929</v>
      </c>
      <c r="H1356" t="s">
        <v>204</v>
      </c>
      <c r="I1356" t="s">
        <v>392</v>
      </c>
      <c r="J1356" s="4">
        <v>3531</v>
      </c>
      <c r="K1356" s="5">
        <v>0.22571509487397337</v>
      </c>
      <c r="L1356" s="5">
        <v>4.1631265930331354E-2</v>
      </c>
    </row>
    <row r="1357" spans="7:12">
      <c r="G1357" t="s">
        <v>1930</v>
      </c>
      <c r="H1357" t="s">
        <v>218</v>
      </c>
      <c r="I1357" t="s">
        <v>221</v>
      </c>
      <c r="J1357" s="4">
        <v>13526</v>
      </c>
      <c r="K1357" s="5">
        <v>0.22571344078071862</v>
      </c>
      <c r="L1357" s="5">
        <v>1.1237616442407216E-2</v>
      </c>
    </row>
    <row r="1358" spans="7:12">
      <c r="G1358" t="s">
        <v>1931</v>
      </c>
      <c r="H1358" t="s">
        <v>142</v>
      </c>
      <c r="I1358" t="s">
        <v>89</v>
      </c>
      <c r="J1358" s="4">
        <v>2344</v>
      </c>
      <c r="K1358" s="5">
        <v>0.22568259385665529</v>
      </c>
      <c r="L1358" s="5">
        <v>1.6638225255972697E-2</v>
      </c>
    </row>
    <row r="1359" spans="7:12">
      <c r="G1359" t="s">
        <v>1932</v>
      </c>
      <c r="H1359" t="s">
        <v>252</v>
      </c>
      <c r="I1359" t="s">
        <v>95</v>
      </c>
      <c r="J1359" s="4">
        <v>8149</v>
      </c>
      <c r="K1359" s="5">
        <v>0.22567186157810773</v>
      </c>
      <c r="L1359" s="5">
        <v>1.583016321020984E-2</v>
      </c>
    </row>
    <row r="1360" spans="7:12">
      <c r="G1360" t="s">
        <v>1933</v>
      </c>
      <c r="H1360" t="s">
        <v>245</v>
      </c>
      <c r="I1360" t="s">
        <v>118</v>
      </c>
      <c r="J1360" s="4">
        <v>6257</v>
      </c>
      <c r="K1360" s="5">
        <v>0.22566725267700175</v>
      </c>
      <c r="L1360" s="5">
        <v>2.3174045069522135E-2</v>
      </c>
    </row>
    <row r="1361" spans="7:12">
      <c r="G1361" t="s">
        <v>1934</v>
      </c>
      <c r="H1361" t="s">
        <v>103</v>
      </c>
      <c r="I1361" t="s">
        <v>248</v>
      </c>
      <c r="J1361" s="4">
        <v>6466</v>
      </c>
      <c r="K1361" s="5">
        <v>0.22564181874420045</v>
      </c>
      <c r="L1361" s="5">
        <v>1.7785338694710794E-2</v>
      </c>
    </row>
    <row r="1362" spans="7:12">
      <c r="G1362" t="s">
        <v>1935</v>
      </c>
      <c r="H1362" t="s">
        <v>189</v>
      </c>
      <c r="I1362" t="s">
        <v>489</v>
      </c>
      <c r="J1362" s="4">
        <v>3980</v>
      </c>
      <c r="K1362" s="5">
        <v>0.22562814070351758</v>
      </c>
      <c r="L1362" s="5">
        <v>4.522613065326633E-3</v>
      </c>
    </row>
    <row r="1363" spans="7:12">
      <c r="G1363" t="s">
        <v>1936</v>
      </c>
      <c r="H1363" t="s">
        <v>406</v>
      </c>
      <c r="I1363" t="s">
        <v>160</v>
      </c>
      <c r="J1363" s="4">
        <v>1277</v>
      </c>
      <c r="K1363" s="5">
        <v>0.2255285826155051</v>
      </c>
      <c r="L1363" s="5">
        <v>1.0963194988253719E-2</v>
      </c>
    </row>
    <row r="1364" spans="7:12">
      <c r="G1364" t="s">
        <v>1937</v>
      </c>
      <c r="H1364" t="s">
        <v>182</v>
      </c>
      <c r="I1364" t="s">
        <v>155</v>
      </c>
      <c r="J1364" s="4">
        <v>2053</v>
      </c>
      <c r="K1364" s="5">
        <v>0.22552362396492937</v>
      </c>
      <c r="L1364" s="5">
        <v>1.8509498295177788E-2</v>
      </c>
    </row>
    <row r="1365" spans="7:12">
      <c r="G1365" t="s">
        <v>1938</v>
      </c>
      <c r="H1365" t="s">
        <v>118</v>
      </c>
      <c r="I1365" t="s">
        <v>434</v>
      </c>
      <c r="J1365" s="4">
        <v>2794</v>
      </c>
      <c r="K1365" s="5">
        <v>0.22548317823908376</v>
      </c>
      <c r="L1365" s="5">
        <v>7.1581961345740875E-3</v>
      </c>
    </row>
    <row r="1366" spans="7:12">
      <c r="G1366" t="s">
        <v>1939</v>
      </c>
      <c r="H1366" t="s">
        <v>204</v>
      </c>
      <c r="I1366" t="s">
        <v>449</v>
      </c>
      <c r="J1366" s="4">
        <v>1091</v>
      </c>
      <c r="K1366" s="5">
        <v>0.22548120989917506</v>
      </c>
      <c r="L1366" s="5">
        <v>6.416131989000917E-3</v>
      </c>
    </row>
    <row r="1367" spans="7:12">
      <c r="G1367" t="s">
        <v>1940</v>
      </c>
      <c r="H1367" t="s">
        <v>259</v>
      </c>
      <c r="I1367" t="s">
        <v>160</v>
      </c>
      <c r="J1367" s="4">
        <v>4138</v>
      </c>
      <c r="K1367" s="5">
        <v>0.22547124214596423</v>
      </c>
      <c r="L1367" s="5">
        <v>2.1749637506041565E-2</v>
      </c>
    </row>
    <row r="1368" spans="7:12">
      <c r="G1368" t="s">
        <v>1941</v>
      </c>
      <c r="H1368" t="s">
        <v>118</v>
      </c>
      <c r="I1368" t="s">
        <v>224</v>
      </c>
      <c r="J1368" s="4">
        <v>3934</v>
      </c>
      <c r="K1368" s="5">
        <v>0.22547025927808845</v>
      </c>
      <c r="L1368" s="5">
        <v>1.652262328418912E-2</v>
      </c>
    </row>
    <row r="1369" spans="7:12">
      <c r="G1369" t="s">
        <v>1942</v>
      </c>
      <c r="H1369" t="s">
        <v>197</v>
      </c>
      <c r="I1369" t="s">
        <v>118</v>
      </c>
      <c r="J1369" s="4">
        <v>4187</v>
      </c>
      <c r="K1369" s="5">
        <v>0.22545975638882254</v>
      </c>
      <c r="L1369" s="5">
        <v>2.3166945306902317E-2</v>
      </c>
    </row>
    <row r="1370" spans="7:12">
      <c r="G1370" t="s">
        <v>1943</v>
      </c>
      <c r="H1370" t="s">
        <v>131</v>
      </c>
      <c r="I1370" t="s">
        <v>515</v>
      </c>
      <c r="J1370" s="4">
        <v>1096</v>
      </c>
      <c r="K1370" s="5">
        <v>0.22536496350364962</v>
      </c>
      <c r="L1370" s="5">
        <v>0</v>
      </c>
    </row>
    <row r="1371" spans="7:12">
      <c r="G1371" t="s">
        <v>1944</v>
      </c>
      <c r="H1371" t="s">
        <v>115</v>
      </c>
      <c r="I1371" t="s">
        <v>453</v>
      </c>
      <c r="J1371" s="4">
        <v>1651</v>
      </c>
      <c r="K1371" s="5">
        <v>0.22531798909751666</v>
      </c>
      <c r="L1371" s="5">
        <v>5.4512416717141131E-3</v>
      </c>
    </row>
    <row r="1372" spans="7:12">
      <c r="G1372" t="s">
        <v>1945</v>
      </c>
      <c r="H1372" t="s">
        <v>160</v>
      </c>
      <c r="I1372" t="s">
        <v>360</v>
      </c>
      <c r="J1372" s="4">
        <v>1185</v>
      </c>
      <c r="K1372" s="5">
        <v>0.22531645569620254</v>
      </c>
      <c r="L1372" s="5">
        <v>1.1814345991561181E-2</v>
      </c>
    </row>
    <row r="1373" spans="7:12">
      <c r="G1373" t="s">
        <v>1946</v>
      </c>
      <c r="H1373" t="s">
        <v>103</v>
      </c>
      <c r="I1373" t="s">
        <v>92</v>
      </c>
      <c r="J1373" s="4">
        <v>4501</v>
      </c>
      <c r="K1373" s="5">
        <v>0.22528327038435902</v>
      </c>
      <c r="L1373" s="5">
        <v>1.510775383248167E-2</v>
      </c>
    </row>
    <row r="1374" spans="7:12">
      <c r="G1374" t="s">
        <v>1947</v>
      </c>
      <c r="H1374" t="s">
        <v>160</v>
      </c>
      <c r="I1374" t="s">
        <v>451</v>
      </c>
      <c r="J1374" s="4">
        <v>5256</v>
      </c>
      <c r="K1374" s="5">
        <v>0.22526636225266361</v>
      </c>
      <c r="L1374" s="5">
        <v>1.1605783866057838E-2</v>
      </c>
    </row>
    <row r="1375" spans="7:12">
      <c r="G1375" t="s">
        <v>1948</v>
      </c>
      <c r="H1375" t="s">
        <v>404</v>
      </c>
      <c r="I1375" t="s">
        <v>131</v>
      </c>
      <c r="J1375" s="4">
        <v>2242</v>
      </c>
      <c r="K1375" s="5">
        <v>0.22524531668153436</v>
      </c>
      <c r="L1375" s="5">
        <v>7.1364852809991082E-3</v>
      </c>
    </row>
    <row r="1376" spans="7:12">
      <c r="G1376" t="s">
        <v>1949</v>
      </c>
      <c r="H1376" t="s">
        <v>414</v>
      </c>
      <c r="I1376" t="s">
        <v>118</v>
      </c>
      <c r="J1376" s="4">
        <v>10716</v>
      </c>
      <c r="K1376" s="5">
        <v>0.225177304964539</v>
      </c>
      <c r="L1376" s="5">
        <v>1.0171705860395669E-2</v>
      </c>
    </row>
    <row r="1377" spans="7:12">
      <c r="G1377" t="s">
        <v>1950</v>
      </c>
      <c r="H1377" t="s">
        <v>137</v>
      </c>
      <c r="I1377" t="s">
        <v>100</v>
      </c>
      <c r="J1377" s="4">
        <v>11098</v>
      </c>
      <c r="K1377" s="5">
        <v>0.22517570733465489</v>
      </c>
      <c r="L1377" s="5">
        <v>1.6399351234456658E-2</v>
      </c>
    </row>
    <row r="1378" spans="7:12">
      <c r="G1378" t="s">
        <v>1951</v>
      </c>
      <c r="H1378" t="s">
        <v>455</v>
      </c>
      <c r="I1378" t="s">
        <v>495</v>
      </c>
      <c r="J1378" s="4">
        <v>2194</v>
      </c>
      <c r="K1378" s="5">
        <v>0.22515952597994532</v>
      </c>
      <c r="L1378" s="5">
        <v>3.6463081130355514E-3</v>
      </c>
    </row>
    <row r="1379" spans="7:12">
      <c r="G1379" t="s">
        <v>1952</v>
      </c>
      <c r="H1379" t="s">
        <v>331</v>
      </c>
      <c r="I1379" t="s">
        <v>202</v>
      </c>
      <c r="J1379" s="4">
        <v>2656</v>
      </c>
      <c r="K1379" s="5">
        <v>0.22515060240963855</v>
      </c>
      <c r="L1379" s="5">
        <v>1.6942771084337348E-2</v>
      </c>
    </row>
    <row r="1380" spans="7:12">
      <c r="G1380" t="s">
        <v>1953</v>
      </c>
      <c r="H1380" t="s">
        <v>299</v>
      </c>
      <c r="I1380" t="s">
        <v>118</v>
      </c>
      <c r="J1380" s="4">
        <v>8604</v>
      </c>
      <c r="K1380" s="5">
        <v>0.22512784751278475</v>
      </c>
      <c r="L1380" s="5">
        <v>1.7898651789865178E-2</v>
      </c>
    </row>
    <row r="1381" spans="7:12">
      <c r="G1381" t="s">
        <v>1954</v>
      </c>
      <c r="H1381" t="s">
        <v>204</v>
      </c>
      <c r="I1381" t="s">
        <v>85</v>
      </c>
      <c r="J1381" s="4">
        <v>11141</v>
      </c>
      <c r="K1381" s="5">
        <v>0.22511444215061485</v>
      </c>
      <c r="L1381" s="5">
        <v>1.8220985548873529E-2</v>
      </c>
    </row>
    <row r="1382" spans="7:12">
      <c r="G1382" t="s">
        <v>1955</v>
      </c>
      <c r="H1382" t="s">
        <v>189</v>
      </c>
      <c r="I1382" t="s">
        <v>140</v>
      </c>
      <c r="J1382" s="4">
        <v>5957</v>
      </c>
      <c r="K1382" s="5">
        <v>0.22511331206983382</v>
      </c>
      <c r="L1382" s="5">
        <v>2.4508981030720162E-2</v>
      </c>
    </row>
    <row r="1383" spans="7:12">
      <c r="G1383" t="s">
        <v>1956</v>
      </c>
      <c r="H1383" t="s">
        <v>131</v>
      </c>
      <c r="I1383" t="s">
        <v>352</v>
      </c>
      <c r="J1383" s="4">
        <v>6073</v>
      </c>
      <c r="K1383" s="5">
        <v>0.22509468137658489</v>
      </c>
      <c r="L1383" s="5">
        <v>7.4098468631648281E-3</v>
      </c>
    </row>
    <row r="1384" spans="7:12">
      <c r="G1384" t="s">
        <v>1957</v>
      </c>
      <c r="H1384" t="s">
        <v>233</v>
      </c>
      <c r="I1384" t="s">
        <v>95</v>
      </c>
      <c r="J1384" s="4">
        <v>9383</v>
      </c>
      <c r="K1384" s="5">
        <v>0.22508792497069169</v>
      </c>
      <c r="L1384" s="5">
        <v>1.4067995310668231E-2</v>
      </c>
    </row>
    <row r="1385" spans="7:12">
      <c r="G1385" t="s">
        <v>1958</v>
      </c>
      <c r="H1385" t="s">
        <v>331</v>
      </c>
      <c r="I1385" t="s">
        <v>85</v>
      </c>
      <c r="J1385" s="4">
        <v>3284</v>
      </c>
      <c r="K1385" s="5">
        <v>0.22503045066991473</v>
      </c>
      <c r="L1385" s="5">
        <v>1.0353227771010963E-2</v>
      </c>
    </row>
    <row r="1386" spans="7:12">
      <c r="G1386" t="s">
        <v>1959</v>
      </c>
      <c r="H1386" t="s">
        <v>189</v>
      </c>
      <c r="I1386" t="s">
        <v>408</v>
      </c>
      <c r="J1386" s="4">
        <v>2591</v>
      </c>
      <c r="K1386" s="5">
        <v>0.2250096487842532</v>
      </c>
      <c r="L1386" s="5">
        <v>6.561173292165187E-3</v>
      </c>
    </row>
    <row r="1387" spans="7:12">
      <c r="G1387" t="s">
        <v>1960</v>
      </c>
      <c r="H1387" t="s">
        <v>360</v>
      </c>
      <c r="I1387" t="s">
        <v>100</v>
      </c>
      <c r="J1387" s="4">
        <v>3071</v>
      </c>
      <c r="K1387" s="5">
        <v>0.22500814067079128</v>
      </c>
      <c r="L1387" s="5">
        <v>1.4653207424291761E-2</v>
      </c>
    </row>
    <row r="1388" spans="7:12">
      <c r="G1388" t="s">
        <v>1961</v>
      </c>
      <c r="H1388" t="s">
        <v>204</v>
      </c>
      <c r="I1388" t="s">
        <v>317</v>
      </c>
      <c r="J1388" s="4">
        <v>1138</v>
      </c>
      <c r="K1388" s="5">
        <v>0.22495606326889278</v>
      </c>
      <c r="L1388" s="5">
        <v>1.6695957820738138E-2</v>
      </c>
    </row>
    <row r="1389" spans="7:12">
      <c r="G1389" t="s">
        <v>1962</v>
      </c>
      <c r="H1389" t="s">
        <v>118</v>
      </c>
      <c r="I1389" t="s">
        <v>317</v>
      </c>
      <c r="J1389" s="4">
        <v>2273</v>
      </c>
      <c r="K1389" s="5">
        <v>0.22481302243730752</v>
      </c>
      <c r="L1389" s="5">
        <v>1.0998680158380994E-2</v>
      </c>
    </row>
    <row r="1390" spans="7:12">
      <c r="G1390" t="s">
        <v>1963</v>
      </c>
      <c r="H1390" t="s">
        <v>218</v>
      </c>
      <c r="I1390" t="s">
        <v>347</v>
      </c>
      <c r="J1390" s="4">
        <v>3056</v>
      </c>
      <c r="K1390" s="5">
        <v>0.22480366492146597</v>
      </c>
      <c r="L1390" s="5">
        <v>1.2761780104712041E-2</v>
      </c>
    </row>
    <row r="1391" spans="7:12">
      <c r="G1391" t="s">
        <v>1964</v>
      </c>
      <c r="H1391" t="s">
        <v>134</v>
      </c>
      <c r="I1391" t="s">
        <v>100</v>
      </c>
      <c r="J1391" s="4">
        <v>7136</v>
      </c>
      <c r="K1391" s="5">
        <v>0.22477578475336324</v>
      </c>
      <c r="L1391" s="5">
        <v>1.7937219730941704E-2</v>
      </c>
    </row>
    <row r="1392" spans="7:12">
      <c r="G1392" t="s">
        <v>1965</v>
      </c>
      <c r="H1392" t="s">
        <v>172</v>
      </c>
      <c r="I1392" t="s">
        <v>149</v>
      </c>
      <c r="J1392" s="4">
        <v>1615</v>
      </c>
      <c r="K1392" s="5">
        <v>0.22476780185758513</v>
      </c>
      <c r="L1392" s="5">
        <v>7.4303405572755414E-3</v>
      </c>
    </row>
    <row r="1393" spans="7:12">
      <c r="G1393" t="s">
        <v>1966</v>
      </c>
      <c r="H1393" t="s">
        <v>218</v>
      </c>
      <c r="I1393" t="s">
        <v>162</v>
      </c>
      <c r="J1393" s="4">
        <v>15085</v>
      </c>
      <c r="K1393" s="5">
        <v>0.22472654955253563</v>
      </c>
      <c r="L1393" s="5">
        <v>9.7447795823665893E-3</v>
      </c>
    </row>
    <row r="1394" spans="7:12">
      <c r="G1394" t="s">
        <v>1967</v>
      </c>
      <c r="H1394" t="s">
        <v>406</v>
      </c>
      <c r="I1394" t="s">
        <v>103</v>
      </c>
      <c r="J1394" s="4">
        <v>9844</v>
      </c>
      <c r="K1394" s="5">
        <v>0.22460381958553433</v>
      </c>
      <c r="L1394" s="5">
        <v>1.2190166598943519E-2</v>
      </c>
    </row>
    <row r="1395" spans="7:12">
      <c r="G1395" t="s">
        <v>1968</v>
      </c>
      <c r="H1395" t="s">
        <v>149</v>
      </c>
      <c r="I1395" t="s">
        <v>301</v>
      </c>
      <c r="J1395" s="4">
        <v>3687</v>
      </c>
      <c r="K1395" s="5">
        <v>0.22457282343368593</v>
      </c>
      <c r="L1395" s="5">
        <v>3.553024138866287E-2</v>
      </c>
    </row>
    <row r="1396" spans="7:12">
      <c r="G1396" t="s">
        <v>1969</v>
      </c>
      <c r="H1396" t="s">
        <v>346</v>
      </c>
      <c r="I1396" t="s">
        <v>282</v>
      </c>
      <c r="J1396" s="4">
        <v>2222</v>
      </c>
      <c r="K1396" s="5">
        <v>0.22457245724572458</v>
      </c>
      <c r="L1396" s="5">
        <v>1.1251125112511251E-2</v>
      </c>
    </row>
    <row r="1397" spans="7:12">
      <c r="G1397" t="s">
        <v>1970</v>
      </c>
      <c r="H1397" t="s">
        <v>236</v>
      </c>
      <c r="I1397" t="s">
        <v>131</v>
      </c>
      <c r="J1397" s="4">
        <v>6156</v>
      </c>
      <c r="K1397" s="5">
        <v>0.2244964262508122</v>
      </c>
      <c r="L1397" s="5">
        <v>9.5841455490578292E-3</v>
      </c>
    </row>
    <row r="1398" spans="7:12">
      <c r="G1398" t="s">
        <v>1971</v>
      </c>
      <c r="H1398" t="s">
        <v>140</v>
      </c>
      <c r="I1398" t="s">
        <v>377</v>
      </c>
      <c r="J1398" s="4">
        <v>6789</v>
      </c>
      <c r="K1398" s="5">
        <v>0.22448077772867875</v>
      </c>
      <c r="L1398" s="5">
        <v>2.0326999558108707E-2</v>
      </c>
    </row>
    <row r="1399" spans="7:12">
      <c r="G1399" t="s">
        <v>1972</v>
      </c>
      <c r="H1399" t="s">
        <v>134</v>
      </c>
      <c r="I1399" t="s">
        <v>408</v>
      </c>
      <c r="J1399" s="4">
        <v>2437</v>
      </c>
      <c r="K1399" s="5">
        <v>0.2244562987279442</v>
      </c>
      <c r="L1399" s="5">
        <v>1.887566680344686E-2</v>
      </c>
    </row>
    <row r="1400" spans="7:12">
      <c r="G1400" t="s">
        <v>1973</v>
      </c>
      <c r="H1400" t="s">
        <v>131</v>
      </c>
      <c r="I1400" t="s">
        <v>89</v>
      </c>
      <c r="J1400" s="4">
        <v>17527</v>
      </c>
      <c r="K1400" s="5">
        <v>0.22445370000570547</v>
      </c>
      <c r="L1400" s="5">
        <v>1.9569806584127346E-2</v>
      </c>
    </row>
    <row r="1401" spans="7:12">
      <c r="G1401" t="s">
        <v>1974</v>
      </c>
      <c r="H1401" t="s">
        <v>169</v>
      </c>
      <c r="I1401" t="s">
        <v>89</v>
      </c>
      <c r="J1401" s="4">
        <v>2691</v>
      </c>
      <c r="K1401" s="5">
        <v>0.22445187662578966</v>
      </c>
      <c r="L1401" s="5">
        <v>2.6012634708286884E-2</v>
      </c>
    </row>
    <row r="1402" spans="7:12">
      <c r="G1402" t="s">
        <v>1975</v>
      </c>
      <c r="H1402" t="s">
        <v>507</v>
      </c>
      <c r="I1402" t="s">
        <v>89</v>
      </c>
      <c r="J1402" s="4">
        <v>1827</v>
      </c>
      <c r="K1402" s="5">
        <v>0.22441160372194854</v>
      </c>
      <c r="L1402" s="5">
        <v>1.3136288998357963E-2</v>
      </c>
    </row>
    <row r="1403" spans="7:12">
      <c r="G1403" t="s">
        <v>1976</v>
      </c>
      <c r="H1403" t="s">
        <v>136</v>
      </c>
      <c r="I1403" t="s">
        <v>503</v>
      </c>
      <c r="J1403" s="4">
        <v>1377</v>
      </c>
      <c r="K1403" s="5">
        <v>0.22440087145969498</v>
      </c>
      <c r="L1403" s="5">
        <v>1.3798111837327523E-2</v>
      </c>
    </row>
    <row r="1404" spans="7:12">
      <c r="G1404" t="s">
        <v>1977</v>
      </c>
      <c r="H1404" t="s">
        <v>118</v>
      </c>
      <c r="I1404" t="s">
        <v>236</v>
      </c>
      <c r="J1404" s="4">
        <v>7500</v>
      </c>
      <c r="K1404" s="5">
        <v>0.22439999999999999</v>
      </c>
      <c r="L1404" s="5">
        <v>1.2933333333333333E-2</v>
      </c>
    </row>
    <row r="1405" spans="7:12">
      <c r="G1405" t="s">
        <v>1978</v>
      </c>
      <c r="H1405" t="s">
        <v>136</v>
      </c>
      <c r="I1405" t="s">
        <v>103</v>
      </c>
      <c r="J1405" s="4">
        <v>9550</v>
      </c>
      <c r="K1405" s="5">
        <v>0.2243979057591623</v>
      </c>
      <c r="L1405" s="5">
        <v>1.5811518324607331E-2</v>
      </c>
    </row>
    <row r="1406" spans="7:12">
      <c r="G1406" t="s">
        <v>1979</v>
      </c>
      <c r="H1406" t="s">
        <v>115</v>
      </c>
      <c r="I1406" t="s">
        <v>410</v>
      </c>
      <c r="J1406" s="4">
        <v>2643</v>
      </c>
      <c r="K1406" s="5">
        <v>0.22436625047294742</v>
      </c>
      <c r="L1406" s="5">
        <v>1.2485811577752554E-2</v>
      </c>
    </row>
    <row r="1407" spans="7:12">
      <c r="G1407" t="s">
        <v>1980</v>
      </c>
      <c r="H1407" t="s">
        <v>372</v>
      </c>
      <c r="I1407" t="s">
        <v>131</v>
      </c>
      <c r="J1407" s="4">
        <v>1926</v>
      </c>
      <c r="K1407" s="5">
        <v>0.22429906542056074</v>
      </c>
      <c r="L1407" s="5">
        <v>7.2689511941848393E-3</v>
      </c>
    </row>
    <row r="1408" spans="7:12">
      <c r="G1408" t="s">
        <v>1981</v>
      </c>
      <c r="H1408" t="s">
        <v>189</v>
      </c>
      <c r="I1408" t="s">
        <v>451</v>
      </c>
      <c r="J1408" s="4">
        <v>4017</v>
      </c>
      <c r="K1408" s="5">
        <v>0.22429673885984566</v>
      </c>
      <c r="L1408" s="5">
        <v>5.9746079163554896E-3</v>
      </c>
    </row>
    <row r="1409" spans="7:12">
      <c r="G1409" t="s">
        <v>1982</v>
      </c>
      <c r="H1409" t="s">
        <v>103</v>
      </c>
      <c r="I1409" t="s">
        <v>322</v>
      </c>
      <c r="J1409" s="4">
        <v>8925</v>
      </c>
      <c r="K1409" s="5">
        <v>0.22420168067226889</v>
      </c>
      <c r="L1409" s="5">
        <v>6.8347338935574233E-3</v>
      </c>
    </row>
    <row r="1410" spans="7:12">
      <c r="G1410" t="s">
        <v>1983</v>
      </c>
      <c r="H1410" t="s">
        <v>155</v>
      </c>
      <c r="I1410" t="s">
        <v>390</v>
      </c>
      <c r="J1410" s="4">
        <v>1905</v>
      </c>
      <c r="K1410" s="5">
        <v>0.2241469816272966</v>
      </c>
      <c r="L1410" s="5">
        <v>4.1994750656167978E-3</v>
      </c>
    </row>
    <row r="1411" spans="7:12">
      <c r="G1411" t="s">
        <v>1984</v>
      </c>
      <c r="H1411" t="s">
        <v>204</v>
      </c>
      <c r="I1411" t="s">
        <v>160</v>
      </c>
      <c r="J1411" s="4">
        <v>5130</v>
      </c>
      <c r="K1411" s="5">
        <v>0.2239766081871345</v>
      </c>
      <c r="L1411" s="5">
        <v>1.773879142300195E-2</v>
      </c>
    </row>
    <row r="1412" spans="7:12">
      <c r="G1412" t="s">
        <v>1985</v>
      </c>
      <c r="H1412" t="s">
        <v>288</v>
      </c>
      <c r="I1412" t="s">
        <v>204</v>
      </c>
      <c r="J1412" s="4">
        <v>3492</v>
      </c>
      <c r="K1412" s="5">
        <v>0.22394043528064148</v>
      </c>
      <c r="L1412" s="5">
        <v>3.9805269186712483E-2</v>
      </c>
    </row>
    <row r="1413" spans="7:12">
      <c r="G1413" t="s">
        <v>1986</v>
      </c>
      <c r="H1413" t="s">
        <v>136</v>
      </c>
      <c r="I1413" t="s">
        <v>221</v>
      </c>
      <c r="J1413" s="4">
        <v>3037</v>
      </c>
      <c r="K1413" s="5">
        <v>0.22390516957523873</v>
      </c>
      <c r="L1413" s="5">
        <v>1.0865986170563056E-2</v>
      </c>
    </row>
    <row r="1414" spans="7:12">
      <c r="G1414" t="s">
        <v>1987</v>
      </c>
      <c r="H1414" t="s">
        <v>137</v>
      </c>
      <c r="I1414" t="s">
        <v>236</v>
      </c>
      <c r="J1414" s="4">
        <v>4342</v>
      </c>
      <c r="K1414" s="5">
        <v>0.22385997236296637</v>
      </c>
      <c r="L1414" s="5">
        <v>1.3357899585444496E-2</v>
      </c>
    </row>
    <row r="1415" spans="7:12">
      <c r="G1415" t="s">
        <v>1988</v>
      </c>
      <c r="H1415" t="s">
        <v>215</v>
      </c>
      <c r="I1415" t="s">
        <v>103</v>
      </c>
      <c r="J1415" s="4">
        <v>19776</v>
      </c>
      <c r="K1415" s="5">
        <v>0.22385720064724918</v>
      </c>
      <c r="L1415" s="5">
        <v>8.4951456310679609E-3</v>
      </c>
    </row>
    <row r="1416" spans="7:12">
      <c r="G1416" t="s">
        <v>1989</v>
      </c>
      <c r="H1416" t="s">
        <v>495</v>
      </c>
      <c r="I1416" t="s">
        <v>455</v>
      </c>
      <c r="J1416" s="4">
        <v>2194</v>
      </c>
      <c r="K1416" s="5">
        <v>0.22379216043755698</v>
      </c>
      <c r="L1416" s="5">
        <v>2.2789425706472195E-3</v>
      </c>
    </row>
    <row r="1417" spans="7:12">
      <c r="G1417" t="s">
        <v>1990</v>
      </c>
      <c r="H1417" t="s">
        <v>158</v>
      </c>
      <c r="I1417" t="s">
        <v>103</v>
      </c>
      <c r="J1417" s="4">
        <v>2641</v>
      </c>
      <c r="K1417" s="5">
        <v>0.22377887163953047</v>
      </c>
      <c r="L1417" s="5">
        <v>6.815600151457781E-3</v>
      </c>
    </row>
    <row r="1418" spans="7:12">
      <c r="G1418" t="s">
        <v>1991</v>
      </c>
      <c r="H1418" t="s">
        <v>215</v>
      </c>
      <c r="I1418" t="s">
        <v>422</v>
      </c>
      <c r="J1418" s="4">
        <v>1314</v>
      </c>
      <c r="K1418" s="5">
        <v>0.22374429223744291</v>
      </c>
      <c r="L1418" s="5">
        <v>5.3272450532724502E-3</v>
      </c>
    </row>
    <row r="1419" spans="7:12">
      <c r="G1419" t="s">
        <v>1992</v>
      </c>
      <c r="H1419" t="s">
        <v>236</v>
      </c>
      <c r="I1419" t="s">
        <v>374</v>
      </c>
      <c r="J1419" s="4">
        <v>2065</v>
      </c>
      <c r="K1419" s="5">
        <v>0.22372881355932203</v>
      </c>
      <c r="L1419" s="5">
        <v>9.2009685230024212E-3</v>
      </c>
    </row>
    <row r="1420" spans="7:12">
      <c r="G1420" t="s">
        <v>1993</v>
      </c>
      <c r="H1420" t="s">
        <v>202</v>
      </c>
      <c r="I1420" t="s">
        <v>149</v>
      </c>
      <c r="J1420" s="4">
        <v>7059</v>
      </c>
      <c r="K1420" s="5">
        <v>0.2236860745148038</v>
      </c>
      <c r="L1420" s="5">
        <v>2.1957784388723617E-2</v>
      </c>
    </row>
    <row r="1421" spans="7:12">
      <c r="G1421" t="s">
        <v>1994</v>
      </c>
      <c r="H1421" t="s">
        <v>136</v>
      </c>
      <c r="I1421" t="s">
        <v>342</v>
      </c>
      <c r="J1421" s="4">
        <v>1386</v>
      </c>
      <c r="K1421" s="5">
        <v>0.22366522366522368</v>
      </c>
      <c r="L1421" s="5">
        <v>5.0505050505050509E-3</v>
      </c>
    </row>
    <row r="1422" spans="7:12">
      <c r="G1422" t="s">
        <v>1995</v>
      </c>
      <c r="H1422" t="s">
        <v>149</v>
      </c>
      <c r="I1422" t="s">
        <v>118</v>
      </c>
      <c r="J1422" s="4">
        <v>7441</v>
      </c>
      <c r="K1422" s="5">
        <v>0.22362585673968552</v>
      </c>
      <c r="L1422" s="5">
        <v>2.5534202392151591E-2</v>
      </c>
    </row>
    <row r="1423" spans="7:12">
      <c r="G1423" t="s">
        <v>1996</v>
      </c>
      <c r="H1423" t="s">
        <v>134</v>
      </c>
      <c r="I1423" t="s">
        <v>118</v>
      </c>
      <c r="J1423" s="4">
        <v>15601</v>
      </c>
      <c r="K1423" s="5">
        <v>0.22357541183257484</v>
      </c>
      <c r="L1423" s="5">
        <v>1.2691494134991347E-2</v>
      </c>
    </row>
    <row r="1424" spans="7:12">
      <c r="G1424" t="s">
        <v>1997</v>
      </c>
      <c r="H1424" t="s">
        <v>204</v>
      </c>
      <c r="I1424" t="s">
        <v>105</v>
      </c>
      <c r="J1424" s="4">
        <v>1096</v>
      </c>
      <c r="K1424" s="5">
        <v>0.22354014598540145</v>
      </c>
      <c r="L1424" s="5">
        <v>8.2116788321167887E-3</v>
      </c>
    </row>
    <row r="1425" spans="7:12">
      <c r="G1425" t="s">
        <v>1998</v>
      </c>
      <c r="H1425" t="s">
        <v>221</v>
      </c>
      <c r="I1425" t="s">
        <v>259</v>
      </c>
      <c r="J1425" s="4">
        <v>4514</v>
      </c>
      <c r="K1425" s="5">
        <v>0.2235268054940186</v>
      </c>
      <c r="L1425" s="5">
        <v>1.7058041648205582E-2</v>
      </c>
    </row>
    <row r="1426" spans="7:12">
      <c r="G1426" t="s">
        <v>1999</v>
      </c>
      <c r="H1426" t="s">
        <v>118</v>
      </c>
      <c r="I1426" t="s">
        <v>134</v>
      </c>
      <c r="J1426" s="4">
        <v>15610</v>
      </c>
      <c r="K1426" s="5">
        <v>0.22351057014734144</v>
      </c>
      <c r="L1426" s="5">
        <v>1.159513132607303E-2</v>
      </c>
    </row>
    <row r="1427" spans="7:12">
      <c r="G1427" t="s">
        <v>2000</v>
      </c>
      <c r="H1427" t="s">
        <v>374</v>
      </c>
      <c r="I1427" t="s">
        <v>89</v>
      </c>
      <c r="J1427" s="4">
        <v>9329</v>
      </c>
      <c r="K1427" s="5">
        <v>0.22349662343230786</v>
      </c>
      <c r="L1427" s="5">
        <v>2.5511844785078786E-2</v>
      </c>
    </row>
    <row r="1428" spans="7:12">
      <c r="G1428" t="s">
        <v>2001</v>
      </c>
      <c r="H1428" t="s">
        <v>215</v>
      </c>
      <c r="I1428" t="s">
        <v>85</v>
      </c>
      <c r="J1428" s="4">
        <v>2676</v>
      </c>
      <c r="K1428" s="5">
        <v>0.22346786248131539</v>
      </c>
      <c r="L1428" s="5">
        <v>9.3423019431988046E-3</v>
      </c>
    </row>
    <row r="1429" spans="7:12">
      <c r="G1429" t="s">
        <v>2002</v>
      </c>
      <c r="H1429" t="s">
        <v>372</v>
      </c>
      <c r="I1429" t="s">
        <v>134</v>
      </c>
      <c r="J1429" s="4">
        <v>1969</v>
      </c>
      <c r="K1429" s="5">
        <v>0.22346368715083798</v>
      </c>
      <c r="L1429" s="5">
        <v>1.7267648552564754E-2</v>
      </c>
    </row>
    <row r="1430" spans="7:12">
      <c r="G1430" t="s">
        <v>2003</v>
      </c>
      <c r="H1430" t="s">
        <v>118</v>
      </c>
      <c r="I1430" t="s">
        <v>347</v>
      </c>
      <c r="J1430" s="4">
        <v>5134</v>
      </c>
      <c r="K1430" s="5">
        <v>0.22341254382547721</v>
      </c>
      <c r="L1430" s="5">
        <v>1.2855473315153876E-2</v>
      </c>
    </row>
    <row r="1431" spans="7:12">
      <c r="G1431" t="s">
        <v>2004</v>
      </c>
      <c r="H1431" t="s">
        <v>131</v>
      </c>
      <c r="I1431" t="s">
        <v>149</v>
      </c>
      <c r="J1431" s="4">
        <v>10253</v>
      </c>
      <c r="K1431" s="5">
        <v>0.22334926363015703</v>
      </c>
      <c r="L1431" s="5">
        <v>1.2874280698332196E-2</v>
      </c>
    </row>
    <row r="1432" spans="7:12">
      <c r="G1432" t="s">
        <v>2005</v>
      </c>
      <c r="H1432" t="s">
        <v>377</v>
      </c>
      <c r="I1432" t="s">
        <v>416</v>
      </c>
      <c r="J1432" s="4">
        <v>2615</v>
      </c>
      <c r="K1432" s="5">
        <v>0.22332695984703632</v>
      </c>
      <c r="L1432" s="5">
        <v>7.6481835564053535E-3</v>
      </c>
    </row>
    <row r="1433" spans="7:12">
      <c r="G1433" t="s">
        <v>2006</v>
      </c>
      <c r="H1433" t="s">
        <v>2007</v>
      </c>
      <c r="I1433" t="s">
        <v>118</v>
      </c>
      <c r="J1433" s="4">
        <v>1312</v>
      </c>
      <c r="K1433" s="5">
        <v>0.22332317073170732</v>
      </c>
      <c r="L1433" s="5">
        <v>4.2682926829268296E-2</v>
      </c>
    </row>
    <row r="1434" spans="7:12">
      <c r="G1434" t="s">
        <v>2008</v>
      </c>
      <c r="H1434" t="s">
        <v>137</v>
      </c>
      <c r="I1434" t="s">
        <v>336</v>
      </c>
      <c r="J1434" s="4">
        <v>2800</v>
      </c>
      <c r="K1434" s="5">
        <v>0.22321428571428573</v>
      </c>
      <c r="L1434" s="5">
        <v>1.5714285714285715E-2</v>
      </c>
    </row>
    <row r="1435" spans="7:12">
      <c r="G1435" t="s">
        <v>2009</v>
      </c>
      <c r="H1435" t="s">
        <v>322</v>
      </c>
      <c r="I1435" t="s">
        <v>162</v>
      </c>
      <c r="J1435" s="4">
        <v>8275</v>
      </c>
      <c r="K1435" s="5">
        <v>0.22320241691842901</v>
      </c>
      <c r="L1435" s="5">
        <v>1.3293051359516616E-2</v>
      </c>
    </row>
    <row r="1436" spans="7:12">
      <c r="G1436" t="s">
        <v>2010</v>
      </c>
      <c r="H1436" t="s">
        <v>182</v>
      </c>
      <c r="I1436" t="s">
        <v>497</v>
      </c>
      <c r="J1436" s="4">
        <v>1815</v>
      </c>
      <c r="K1436" s="5">
        <v>0.2231404958677686</v>
      </c>
      <c r="L1436" s="5">
        <v>4.4077134986225891E-3</v>
      </c>
    </row>
    <row r="1437" spans="7:12">
      <c r="G1437" t="s">
        <v>2011</v>
      </c>
      <c r="H1437" t="s">
        <v>162</v>
      </c>
      <c r="I1437" t="s">
        <v>140</v>
      </c>
      <c r="J1437" s="4">
        <v>12481</v>
      </c>
      <c r="K1437" s="5">
        <v>0.22313917154074192</v>
      </c>
      <c r="L1437" s="5">
        <v>3.7496995433058247E-2</v>
      </c>
    </row>
    <row r="1438" spans="7:12">
      <c r="G1438" t="s">
        <v>2012</v>
      </c>
      <c r="H1438" t="s">
        <v>342</v>
      </c>
      <c r="I1438" t="s">
        <v>89</v>
      </c>
      <c r="J1438" s="4">
        <v>3599</v>
      </c>
      <c r="K1438" s="5">
        <v>0.22311753264795778</v>
      </c>
      <c r="L1438" s="5">
        <v>2.1394831897749374E-2</v>
      </c>
    </row>
    <row r="1439" spans="7:12">
      <c r="G1439" t="s">
        <v>2013</v>
      </c>
      <c r="H1439" t="s">
        <v>103</v>
      </c>
      <c r="I1439" t="s">
        <v>100</v>
      </c>
      <c r="J1439" s="4">
        <v>8790</v>
      </c>
      <c r="K1439" s="5">
        <v>0.22309442548350397</v>
      </c>
      <c r="L1439" s="5">
        <v>7.849829351535836E-3</v>
      </c>
    </row>
    <row r="1440" spans="7:12">
      <c r="G1440" t="s">
        <v>2014</v>
      </c>
      <c r="H1440" t="s">
        <v>103</v>
      </c>
      <c r="I1440" t="s">
        <v>2015</v>
      </c>
      <c r="J1440" s="4">
        <v>1094</v>
      </c>
      <c r="K1440" s="5">
        <v>0.2230347349177331</v>
      </c>
      <c r="L1440" s="5">
        <v>1.6453382084095063E-2</v>
      </c>
    </row>
    <row r="1441" spans="7:12">
      <c r="G1441" t="s">
        <v>2016</v>
      </c>
      <c r="H1441" t="s">
        <v>160</v>
      </c>
      <c r="I1441" t="s">
        <v>221</v>
      </c>
      <c r="J1441" s="4">
        <v>7017</v>
      </c>
      <c r="K1441" s="5">
        <v>0.22302978480832264</v>
      </c>
      <c r="L1441" s="5">
        <v>1.4536126549807611E-2</v>
      </c>
    </row>
    <row r="1442" spans="7:12">
      <c r="G1442" t="s">
        <v>2017</v>
      </c>
      <c r="H1442" t="s">
        <v>288</v>
      </c>
      <c r="I1442" t="s">
        <v>118</v>
      </c>
      <c r="J1442" s="4">
        <v>5659</v>
      </c>
      <c r="K1442" s="5">
        <v>0.22300759851563881</v>
      </c>
      <c r="L1442" s="5">
        <v>1.6610708605760735E-2</v>
      </c>
    </row>
    <row r="1443" spans="7:12">
      <c r="G1443" t="s">
        <v>2018</v>
      </c>
      <c r="H1443" t="s">
        <v>100</v>
      </c>
      <c r="I1443" t="s">
        <v>428</v>
      </c>
      <c r="J1443" s="4">
        <v>7325</v>
      </c>
      <c r="K1443" s="5">
        <v>0.22293515358361773</v>
      </c>
      <c r="L1443" s="5">
        <v>1.2013651877133106E-2</v>
      </c>
    </row>
    <row r="1444" spans="7:12">
      <c r="G1444" t="s">
        <v>2019</v>
      </c>
      <c r="H1444" t="s">
        <v>245</v>
      </c>
      <c r="I1444" t="s">
        <v>89</v>
      </c>
      <c r="J1444" s="4">
        <v>3221</v>
      </c>
      <c r="K1444" s="5">
        <v>0.22291213908723997</v>
      </c>
      <c r="L1444" s="5">
        <v>2.8873020800993479E-2</v>
      </c>
    </row>
    <row r="1445" spans="7:12">
      <c r="G1445" t="s">
        <v>2020</v>
      </c>
      <c r="H1445" t="s">
        <v>226</v>
      </c>
      <c r="I1445" t="s">
        <v>215</v>
      </c>
      <c r="J1445" s="4">
        <v>20169</v>
      </c>
      <c r="K1445" s="5">
        <v>0.22286677574495514</v>
      </c>
      <c r="L1445" s="5">
        <v>1.1502801328771878E-2</v>
      </c>
    </row>
    <row r="1446" spans="7:12">
      <c r="G1446" t="s">
        <v>2021</v>
      </c>
      <c r="H1446" t="s">
        <v>2022</v>
      </c>
      <c r="I1446" t="s">
        <v>118</v>
      </c>
      <c r="J1446" s="4">
        <v>1876</v>
      </c>
      <c r="K1446" s="5">
        <v>0.22281449893390193</v>
      </c>
      <c r="L1446" s="5">
        <v>2.0788912579957356E-2</v>
      </c>
    </row>
    <row r="1447" spans="7:12">
      <c r="G1447" t="s">
        <v>2023</v>
      </c>
      <c r="H1447" t="s">
        <v>236</v>
      </c>
      <c r="I1447" t="s">
        <v>103</v>
      </c>
      <c r="J1447" s="4">
        <v>11586</v>
      </c>
      <c r="K1447" s="5">
        <v>0.22276885896771967</v>
      </c>
      <c r="L1447" s="5">
        <v>1.0616261004660798E-2</v>
      </c>
    </row>
    <row r="1448" spans="7:12">
      <c r="G1448" t="s">
        <v>2024</v>
      </c>
      <c r="H1448" t="s">
        <v>374</v>
      </c>
      <c r="I1448" t="s">
        <v>103</v>
      </c>
      <c r="J1448" s="4">
        <v>9235</v>
      </c>
      <c r="K1448" s="5">
        <v>0.22273957769355712</v>
      </c>
      <c r="L1448" s="5">
        <v>8.5544125609095835E-3</v>
      </c>
    </row>
    <row r="1449" spans="7:12">
      <c r="G1449" t="s">
        <v>2025</v>
      </c>
      <c r="H1449" t="s">
        <v>103</v>
      </c>
      <c r="I1449" t="s">
        <v>463</v>
      </c>
      <c r="J1449" s="4">
        <v>1760</v>
      </c>
      <c r="K1449" s="5">
        <v>0.22272727272727272</v>
      </c>
      <c r="L1449" s="5">
        <v>5.1136363636363636E-3</v>
      </c>
    </row>
    <row r="1450" spans="7:12">
      <c r="G1450" t="s">
        <v>2026</v>
      </c>
      <c r="H1450" t="s">
        <v>131</v>
      </c>
      <c r="I1450" t="s">
        <v>85</v>
      </c>
      <c r="J1450" s="4">
        <v>4903</v>
      </c>
      <c r="K1450" s="5">
        <v>0.22272078319396288</v>
      </c>
      <c r="L1450" s="5">
        <v>7.342443401998776E-3</v>
      </c>
    </row>
    <row r="1451" spans="7:12">
      <c r="G1451" t="s">
        <v>2027</v>
      </c>
      <c r="H1451" t="s">
        <v>352</v>
      </c>
      <c r="I1451" t="s">
        <v>137</v>
      </c>
      <c r="J1451" s="4">
        <v>2084</v>
      </c>
      <c r="K1451" s="5">
        <v>0.22264875239923224</v>
      </c>
      <c r="L1451" s="5">
        <v>2.3512476007677544E-2</v>
      </c>
    </row>
    <row r="1452" spans="7:12">
      <c r="G1452" t="s">
        <v>2028</v>
      </c>
      <c r="H1452" t="s">
        <v>89</v>
      </c>
      <c r="I1452" t="s">
        <v>263</v>
      </c>
      <c r="J1452" s="4">
        <v>8418</v>
      </c>
      <c r="K1452" s="5">
        <v>0.22261819909717273</v>
      </c>
      <c r="L1452" s="5">
        <v>2.3045854122119267E-2</v>
      </c>
    </row>
    <row r="1453" spans="7:12">
      <c r="G1453" t="s">
        <v>2029</v>
      </c>
      <c r="H1453" t="s">
        <v>140</v>
      </c>
      <c r="I1453" t="s">
        <v>317</v>
      </c>
      <c r="J1453" s="4">
        <v>2961</v>
      </c>
      <c r="K1453" s="5">
        <v>0.22255994596420128</v>
      </c>
      <c r="L1453" s="5">
        <v>2.4991556906450524E-2</v>
      </c>
    </row>
    <row r="1454" spans="7:12">
      <c r="G1454" t="s">
        <v>2030</v>
      </c>
      <c r="H1454" t="s">
        <v>466</v>
      </c>
      <c r="I1454" t="s">
        <v>131</v>
      </c>
      <c r="J1454" s="4">
        <v>8017</v>
      </c>
      <c r="K1454" s="5">
        <v>0.22252712984907072</v>
      </c>
      <c r="L1454" s="5">
        <v>9.7293251839840333E-3</v>
      </c>
    </row>
    <row r="1455" spans="7:12">
      <c r="G1455" t="s">
        <v>2031</v>
      </c>
      <c r="H1455" t="s">
        <v>215</v>
      </c>
      <c r="I1455" t="s">
        <v>228</v>
      </c>
      <c r="J1455" s="4">
        <v>2557</v>
      </c>
      <c r="K1455" s="5">
        <v>0.22252639812280015</v>
      </c>
      <c r="L1455" s="5">
        <v>7.0394994133750489E-3</v>
      </c>
    </row>
    <row r="1456" spans="7:12">
      <c r="G1456" t="s">
        <v>2032</v>
      </c>
      <c r="H1456" t="s">
        <v>103</v>
      </c>
      <c r="I1456" t="s">
        <v>346</v>
      </c>
      <c r="J1456" s="4">
        <v>9547</v>
      </c>
      <c r="K1456" s="5">
        <v>0.22247826542369331</v>
      </c>
      <c r="L1456" s="5">
        <v>1.0474494605635279E-2</v>
      </c>
    </row>
    <row r="1457" spans="7:12">
      <c r="G1457" t="s">
        <v>2033</v>
      </c>
      <c r="H1457" t="s">
        <v>422</v>
      </c>
      <c r="I1457" t="s">
        <v>95</v>
      </c>
      <c r="J1457" s="4">
        <v>6761</v>
      </c>
      <c r="K1457" s="5">
        <v>0.22245229995562787</v>
      </c>
      <c r="L1457" s="5">
        <v>1.2424197603904747E-2</v>
      </c>
    </row>
    <row r="1458" spans="7:12">
      <c r="G1458" t="s">
        <v>2034</v>
      </c>
      <c r="H1458" t="s">
        <v>103</v>
      </c>
      <c r="I1458" t="s">
        <v>1195</v>
      </c>
      <c r="J1458" s="4">
        <v>1160</v>
      </c>
      <c r="K1458" s="5">
        <v>0.22241379310344828</v>
      </c>
      <c r="L1458" s="5">
        <v>5.1724137931034482E-3</v>
      </c>
    </row>
    <row r="1459" spans="7:12">
      <c r="G1459" t="s">
        <v>2035</v>
      </c>
      <c r="H1459" t="s">
        <v>326</v>
      </c>
      <c r="I1459" t="s">
        <v>398</v>
      </c>
      <c r="J1459" s="4">
        <v>6157</v>
      </c>
      <c r="K1459" s="5">
        <v>0.22234854636998538</v>
      </c>
      <c r="L1459" s="5">
        <v>2.7610849439662173E-3</v>
      </c>
    </row>
    <row r="1460" spans="7:12">
      <c r="G1460" t="s">
        <v>2036</v>
      </c>
      <c r="H1460" t="s">
        <v>352</v>
      </c>
      <c r="I1460" t="s">
        <v>202</v>
      </c>
      <c r="J1460" s="4">
        <v>1862</v>
      </c>
      <c r="K1460" s="5">
        <v>0.22234156820622986</v>
      </c>
      <c r="L1460" s="5">
        <v>1.4500537056928034E-2</v>
      </c>
    </row>
    <row r="1461" spans="7:12">
      <c r="G1461" t="s">
        <v>2037</v>
      </c>
      <c r="H1461" t="s">
        <v>299</v>
      </c>
      <c r="I1461" t="s">
        <v>131</v>
      </c>
      <c r="J1461" s="4">
        <v>1003</v>
      </c>
      <c r="K1461" s="5">
        <v>0.22233300099700898</v>
      </c>
      <c r="L1461" s="5">
        <v>9.9700897308075765E-4</v>
      </c>
    </row>
    <row r="1462" spans="7:12">
      <c r="G1462" t="s">
        <v>2038</v>
      </c>
      <c r="H1462" t="s">
        <v>131</v>
      </c>
      <c r="I1462" t="s">
        <v>140</v>
      </c>
      <c r="J1462" s="4">
        <v>9216</v>
      </c>
      <c r="K1462" s="5">
        <v>0.22233072916666666</v>
      </c>
      <c r="L1462" s="5">
        <v>1.7035590277777776E-2</v>
      </c>
    </row>
    <row r="1463" spans="7:12">
      <c r="G1463" t="s">
        <v>2039</v>
      </c>
      <c r="H1463" t="s">
        <v>324</v>
      </c>
      <c r="I1463" t="s">
        <v>100</v>
      </c>
      <c r="J1463" s="4">
        <v>2276</v>
      </c>
      <c r="K1463" s="5">
        <v>0.22231985940246046</v>
      </c>
      <c r="L1463" s="5">
        <v>1.6695957820738138E-2</v>
      </c>
    </row>
    <row r="1464" spans="7:12">
      <c r="G1464" t="s">
        <v>2040</v>
      </c>
      <c r="H1464" t="s">
        <v>377</v>
      </c>
      <c r="I1464" t="s">
        <v>436</v>
      </c>
      <c r="J1464" s="4">
        <v>1210</v>
      </c>
      <c r="K1464" s="5">
        <v>0.22231404958677686</v>
      </c>
      <c r="L1464" s="5">
        <v>1.2396694214876033E-2</v>
      </c>
    </row>
    <row r="1465" spans="7:12">
      <c r="G1465" t="s">
        <v>2041</v>
      </c>
      <c r="H1465" t="s">
        <v>384</v>
      </c>
      <c r="I1465" t="s">
        <v>118</v>
      </c>
      <c r="J1465" s="4">
        <v>5592</v>
      </c>
      <c r="K1465" s="5">
        <v>0.2222818311874106</v>
      </c>
      <c r="L1465" s="5">
        <v>2.0028612303290415E-2</v>
      </c>
    </row>
    <row r="1466" spans="7:12">
      <c r="G1466" t="s">
        <v>2042</v>
      </c>
      <c r="H1466" t="s">
        <v>100</v>
      </c>
      <c r="I1466" t="s">
        <v>142</v>
      </c>
      <c r="J1466" s="4">
        <v>2254</v>
      </c>
      <c r="K1466" s="5">
        <v>0.22227151730257319</v>
      </c>
      <c r="L1466" s="5">
        <v>2.3957409050576754E-2</v>
      </c>
    </row>
    <row r="1467" spans="7:12">
      <c r="G1467" t="s">
        <v>2043</v>
      </c>
      <c r="H1467" t="s">
        <v>89</v>
      </c>
      <c r="I1467" t="s">
        <v>445</v>
      </c>
      <c r="J1467" s="4">
        <v>3145</v>
      </c>
      <c r="K1467" s="5">
        <v>0.22225755166931638</v>
      </c>
      <c r="L1467" s="5">
        <v>1.971383147853736E-2</v>
      </c>
    </row>
    <row r="1468" spans="7:12">
      <c r="G1468" t="s">
        <v>2044</v>
      </c>
      <c r="H1468" t="s">
        <v>204</v>
      </c>
      <c r="I1468" t="s">
        <v>356</v>
      </c>
      <c r="J1468" s="4">
        <v>1206</v>
      </c>
      <c r="K1468" s="5">
        <v>0.22222222222222221</v>
      </c>
      <c r="L1468" s="5">
        <v>2.570480928689884E-2</v>
      </c>
    </row>
    <row r="1469" spans="7:12">
      <c r="G1469" t="s">
        <v>2045</v>
      </c>
      <c r="H1469" t="s">
        <v>268</v>
      </c>
      <c r="I1469" t="s">
        <v>259</v>
      </c>
      <c r="J1469" s="4">
        <v>3600</v>
      </c>
      <c r="K1469" s="5">
        <v>0.22222222222222221</v>
      </c>
      <c r="L1469" s="5">
        <v>1.638888888888889E-2</v>
      </c>
    </row>
    <row r="1470" spans="7:12">
      <c r="G1470" t="s">
        <v>2046</v>
      </c>
      <c r="H1470" t="s">
        <v>134</v>
      </c>
      <c r="I1470" t="s">
        <v>115</v>
      </c>
      <c r="J1470" s="4">
        <v>3353</v>
      </c>
      <c r="K1470" s="5">
        <v>0.22218908440202803</v>
      </c>
      <c r="L1470" s="5">
        <v>1.3420817178645988E-2</v>
      </c>
    </row>
    <row r="1471" spans="7:12">
      <c r="G1471" t="s">
        <v>2047</v>
      </c>
      <c r="H1471" t="s">
        <v>137</v>
      </c>
      <c r="I1471" t="s">
        <v>240</v>
      </c>
      <c r="J1471" s="4">
        <v>1778</v>
      </c>
      <c r="K1471" s="5">
        <v>0.22215973003374578</v>
      </c>
      <c r="L1471" s="5">
        <v>2.1934758155230598E-2</v>
      </c>
    </row>
    <row r="1472" spans="7:12">
      <c r="G1472" t="s">
        <v>2048</v>
      </c>
      <c r="H1472" t="s">
        <v>137</v>
      </c>
      <c r="I1472" t="s">
        <v>329</v>
      </c>
      <c r="J1472" s="4">
        <v>2476</v>
      </c>
      <c r="K1472" s="5">
        <v>0.22213247172859452</v>
      </c>
      <c r="L1472" s="5">
        <v>2.2617124394184167E-2</v>
      </c>
    </row>
    <row r="1473" spans="7:12">
      <c r="G1473" t="s">
        <v>2049</v>
      </c>
      <c r="H1473" t="s">
        <v>346</v>
      </c>
      <c r="I1473" t="s">
        <v>259</v>
      </c>
      <c r="J1473" s="4">
        <v>2650</v>
      </c>
      <c r="K1473" s="5">
        <v>0.22188679245283019</v>
      </c>
      <c r="L1473" s="5">
        <v>3.547169811320755E-2</v>
      </c>
    </row>
    <row r="1474" spans="7:12">
      <c r="G1474" t="s">
        <v>2050</v>
      </c>
      <c r="H1474" t="s">
        <v>398</v>
      </c>
      <c r="I1474" t="s">
        <v>131</v>
      </c>
      <c r="J1474" s="4">
        <v>13812</v>
      </c>
      <c r="K1474" s="5">
        <v>0.22183608456414711</v>
      </c>
      <c r="L1474" s="5">
        <v>9.0501013611352446E-3</v>
      </c>
    </row>
    <row r="1475" spans="7:12">
      <c r="G1475" t="s">
        <v>2051</v>
      </c>
      <c r="H1475" t="s">
        <v>162</v>
      </c>
      <c r="I1475" t="s">
        <v>416</v>
      </c>
      <c r="J1475" s="4">
        <v>1037</v>
      </c>
      <c r="K1475" s="5">
        <v>0.22179363548698167</v>
      </c>
      <c r="L1475" s="5">
        <v>1.0607521697203472E-2</v>
      </c>
    </row>
    <row r="1476" spans="7:12">
      <c r="G1476" t="s">
        <v>2052</v>
      </c>
      <c r="H1476" t="s">
        <v>131</v>
      </c>
      <c r="I1476" t="s">
        <v>362</v>
      </c>
      <c r="J1476" s="4">
        <v>12537</v>
      </c>
      <c r="K1476" s="5">
        <v>0.22174363882906598</v>
      </c>
      <c r="L1476" s="5">
        <v>1.1326473638031426E-2</v>
      </c>
    </row>
    <row r="1477" spans="7:12">
      <c r="G1477" t="s">
        <v>2053</v>
      </c>
      <c r="H1477" t="s">
        <v>204</v>
      </c>
      <c r="I1477" t="s">
        <v>95</v>
      </c>
      <c r="J1477" s="4">
        <v>14058</v>
      </c>
      <c r="K1477" s="5">
        <v>0.22172428510456679</v>
      </c>
      <c r="L1477" s="5">
        <v>1.5151515151515152E-2</v>
      </c>
    </row>
    <row r="1478" spans="7:12">
      <c r="G1478" t="s">
        <v>2054</v>
      </c>
      <c r="H1478" t="s">
        <v>137</v>
      </c>
      <c r="I1478" t="s">
        <v>461</v>
      </c>
      <c r="J1478" s="4">
        <v>1926</v>
      </c>
      <c r="K1478" s="5">
        <v>0.2217030114226376</v>
      </c>
      <c r="L1478" s="5">
        <v>1.7653167185877467E-2</v>
      </c>
    </row>
    <row r="1479" spans="7:12">
      <c r="G1479" t="s">
        <v>2055</v>
      </c>
      <c r="H1479" t="s">
        <v>434</v>
      </c>
      <c r="I1479" t="s">
        <v>89</v>
      </c>
      <c r="J1479" s="4">
        <v>7148</v>
      </c>
      <c r="K1479" s="5">
        <v>0.22160044767767206</v>
      </c>
      <c r="L1479" s="5">
        <v>2.4482372691662004E-2</v>
      </c>
    </row>
    <row r="1480" spans="7:12">
      <c r="G1480" t="s">
        <v>2056</v>
      </c>
      <c r="H1480" t="s">
        <v>180</v>
      </c>
      <c r="I1480" t="s">
        <v>299</v>
      </c>
      <c r="J1480" s="4">
        <v>1056</v>
      </c>
      <c r="K1480" s="5">
        <v>0.22159090909090909</v>
      </c>
      <c r="L1480" s="5">
        <v>8.5227272727272721E-3</v>
      </c>
    </row>
    <row r="1481" spans="7:12">
      <c r="G1481" t="s">
        <v>2057</v>
      </c>
      <c r="H1481" t="s">
        <v>218</v>
      </c>
      <c r="I1481" t="s">
        <v>259</v>
      </c>
      <c r="J1481" s="4">
        <v>23740</v>
      </c>
      <c r="K1481" s="5">
        <v>0.22156697556866048</v>
      </c>
      <c r="L1481" s="5">
        <v>1.7775905644481886E-2</v>
      </c>
    </row>
    <row r="1482" spans="7:12">
      <c r="G1482" t="s">
        <v>2058</v>
      </c>
      <c r="H1482" t="s">
        <v>189</v>
      </c>
      <c r="I1482" t="s">
        <v>221</v>
      </c>
      <c r="J1482" s="4">
        <v>6057</v>
      </c>
      <c r="K1482" s="5">
        <v>0.2215618292884266</v>
      </c>
      <c r="L1482" s="5">
        <v>7.0992240383027901E-3</v>
      </c>
    </row>
    <row r="1483" spans="7:12">
      <c r="G1483" t="s">
        <v>2059</v>
      </c>
      <c r="H1483" t="s">
        <v>103</v>
      </c>
      <c r="I1483" t="s">
        <v>491</v>
      </c>
      <c r="J1483" s="4">
        <v>1634</v>
      </c>
      <c r="K1483" s="5">
        <v>0.22154222766217871</v>
      </c>
      <c r="L1483" s="5">
        <v>6.1199510403916772E-3</v>
      </c>
    </row>
    <row r="1484" spans="7:12">
      <c r="G1484" t="s">
        <v>2060</v>
      </c>
      <c r="H1484" t="s">
        <v>89</v>
      </c>
      <c r="I1484" t="s">
        <v>432</v>
      </c>
      <c r="J1484" s="4">
        <v>7620</v>
      </c>
      <c r="K1484" s="5">
        <v>0.22152230971128609</v>
      </c>
      <c r="L1484" s="5">
        <v>2.1259842519685039E-2</v>
      </c>
    </row>
    <row r="1485" spans="7:12">
      <c r="G1485" t="s">
        <v>2061</v>
      </c>
      <c r="H1485" t="s">
        <v>131</v>
      </c>
      <c r="I1485" t="s">
        <v>486</v>
      </c>
      <c r="J1485" s="4">
        <v>2474</v>
      </c>
      <c r="K1485" s="5">
        <v>0.22150363783346808</v>
      </c>
      <c r="L1485" s="5">
        <v>2.8294260307194824E-3</v>
      </c>
    </row>
    <row r="1486" spans="7:12">
      <c r="G1486" t="s">
        <v>2062</v>
      </c>
      <c r="H1486" t="s">
        <v>149</v>
      </c>
      <c r="I1486" t="s">
        <v>352</v>
      </c>
      <c r="J1486" s="4">
        <v>1517</v>
      </c>
      <c r="K1486" s="5">
        <v>0.22148978246539222</v>
      </c>
      <c r="L1486" s="5">
        <v>2.4390243902439025E-2</v>
      </c>
    </row>
    <row r="1487" spans="7:12">
      <c r="G1487" t="s">
        <v>2063</v>
      </c>
      <c r="H1487" t="s">
        <v>233</v>
      </c>
      <c r="I1487" t="s">
        <v>118</v>
      </c>
      <c r="J1487" s="4">
        <v>14312</v>
      </c>
      <c r="K1487" s="5">
        <v>0.22142258244829513</v>
      </c>
      <c r="L1487" s="5">
        <v>1.5162101732811626E-2</v>
      </c>
    </row>
    <row r="1488" spans="7:12">
      <c r="G1488" t="s">
        <v>2064</v>
      </c>
      <c r="H1488" t="s">
        <v>392</v>
      </c>
      <c r="I1488" t="s">
        <v>204</v>
      </c>
      <c r="J1488" s="4">
        <v>3532</v>
      </c>
      <c r="K1488" s="5">
        <v>0.22140430351075877</v>
      </c>
      <c r="L1488" s="5">
        <v>3.8505096262740658E-2</v>
      </c>
    </row>
    <row r="1489" spans="7:12">
      <c r="G1489" t="s">
        <v>2065</v>
      </c>
      <c r="H1489" t="s">
        <v>131</v>
      </c>
      <c r="I1489" t="s">
        <v>115</v>
      </c>
      <c r="J1489" s="4">
        <v>5873</v>
      </c>
      <c r="K1489" s="5">
        <v>0.22135194959986379</v>
      </c>
      <c r="L1489" s="5">
        <v>5.6189341052273111E-3</v>
      </c>
    </row>
    <row r="1490" spans="7:12">
      <c r="G1490" t="s">
        <v>2066</v>
      </c>
      <c r="H1490" t="s">
        <v>2067</v>
      </c>
      <c r="I1490" t="s">
        <v>89</v>
      </c>
      <c r="J1490" s="4">
        <v>3244</v>
      </c>
      <c r="K1490" s="5">
        <v>0.22133168927250307</v>
      </c>
      <c r="L1490" s="5">
        <v>3.0517879161528975E-2</v>
      </c>
    </row>
    <row r="1491" spans="7:12">
      <c r="G1491" t="s">
        <v>2068</v>
      </c>
      <c r="H1491" t="s">
        <v>137</v>
      </c>
      <c r="I1491" t="s">
        <v>103</v>
      </c>
      <c r="J1491" s="4">
        <v>8748</v>
      </c>
      <c r="K1491" s="5">
        <v>0.22130772748056698</v>
      </c>
      <c r="L1491" s="5">
        <v>1.2002743484224965E-2</v>
      </c>
    </row>
    <row r="1492" spans="7:12">
      <c r="G1492" t="s">
        <v>2069</v>
      </c>
      <c r="H1492" t="s">
        <v>215</v>
      </c>
      <c r="I1492" t="s">
        <v>118</v>
      </c>
      <c r="J1492" s="4">
        <v>15341</v>
      </c>
      <c r="K1492" s="5">
        <v>0.22130239228211981</v>
      </c>
      <c r="L1492" s="5">
        <v>9.1910566455902492E-3</v>
      </c>
    </row>
    <row r="1493" spans="7:12">
      <c r="G1493" t="s">
        <v>2070</v>
      </c>
      <c r="H1493" t="s">
        <v>189</v>
      </c>
      <c r="I1493" t="s">
        <v>414</v>
      </c>
      <c r="J1493" s="4">
        <v>1080</v>
      </c>
      <c r="K1493" s="5">
        <v>0.2212962962962963</v>
      </c>
      <c r="L1493" s="5">
        <v>4.6296296296296294E-3</v>
      </c>
    </row>
    <row r="1494" spans="7:12">
      <c r="G1494" t="s">
        <v>2071</v>
      </c>
      <c r="H1494" t="s">
        <v>224</v>
      </c>
      <c r="I1494" t="s">
        <v>80</v>
      </c>
      <c r="J1494" s="4">
        <v>2811</v>
      </c>
      <c r="K1494" s="5">
        <v>0.22127356812522234</v>
      </c>
      <c r="L1494" s="5">
        <v>1.3874066168623266E-2</v>
      </c>
    </row>
    <row r="1495" spans="7:12">
      <c r="G1495" t="s">
        <v>2072</v>
      </c>
      <c r="H1495" t="s">
        <v>118</v>
      </c>
      <c r="I1495" t="s">
        <v>221</v>
      </c>
      <c r="J1495" s="4">
        <v>5510</v>
      </c>
      <c r="K1495" s="5">
        <v>0.22123411978221416</v>
      </c>
      <c r="L1495" s="5">
        <v>1.1070780399274047E-2</v>
      </c>
    </row>
    <row r="1496" spans="7:12">
      <c r="G1496" t="s">
        <v>2073</v>
      </c>
      <c r="H1496" t="s">
        <v>497</v>
      </c>
      <c r="I1496" t="s">
        <v>226</v>
      </c>
      <c r="J1496" s="4">
        <v>2789</v>
      </c>
      <c r="K1496" s="5">
        <v>0.22122624596629617</v>
      </c>
      <c r="L1496" s="5">
        <v>9.3223377554679104E-3</v>
      </c>
    </row>
    <row r="1497" spans="7:12">
      <c r="G1497" t="s">
        <v>2074</v>
      </c>
      <c r="H1497" t="s">
        <v>326</v>
      </c>
      <c r="I1497" t="s">
        <v>422</v>
      </c>
      <c r="J1497" s="4">
        <v>1994</v>
      </c>
      <c r="K1497" s="5">
        <v>0.22116349047141423</v>
      </c>
      <c r="L1497" s="5">
        <v>1.5045135406218655E-3</v>
      </c>
    </row>
    <row r="1498" spans="7:12">
      <c r="G1498" t="s">
        <v>2075</v>
      </c>
      <c r="H1498" t="s">
        <v>189</v>
      </c>
      <c r="I1498" t="s">
        <v>149</v>
      </c>
      <c r="J1498" s="4">
        <v>7060</v>
      </c>
      <c r="K1498" s="5">
        <v>0.22110481586402267</v>
      </c>
      <c r="L1498" s="5">
        <v>1.614730878186969E-2</v>
      </c>
    </row>
    <row r="1499" spans="7:12">
      <c r="G1499" t="s">
        <v>2076</v>
      </c>
      <c r="H1499" t="s">
        <v>322</v>
      </c>
      <c r="I1499" t="s">
        <v>226</v>
      </c>
      <c r="J1499" s="4">
        <v>4799</v>
      </c>
      <c r="K1499" s="5">
        <v>0.22108772660971035</v>
      </c>
      <c r="L1499" s="5">
        <v>9.5853302771410718E-3</v>
      </c>
    </row>
    <row r="1500" spans="7:12">
      <c r="G1500" t="s">
        <v>2077</v>
      </c>
      <c r="H1500" t="s">
        <v>162</v>
      </c>
      <c r="I1500" t="s">
        <v>118</v>
      </c>
      <c r="J1500" s="4">
        <v>20448</v>
      </c>
      <c r="K1500" s="5">
        <v>0.22104851330203443</v>
      </c>
      <c r="L1500" s="5">
        <v>1.511150234741784E-2</v>
      </c>
    </row>
    <row r="1501" spans="7:12">
      <c r="G1501" t="s">
        <v>2078</v>
      </c>
      <c r="H1501" t="s">
        <v>307</v>
      </c>
      <c r="I1501" t="s">
        <v>118</v>
      </c>
      <c r="J1501" s="4">
        <v>4135</v>
      </c>
      <c r="K1501" s="5">
        <v>0.22103990326481257</v>
      </c>
      <c r="L1501" s="5">
        <v>2.5634824667472793E-2</v>
      </c>
    </row>
    <row r="1502" spans="7:12">
      <c r="G1502" t="s">
        <v>2079</v>
      </c>
      <c r="H1502" t="s">
        <v>215</v>
      </c>
      <c r="I1502" t="s">
        <v>475</v>
      </c>
      <c r="J1502" s="4">
        <v>4122</v>
      </c>
      <c r="K1502" s="5">
        <v>0.2210092188258127</v>
      </c>
      <c r="L1502" s="5">
        <v>4.1242115477923341E-3</v>
      </c>
    </row>
    <row r="1503" spans="7:12">
      <c r="G1503" t="s">
        <v>2080</v>
      </c>
      <c r="H1503" t="s">
        <v>202</v>
      </c>
      <c r="I1503" t="s">
        <v>189</v>
      </c>
      <c r="J1503" s="4">
        <v>3702</v>
      </c>
      <c r="K1503" s="5">
        <v>0.22096164235548352</v>
      </c>
      <c r="L1503" s="5">
        <v>1.2155591572123177E-2</v>
      </c>
    </row>
    <row r="1504" spans="7:12">
      <c r="G1504" t="s">
        <v>2081</v>
      </c>
      <c r="H1504" t="s">
        <v>331</v>
      </c>
      <c r="I1504" t="s">
        <v>95</v>
      </c>
      <c r="J1504" s="4">
        <v>5211</v>
      </c>
      <c r="K1504" s="5">
        <v>0.22087890999808099</v>
      </c>
      <c r="L1504" s="5">
        <v>1.2665515256188831E-2</v>
      </c>
    </row>
    <row r="1505" spans="7:12">
      <c r="G1505" t="s">
        <v>2082</v>
      </c>
      <c r="H1505" t="s">
        <v>210</v>
      </c>
      <c r="I1505" t="s">
        <v>103</v>
      </c>
      <c r="J1505" s="4">
        <v>2495</v>
      </c>
      <c r="K1505" s="5">
        <v>0.22084168336673346</v>
      </c>
      <c r="L1505" s="5">
        <v>1.0821643286573146E-2</v>
      </c>
    </row>
    <row r="1506" spans="7:12">
      <c r="G1506" t="s">
        <v>2083</v>
      </c>
      <c r="H1506" t="s">
        <v>103</v>
      </c>
      <c r="I1506" t="s">
        <v>218</v>
      </c>
      <c r="J1506" s="4">
        <v>17841</v>
      </c>
      <c r="K1506" s="5">
        <v>0.22083963903368645</v>
      </c>
      <c r="L1506" s="5">
        <v>8.4636511406311309E-3</v>
      </c>
    </row>
    <row r="1507" spans="7:12">
      <c r="G1507" t="s">
        <v>2084</v>
      </c>
      <c r="H1507" t="s">
        <v>100</v>
      </c>
      <c r="I1507" t="s">
        <v>224</v>
      </c>
      <c r="J1507" s="4">
        <v>4157</v>
      </c>
      <c r="K1507" s="5">
        <v>0.22083233100793842</v>
      </c>
      <c r="L1507" s="5">
        <v>1.9725763771950927E-2</v>
      </c>
    </row>
    <row r="1508" spans="7:12">
      <c r="G1508" t="s">
        <v>2085</v>
      </c>
      <c r="H1508" t="s">
        <v>152</v>
      </c>
      <c r="I1508" t="s">
        <v>89</v>
      </c>
      <c r="J1508" s="4">
        <v>3333</v>
      </c>
      <c r="K1508" s="5">
        <v>0.22082208220822083</v>
      </c>
      <c r="L1508" s="5">
        <v>2.6102610261026102E-2</v>
      </c>
    </row>
    <row r="1509" spans="7:12">
      <c r="G1509" t="s">
        <v>2086</v>
      </c>
      <c r="H1509" t="s">
        <v>406</v>
      </c>
      <c r="I1509" t="s">
        <v>95</v>
      </c>
      <c r="J1509" s="4">
        <v>1096</v>
      </c>
      <c r="K1509" s="5">
        <v>0.2208029197080292</v>
      </c>
      <c r="L1509" s="5">
        <v>1.0036496350364963E-2</v>
      </c>
    </row>
    <row r="1510" spans="7:12">
      <c r="G1510" t="s">
        <v>2087</v>
      </c>
      <c r="H1510" t="s">
        <v>224</v>
      </c>
      <c r="I1510" t="s">
        <v>118</v>
      </c>
      <c r="J1510" s="4">
        <v>3936</v>
      </c>
      <c r="K1510" s="5">
        <v>0.22078252032520326</v>
      </c>
      <c r="L1510" s="5">
        <v>2.0579268292682928E-2</v>
      </c>
    </row>
    <row r="1511" spans="7:12">
      <c r="G1511" t="s">
        <v>2088</v>
      </c>
      <c r="H1511" t="s">
        <v>282</v>
      </c>
      <c r="I1511" t="s">
        <v>140</v>
      </c>
      <c r="J1511" s="4">
        <v>3986</v>
      </c>
      <c r="K1511" s="5">
        <v>0.22077270446562972</v>
      </c>
      <c r="L1511" s="5">
        <v>2.3833416959357753E-2</v>
      </c>
    </row>
    <row r="1512" spans="7:12">
      <c r="G1512" t="s">
        <v>2089</v>
      </c>
      <c r="H1512" t="s">
        <v>131</v>
      </c>
      <c r="I1512" t="s">
        <v>233</v>
      </c>
      <c r="J1512" s="4">
        <v>5984</v>
      </c>
      <c r="K1512" s="5">
        <v>0.2207553475935829</v>
      </c>
      <c r="L1512" s="5">
        <v>7.3529411764705881E-3</v>
      </c>
    </row>
    <row r="1513" spans="7:12">
      <c r="G1513" t="s">
        <v>2090</v>
      </c>
      <c r="H1513" t="s">
        <v>236</v>
      </c>
      <c r="I1513" t="s">
        <v>189</v>
      </c>
      <c r="J1513" s="4">
        <v>2949</v>
      </c>
      <c r="K1513" s="5">
        <v>0.22075279755849442</v>
      </c>
      <c r="L1513" s="5">
        <v>8.4774499830450999E-3</v>
      </c>
    </row>
    <row r="1514" spans="7:12">
      <c r="G1514" t="s">
        <v>2091</v>
      </c>
      <c r="H1514" t="s">
        <v>215</v>
      </c>
      <c r="I1514" t="s">
        <v>115</v>
      </c>
      <c r="J1514" s="4">
        <v>1772</v>
      </c>
      <c r="K1514" s="5">
        <v>0.22065462753950338</v>
      </c>
      <c r="L1514" s="5">
        <v>6.7720090293453723E-3</v>
      </c>
    </row>
    <row r="1515" spans="7:12">
      <c r="G1515" t="s">
        <v>2092</v>
      </c>
      <c r="H1515" t="s">
        <v>408</v>
      </c>
      <c r="I1515" t="s">
        <v>89</v>
      </c>
      <c r="J1515" s="4">
        <v>5720</v>
      </c>
      <c r="K1515" s="5">
        <v>0.22062937062937063</v>
      </c>
      <c r="L1515" s="5">
        <v>1.8006993006993006E-2</v>
      </c>
    </row>
    <row r="1516" spans="7:12">
      <c r="G1516" t="s">
        <v>2093</v>
      </c>
      <c r="H1516" t="s">
        <v>162</v>
      </c>
      <c r="I1516" t="s">
        <v>370</v>
      </c>
      <c r="J1516" s="4">
        <v>13689</v>
      </c>
      <c r="K1516" s="5">
        <v>0.22061509240996421</v>
      </c>
      <c r="L1516" s="5">
        <v>5.0405435020819634E-3</v>
      </c>
    </row>
    <row r="1517" spans="7:12">
      <c r="G1517" t="s">
        <v>2094</v>
      </c>
      <c r="H1517" t="s">
        <v>263</v>
      </c>
      <c r="I1517" t="s">
        <v>103</v>
      </c>
      <c r="J1517" s="4">
        <v>3930</v>
      </c>
      <c r="K1517" s="5">
        <v>0.22061068702290076</v>
      </c>
      <c r="L1517" s="5">
        <v>7.3791348600508906E-3</v>
      </c>
    </row>
    <row r="1518" spans="7:12">
      <c r="G1518" t="s">
        <v>2095</v>
      </c>
      <c r="H1518" t="s">
        <v>100</v>
      </c>
      <c r="I1518" t="s">
        <v>368</v>
      </c>
      <c r="J1518" s="4">
        <v>7457</v>
      </c>
      <c r="K1518" s="5">
        <v>0.22059809574896072</v>
      </c>
      <c r="L1518" s="5">
        <v>1.4751240445219258E-2</v>
      </c>
    </row>
    <row r="1519" spans="7:12">
      <c r="G1519" t="s">
        <v>2096</v>
      </c>
      <c r="H1519" t="s">
        <v>162</v>
      </c>
      <c r="I1519" t="s">
        <v>215</v>
      </c>
      <c r="J1519" s="4">
        <v>7698</v>
      </c>
      <c r="K1519" s="5">
        <v>0.220576773187841</v>
      </c>
      <c r="L1519" s="5">
        <v>7.7942322681215899E-3</v>
      </c>
    </row>
    <row r="1520" spans="7:12">
      <c r="G1520" t="s">
        <v>2097</v>
      </c>
      <c r="H1520" t="s">
        <v>352</v>
      </c>
      <c r="I1520" t="s">
        <v>103</v>
      </c>
      <c r="J1520" s="4">
        <v>12590</v>
      </c>
      <c r="K1520" s="5">
        <v>0.22057188244638601</v>
      </c>
      <c r="L1520" s="5">
        <v>1.1517077045274026E-2</v>
      </c>
    </row>
    <row r="1521" spans="7:12">
      <c r="G1521" t="s">
        <v>2098</v>
      </c>
      <c r="H1521" t="s">
        <v>486</v>
      </c>
      <c r="I1521" t="s">
        <v>182</v>
      </c>
      <c r="J1521" s="4">
        <v>2131</v>
      </c>
      <c r="K1521" s="5">
        <v>0.22055373064289066</v>
      </c>
      <c r="L1521" s="5">
        <v>1.5016424213984044E-2</v>
      </c>
    </row>
    <row r="1522" spans="7:12">
      <c r="G1522" t="s">
        <v>2099</v>
      </c>
      <c r="H1522" t="s">
        <v>100</v>
      </c>
      <c r="I1522" t="s">
        <v>354</v>
      </c>
      <c r="J1522" s="4">
        <v>3396</v>
      </c>
      <c r="K1522" s="5">
        <v>0.22055359246171968</v>
      </c>
      <c r="L1522" s="5">
        <v>1.0011778563015312E-2</v>
      </c>
    </row>
    <row r="1523" spans="7:12">
      <c r="G1523" t="s">
        <v>2100</v>
      </c>
      <c r="H1523" t="s">
        <v>136</v>
      </c>
      <c r="I1523" t="s">
        <v>406</v>
      </c>
      <c r="J1523" s="4">
        <v>4444</v>
      </c>
      <c r="K1523" s="5">
        <v>0.22052205220522053</v>
      </c>
      <c r="L1523" s="5">
        <v>1.2151215121512151E-2</v>
      </c>
    </row>
    <row r="1524" spans="7:12">
      <c r="G1524" t="s">
        <v>2101</v>
      </c>
      <c r="H1524" t="s">
        <v>137</v>
      </c>
      <c r="I1524" t="s">
        <v>221</v>
      </c>
      <c r="J1524" s="4">
        <v>3043</v>
      </c>
      <c r="K1524" s="5">
        <v>0.22050607952678278</v>
      </c>
      <c r="L1524" s="5">
        <v>1.5116661189615511E-2</v>
      </c>
    </row>
    <row r="1525" spans="7:12">
      <c r="G1525" t="s">
        <v>2102</v>
      </c>
      <c r="H1525" t="s">
        <v>137</v>
      </c>
      <c r="I1525" t="s">
        <v>342</v>
      </c>
      <c r="J1525" s="4">
        <v>4082</v>
      </c>
      <c r="K1525" s="5">
        <v>0.22048015678588928</v>
      </c>
      <c r="L1525" s="5">
        <v>1.8128368446839783E-2</v>
      </c>
    </row>
    <row r="1526" spans="7:12">
      <c r="G1526" t="s">
        <v>2103</v>
      </c>
      <c r="H1526" t="s">
        <v>160</v>
      </c>
      <c r="I1526" t="s">
        <v>489</v>
      </c>
      <c r="J1526" s="4">
        <v>1837</v>
      </c>
      <c r="K1526" s="5">
        <v>0.22046815459989114</v>
      </c>
      <c r="L1526" s="5">
        <v>1.0342950462710943E-2</v>
      </c>
    </row>
    <row r="1527" spans="7:12">
      <c r="G1527" t="s">
        <v>2104</v>
      </c>
      <c r="H1527" t="s">
        <v>134</v>
      </c>
      <c r="I1527" t="s">
        <v>416</v>
      </c>
      <c r="J1527" s="4">
        <v>6777</v>
      </c>
      <c r="K1527" s="5">
        <v>0.22045152722443559</v>
      </c>
      <c r="L1527" s="5">
        <v>1.5198465397668585E-2</v>
      </c>
    </row>
    <row r="1528" spans="7:12">
      <c r="G1528" t="s">
        <v>2105</v>
      </c>
      <c r="H1528" t="s">
        <v>118</v>
      </c>
      <c r="I1528" t="s">
        <v>282</v>
      </c>
      <c r="J1528" s="4">
        <v>4890</v>
      </c>
      <c r="K1528" s="5">
        <v>0.22044989775051124</v>
      </c>
      <c r="L1528" s="5">
        <v>1.1451942740286299E-2</v>
      </c>
    </row>
    <row r="1529" spans="7:12">
      <c r="G1529" t="s">
        <v>2106</v>
      </c>
      <c r="H1529" t="s">
        <v>131</v>
      </c>
      <c r="I1529" t="s">
        <v>455</v>
      </c>
      <c r="J1529" s="4">
        <v>16265</v>
      </c>
      <c r="K1529" s="5">
        <v>0.22041192745158317</v>
      </c>
      <c r="L1529" s="5">
        <v>9.0378112511527824E-3</v>
      </c>
    </row>
    <row r="1530" spans="7:12">
      <c r="G1530" t="s">
        <v>2107</v>
      </c>
      <c r="H1530" t="s">
        <v>118</v>
      </c>
      <c r="I1530" t="s">
        <v>420</v>
      </c>
      <c r="J1530" s="4">
        <v>1561</v>
      </c>
      <c r="K1530" s="5">
        <v>0.22037155669442665</v>
      </c>
      <c r="L1530" s="5">
        <v>1.3452914798206279E-2</v>
      </c>
    </row>
    <row r="1531" spans="7:12">
      <c r="G1531" t="s">
        <v>2108</v>
      </c>
      <c r="H1531" t="s">
        <v>189</v>
      </c>
      <c r="I1531" t="s">
        <v>134</v>
      </c>
      <c r="J1531" s="4">
        <v>7138</v>
      </c>
      <c r="K1531" s="5">
        <v>0.22036985149901933</v>
      </c>
      <c r="L1531" s="5">
        <v>1.7932193891846457E-2</v>
      </c>
    </row>
    <row r="1532" spans="7:12">
      <c r="G1532" t="s">
        <v>2109</v>
      </c>
      <c r="H1532" t="s">
        <v>162</v>
      </c>
      <c r="I1532" t="s">
        <v>85</v>
      </c>
      <c r="J1532" s="4">
        <v>11263</v>
      </c>
      <c r="K1532" s="5">
        <v>0.22036757524638195</v>
      </c>
      <c r="L1532" s="5">
        <v>1.3495516292284472E-2</v>
      </c>
    </row>
    <row r="1533" spans="7:12">
      <c r="G1533" t="s">
        <v>2110</v>
      </c>
      <c r="H1533" t="s">
        <v>131</v>
      </c>
      <c r="I1533" t="s">
        <v>326</v>
      </c>
      <c r="J1533" s="4">
        <v>20342</v>
      </c>
      <c r="K1533" s="5">
        <v>0.22033231737292303</v>
      </c>
      <c r="L1533" s="5">
        <v>1.0274309310785566E-2</v>
      </c>
    </row>
    <row r="1534" spans="7:12">
      <c r="G1534" t="s">
        <v>2111</v>
      </c>
      <c r="H1534" t="s">
        <v>134</v>
      </c>
      <c r="I1534" t="s">
        <v>252</v>
      </c>
      <c r="J1534" s="4">
        <v>2528</v>
      </c>
      <c r="K1534" s="5">
        <v>0.22033227848101267</v>
      </c>
      <c r="L1534" s="5">
        <v>1.2658227848101266E-2</v>
      </c>
    </row>
    <row r="1535" spans="7:12">
      <c r="G1535" t="s">
        <v>2112</v>
      </c>
      <c r="H1535" t="s">
        <v>233</v>
      </c>
      <c r="I1535" t="s">
        <v>131</v>
      </c>
      <c r="J1535" s="4">
        <v>5964</v>
      </c>
      <c r="K1535" s="5">
        <v>0.22032193158953722</v>
      </c>
      <c r="L1535" s="5">
        <v>6.371562709590879E-3</v>
      </c>
    </row>
    <row r="1536" spans="7:12">
      <c r="G1536" t="s">
        <v>2113</v>
      </c>
      <c r="H1536" t="s">
        <v>215</v>
      </c>
      <c r="I1536" t="s">
        <v>221</v>
      </c>
      <c r="J1536" s="4">
        <v>2011</v>
      </c>
      <c r="K1536" s="5">
        <v>0.22028841372451516</v>
      </c>
      <c r="L1536" s="5">
        <v>5.4699154649428148E-3</v>
      </c>
    </row>
    <row r="1537" spans="7:12">
      <c r="G1537" t="s">
        <v>2114</v>
      </c>
      <c r="H1537" t="s">
        <v>215</v>
      </c>
      <c r="I1537" t="s">
        <v>155</v>
      </c>
      <c r="J1537" s="4">
        <v>1430</v>
      </c>
      <c r="K1537" s="5">
        <v>0.22027972027972029</v>
      </c>
      <c r="L1537" s="5">
        <v>4.1958041958041958E-3</v>
      </c>
    </row>
    <row r="1538" spans="7:12">
      <c r="G1538" t="s">
        <v>2115</v>
      </c>
      <c r="H1538" t="s">
        <v>118</v>
      </c>
      <c r="I1538" t="s">
        <v>2022</v>
      </c>
      <c r="J1538" s="4">
        <v>1875</v>
      </c>
      <c r="K1538" s="5">
        <v>0.22026666666666667</v>
      </c>
      <c r="L1538" s="5">
        <v>1.8666666666666668E-2</v>
      </c>
    </row>
    <row r="1539" spans="7:12">
      <c r="G1539" t="s">
        <v>2116</v>
      </c>
      <c r="H1539" t="s">
        <v>134</v>
      </c>
      <c r="I1539" t="s">
        <v>131</v>
      </c>
      <c r="J1539" s="4">
        <v>12094</v>
      </c>
      <c r="K1539" s="5">
        <v>0.22019183065983133</v>
      </c>
      <c r="L1539" s="5">
        <v>9.4261617330907883E-3</v>
      </c>
    </row>
    <row r="1540" spans="7:12">
      <c r="G1540" t="s">
        <v>2117</v>
      </c>
      <c r="H1540" t="s">
        <v>346</v>
      </c>
      <c r="I1540" t="s">
        <v>162</v>
      </c>
      <c r="J1540" s="4">
        <v>4465</v>
      </c>
      <c r="K1540" s="5">
        <v>0.22015677491601343</v>
      </c>
      <c r="L1540" s="5">
        <v>1.2989921612541993E-2</v>
      </c>
    </row>
    <row r="1541" spans="7:12">
      <c r="G1541" t="s">
        <v>2118</v>
      </c>
      <c r="H1541" t="s">
        <v>118</v>
      </c>
      <c r="I1541" t="s">
        <v>213</v>
      </c>
      <c r="J1541" s="4">
        <v>2094</v>
      </c>
      <c r="K1541" s="5">
        <v>0.22015281757402103</v>
      </c>
      <c r="L1541" s="5">
        <v>1.7191977077363897E-2</v>
      </c>
    </row>
    <row r="1542" spans="7:12">
      <c r="G1542" t="s">
        <v>2119</v>
      </c>
      <c r="H1542" t="s">
        <v>100</v>
      </c>
      <c r="I1542" t="s">
        <v>144</v>
      </c>
      <c r="J1542" s="4">
        <v>5701</v>
      </c>
      <c r="K1542" s="5">
        <v>0.22013681810208735</v>
      </c>
      <c r="L1542" s="5">
        <v>2.2978424837747764E-2</v>
      </c>
    </row>
    <row r="1543" spans="7:12">
      <c r="G1543" t="s">
        <v>2120</v>
      </c>
      <c r="H1543" t="s">
        <v>322</v>
      </c>
      <c r="I1543" t="s">
        <v>121</v>
      </c>
      <c r="J1543" s="4">
        <v>1245</v>
      </c>
      <c r="K1543" s="5">
        <v>0.22008032128514057</v>
      </c>
      <c r="L1543" s="5">
        <v>8.0321285140562242E-3</v>
      </c>
    </row>
    <row r="1544" spans="7:12">
      <c r="G1544" t="s">
        <v>2121</v>
      </c>
      <c r="H1544" t="s">
        <v>370</v>
      </c>
      <c r="I1544" t="s">
        <v>89</v>
      </c>
      <c r="J1544" s="4">
        <v>20276</v>
      </c>
      <c r="K1544" s="5">
        <v>0.2200631288222529</v>
      </c>
      <c r="L1544" s="5">
        <v>1.4697178930755573E-2</v>
      </c>
    </row>
    <row r="1545" spans="7:12">
      <c r="G1545" t="s">
        <v>2122</v>
      </c>
      <c r="H1545" t="s">
        <v>344</v>
      </c>
      <c r="I1545" t="s">
        <v>204</v>
      </c>
      <c r="J1545" s="4">
        <v>2565</v>
      </c>
      <c r="K1545" s="5">
        <v>0.21988304093567251</v>
      </c>
      <c r="L1545" s="5">
        <v>2.9239766081871343E-2</v>
      </c>
    </row>
    <row r="1546" spans="7:12">
      <c r="G1546" t="s">
        <v>2123</v>
      </c>
      <c r="H1546" t="s">
        <v>221</v>
      </c>
      <c r="I1546" t="s">
        <v>95</v>
      </c>
      <c r="J1546" s="4">
        <v>7245</v>
      </c>
      <c r="K1546" s="5">
        <v>0.21987577639751552</v>
      </c>
      <c r="L1546" s="5">
        <v>1.2974465148378193E-2</v>
      </c>
    </row>
    <row r="1547" spans="7:12">
      <c r="G1547" t="s">
        <v>2124</v>
      </c>
      <c r="H1547" t="s">
        <v>449</v>
      </c>
      <c r="I1547" t="s">
        <v>89</v>
      </c>
      <c r="J1547" s="4">
        <v>7095</v>
      </c>
      <c r="K1547" s="5">
        <v>0.21987315010570824</v>
      </c>
      <c r="L1547" s="5">
        <v>1.8745595489781535E-2</v>
      </c>
    </row>
    <row r="1548" spans="7:12">
      <c r="G1548" t="s">
        <v>2125</v>
      </c>
      <c r="H1548" t="s">
        <v>358</v>
      </c>
      <c r="I1548" t="s">
        <v>215</v>
      </c>
      <c r="J1548" s="4">
        <v>1342</v>
      </c>
      <c r="K1548" s="5">
        <v>0.21982116244411326</v>
      </c>
      <c r="L1548" s="5">
        <v>9.6870342771982112E-3</v>
      </c>
    </row>
    <row r="1549" spans="7:12">
      <c r="G1549" t="s">
        <v>2126</v>
      </c>
      <c r="H1549" t="s">
        <v>236</v>
      </c>
      <c r="I1549" t="s">
        <v>263</v>
      </c>
      <c r="J1549" s="4">
        <v>2011</v>
      </c>
      <c r="K1549" s="5">
        <v>0.21979114868224764</v>
      </c>
      <c r="L1549" s="5">
        <v>8.950770760815515E-3</v>
      </c>
    </row>
    <row r="1550" spans="7:12">
      <c r="G1550" t="s">
        <v>2127</v>
      </c>
      <c r="H1550" t="s">
        <v>95</v>
      </c>
      <c r="I1550" t="s">
        <v>215</v>
      </c>
      <c r="J1550" s="4">
        <v>5524</v>
      </c>
      <c r="K1550" s="5">
        <v>0.21976828385228095</v>
      </c>
      <c r="L1550" s="5">
        <v>1.6292541636495295E-2</v>
      </c>
    </row>
    <row r="1551" spans="7:12">
      <c r="G1551" t="s">
        <v>2128</v>
      </c>
      <c r="H1551" t="s">
        <v>268</v>
      </c>
      <c r="I1551" t="s">
        <v>497</v>
      </c>
      <c r="J1551" s="4">
        <v>1056</v>
      </c>
      <c r="K1551" s="5">
        <v>0.2196969696969697</v>
      </c>
      <c r="L1551" s="5">
        <v>5.681818181818182E-3</v>
      </c>
    </row>
    <row r="1552" spans="7:12">
      <c r="G1552" t="s">
        <v>2129</v>
      </c>
      <c r="H1552" t="s">
        <v>103</v>
      </c>
      <c r="I1552" t="s">
        <v>254</v>
      </c>
      <c r="J1552" s="4">
        <v>2672</v>
      </c>
      <c r="K1552" s="5">
        <v>0.21968562874251496</v>
      </c>
      <c r="L1552" s="5">
        <v>1.1227544910179641E-2</v>
      </c>
    </row>
    <row r="1553" spans="7:12">
      <c r="G1553" t="s">
        <v>2130</v>
      </c>
      <c r="H1553" t="s">
        <v>103</v>
      </c>
      <c r="I1553" t="s">
        <v>364</v>
      </c>
      <c r="J1553" s="4">
        <v>4948</v>
      </c>
      <c r="K1553" s="5">
        <v>0.21968472109943413</v>
      </c>
      <c r="L1553" s="5">
        <v>1.2530315278900566E-2</v>
      </c>
    </row>
    <row r="1554" spans="7:12">
      <c r="G1554" t="s">
        <v>2131</v>
      </c>
      <c r="H1554" t="s">
        <v>126</v>
      </c>
      <c r="I1554" t="s">
        <v>202</v>
      </c>
      <c r="J1554" s="4">
        <v>1006</v>
      </c>
      <c r="K1554" s="5">
        <v>0.21968190854870775</v>
      </c>
      <c r="L1554" s="5">
        <v>2.8827037773359841E-2</v>
      </c>
    </row>
    <row r="1555" spans="7:12">
      <c r="G1555" t="s">
        <v>2132</v>
      </c>
      <c r="H1555" t="s">
        <v>317</v>
      </c>
      <c r="I1555" t="s">
        <v>259</v>
      </c>
      <c r="J1555" s="4">
        <v>1953</v>
      </c>
      <c r="K1555" s="5">
        <v>0.2196620583717358</v>
      </c>
      <c r="L1555" s="5">
        <v>2.3553507424475168E-2</v>
      </c>
    </row>
    <row r="1556" spans="7:12">
      <c r="G1556" t="s">
        <v>2133</v>
      </c>
      <c r="H1556" t="s">
        <v>103</v>
      </c>
      <c r="I1556" t="s">
        <v>245</v>
      </c>
      <c r="J1556" s="4">
        <v>3110</v>
      </c>
      <c r="K1556" s="5">
        <v>0.21961414790996783</v>
      </c>
      <c r="L1556" s="5">
        <v>1.0610932475884245E-2</v>
      </c>
    </row>
    <row r="1557" spans="7:12">
      <c r="G1557" t="s">
        <v>2134</v>
      </c>
      <c r="H1557" t="s">
        <v>410</v>
      </c>
      <c r="I1557" t="s">
        <v>95</v>
      </c>
      <c r="J1557" s="4">
        <v>2746</v>
      </c>
      <c r="K1557" s="5">
        <v>0.21959213401310998</v>
      </c>
      <c r="L1557" s="5">
        <v>9.8324836125273131E-3</v>
      </c>
    </row>
    <row r="1558" spans="7:12">
      <c r="G1558" t="s">
        <v>2135</v>
      </c>
      <c r="H1558" t="s">
        <v>95</v>
      </c>
      <c r="I1558" t="s">
        <v>461</v>
      </c>
      <c r="J1558" s="4">
        <v>5526</v>
      </c>
      <c r="K1558" s="5">
        <v>0.2195077813970322</v>
      </c>
      <c r="L1558" s="5">
        <v>7.7813970322113644E-3</v>
      </c>
    </row>
    <row r="1559" spans="7:12">
      <c r="G1559" t="s">
        <v>2136</v>
      </c>
      <c r="H1559" t="s">
        <v>172</v>
      </c>
      <c r="I1559" t="s">
        <v>80</v>
      </c>
      <c r="J1559" s="4">
        <v>1253</v>
      </c>
      <c r="K1559" s="5">
        <v>0.2194732641660016</v>
      </c>
      <c r="L1559" s="5">
        <v>1.1971268954509178E-2</v>
      </c>
    </row>
    <row r="1560" spans="7:12">
      <c r="G1560" t="s">
        <v>2137</v>
      </c>
      <c r="H1560" t="s">
        <v>215</v>
      </c>
      <c r="I1560" t="s">
        <v>160</v>
      </c>
      <c r="J1560" s="4">
        <v>1071</v>
      </c>
      <c r="K1560" s="5">
        <v>0.21942110177404295</v>
      </c>
      <c r="L1560" s="5">
        <v>1.027077497665733E-2</v>
      </c>
    </row>
    <row r="1561" spans="7:12">
      <c r="G1561" t="s">
        <v>2138</v>
      </c>
      <c r="H1561" t="s">
        <v>322</v>
      </c>
      <c r="I1561" t="s">
        <v>95</v>
      </c>
      <c r="J1561" s="4">
        <v>11820</v>
      </c>
      <c r="K1561" s="5">
        <v>0.21937394247038916</v>
      </c>
      <c r="L1561" s="5">
        <v>1.023688663282572E-2</v>
      </c>
    </row>
    <row r="1562" spans="7:12">
      <c r="G1562" t="s">
        <v>2139</v>
      </c>
      <c r="H1562" t="s">
        <v>352</v>
      </c>
      <c r="I1562" t="s">
        <v>100</v>
      </c>
      <c r="J1562" s="4">
        <v>4039</v>
      </c>
      <c r="K1562" s="5">
        <v>0.2193612280267393</v>
      </c>
      <c r="L1562" s="5">
        <v>1.0646199554345134E-2</v>
      </c>
    </row>
    <row r="1563" spans="7:12">
      <c r="G1563" t="s">
        <v>2140</v>
      </c>
      <c r="H1563" t="s">
        <v>221</v>
      </c>
      <c r="I1563" t="s">
        <v>137</v>
      </c>
      <c r="J1563" s="4">
        <v>3041</v>
      </c>
      <c r="K1563" s="5">
        <v>0.21933574482078264</v>
      </c>
      <c r="L1563" s="5">
        <v>1.8414995067412034E-2</v>
      </c>
    </row>
    <row r="1564" spans="7:12">
      <c r="G1564" t="s">
        <v>2141</v>
      </c>
      <c r="H1564" t="s">
        <v>428</v>
      </c>
      <c r="I1564" t="s">
        <v>204</v>
      </c>
      <c r="J1564" s="4">
        <v>2417</v>
      </c>
      <c r="K1564" s="5">
        <v>0.21928009929664874</v>
      </c>
      <c r="L1564" s="5">
        <v>3.8477451386015722E-2</v>
      </c>
    </row>
    <row r="1565" spans="7:12">
      <c r="G1565" t="s">
        <v>2142</v>
      </c>
      <c r="H1565" t="s">
        <v>326</v>
      </c>
      <c r="I1565" t="s">
        <v>291</v>
      </c>
      <c r="J1565" s="4">
        <v>2937</v>
      </c>
      <c r="K1565" s="5">
        <v>0.21927136533878108</v>
      </c>
      <c r="L1565" s="5">
        <v>4.0858018386108275E-3</v>
      </c>
    </row>
    <row r="1566" spans="7:12">
      <c r="G1566" t="s">
        <v>2143</v>
      </c>
      <c r="H1566" t="s">
        <v>451</v>
      </c>
      <c r="I1566" t="s">
        <v>89</v>
      </c>
      <c r="J1566" s="4">
        <v>8303</v>
      </c>
      <c r="K1566" s="5">
        <v>0.21919788028423462</v>
      </c>
      <c r="L1566" s="5">
        <v>2.0474527279296641E-2</v>
      </c>
    </row>
    <row r="1567" spans="7:12">
      <c r="G1567" t="s">
        <v>2144</v>
      </c>
      <c r="H1567" t="s">
        <v>162</v>
      </c>
      <c r="I1567" t="s">
        <v>326</v>
      </c>
      <c r="J1567" s="4">
        <v>6141</v>
      </c>
      <c r="K1567" s="5">
        <v>0.21918254355968084</v>
      </c>
      <c r="L1567" s="5">
        <v>5.2108777072138093E-3</v>
      </c>
    </row>
    <row r="1568" spans="7:12">
      <c r="G1568" t="s">
        <v>2145</v>
      </c>
      <c r="H1568" t="s">
        <v>140</v>
      </c>
      <c r="I1568" t="s">
        <v>347</v>
      </c>
      <c r="J1568" s="4">
        <v>1971</v>
      </c>
      <c r="K1568" s="5">
        <v>0.21917808219178081</v>
      </c>
      <c r="L1568" s="5">
        <v>3.5007610350076102E-2</v>
      </c>
    </row>
    <row r="1569" spans="7:12">
      <c r="G1569" t="s">
        <v>2146</v>
      </c>
      <c r="H1569" t="s">
        <v>100</v>
      </c>
      <c r="I1569" t="s">
        <v>231</v>
      </c>
      <c r="J1569" s="4">
        <v>2336</v>
      </c>
      <c r="K1569" s="5">
        <v>0.21917808219178081</v>
      </c>
      <c r="L1569" s="5">
        <v>2.3544520547945206E-2</v>
      </c>
    </row>
    <row r="1570" spans="7:12">
      <c r="G1570" t="s">
        <v>2147</v>
      </c>
      <c r="H1570" t="s">
        <v>322</v>
      </c>
      <c r="I1570" t="s">
        <v>80</v>
      </c>
      <c r="J1570" s="4">
        <v>7575</v>
      </c>
      <c r="K1570" s="5">
        <v>0.21914191419141915</v>
      </c>
      <c r="L1570" s="5">
        <v>1.0957095709570958E-2</v>
      </c>
    </row>
    <row r="1571" spans="7:12">
      <c r="G1571" t="s">
        <v>2148</v>
      </c>
      <c r="H1571" t="s">
        <v>215</v>
      </c>
      <c r="I1571" t="s">
        <v>204</v>
      </c>
      <c r="J1571" s="4">
        <v>2487</v>
      </c>
      <c r="K1571" s="5">
        <v>0.21913952553277041</v>
      </c>
      <c r="L1571" s="5">
        <v>6.4334539605950944E-3</v>
      </c>
    </row>
    <row r="1572" spans="7:12">
      <c r="G1572" t="s">
        <v>2149</v>
      </c>
      <c r="H1572" t="s">
        <v>215</v>
      </c>
      <c r="I1572" t="s">
        <v>140</v>
      </c>
      <c r="J1572" s="4">
        <v>6129</v>
      </c>
      <c r="K1572" s="5">
        <v>0.21912220590634687</v>
      </c>
      <c r="L1572" s="5">
        <v>1.6152716593245228E-2</v>
      </c>
    </row>
    <row r="1573" spans="7:12">
      <c r="G1573" t="s">
        <v>2150</v>
      </c>
      <c r="H1573" t="s">
        <v>103</v>
      </c>
      <c r="I1573" t="s">
        <v>404</v>
      </c>
      <c r="J1573" s="4">
        <v>5505</v>
      </c>
      <c r="K1573" s="5">
        <v>0.21907356948228882</v>
      </c>
      <c r="L1573" s="5">
        <v>4.359673024523161E-3</v>
      </c>
    </row>
    <row r="1574" spans="7:12">
      <c r="G1574" t="s">
        <v>2151</v>
      </c>
      <c r="H1574" t="s">
        <v>236</v>
      </c>
      <c r="I1574" t="s">
        <v>204</v>
      </c>
      <c r="J1574" s="4">
        <v>7010</v>
      </c>
      <c r="K1574" s="5">
        <v>0.21897289586305277</v>
      </c>
      <c r="L1574" s="5">
        <v>1.6119828815977174E-2</v>
      </c>
    </row>
    <row r="1575" spans="7:12">
      <c r="G1575" t="s">
        <v>2152</v>
      </c>
      <c r="H1575" t="s">
        <v>202</v>
      </c>
      <c r="I1575" t="s">
        <v>136</v>
      </c>
      <c r="J1575" s="4">
        <v>5467</v>
      </c>
      <c r="K1575" s="5">
        <v>0.21895006402048656</v>
      </c>
      <c r="L1575" s="5">
        <v>1.9389061642582771E-2</v>
      </c>
    </row>
    <row r="1576" spans="7:12">
      <c r="G1576" t="s">
        <v>2153</v>
      </c>
      <c r="H1576" t="s">
        <v>221</v>
      </c>
      <c r="I1576" t="s">
        <v>189</v>
      </c>
      <c r="J1576" s="4">
        <v>6054</v>
      </c>
      <c r="K1576" s="5">
        <v>0.21886356128179715</v>
      </c>
      <c r="L1576" s="5">
        <v>8.9197224975222991E-3</v>
      </c>
    </row>
    <row r="1577" spans="7:12">
      <c r="G1577" t="s">
        <v>2154</v>
      </c>
      <c r="H1577" t="s">
        <v>236</v>
      </c>
      <c r="I1577" t="s">
        <v>95</v>
      </c>
      <c r="J1577" s="4">
        <v>7297</v>
      </c>
      <c r="K1577" s="5">
        <v>0.21885706454707415</v>
      </c>
      <c r="L1577" s="5">
        <v>1.2470878443195834E-2</v>
      </c>
    </row>
    <row r="1578" spans="7:12">
      <c r="G1578" t="s">
        <v>2155</v>
      </c>
      <c r="H1578" t="s">
        <v>273</v>
      </c>
      <c r="I1578" t="s">
        <v>137</v>
      </c>
      <c r="J1578" s="4">
        <v>2440</v>
      </c>
      <c r="K1578" s="5">
        <v>0.21885245901639344</v>
      </c>
      <c r="L1578" s="5">
        <v>2.6229508196721311E-2</v>
      </c>
    </row>
    <row r="1579" spans="7:12">
      <c r="G1579" t="s">
        <v>2156</v>
      </c>
      <c r="H1579" t="s">
        <v>118</v>
      </c>
      <c r="I1579" t="s">
        <v>449</v>
      </c>
      <c r="J1579" s="4">
        <v>6726</v>
      </c>
      <c r="K1579" s="5">
        <v>0.21885221528397264</v>
      </c>
      <c r="L1579" s="5">
        <v>1.2191495688373476E-2</v>
      </c>
    </row>
    <row r="1580" spans="7:12">
      <c r="G1580" t="s">
        <v>2157</v>
      </c>
      <c r="H1580" t="s">
        <v>259</v>
      </c>
      <c r="I1580" t="s">
        <v>136</v>
      </c>
      <c r="J1580" s="4">
        <v>7377</v>
      </c>
      <c r="K1580" s="5">
        <v>0.21878812525416835</v>
      </c>
      <c r="L1580" s="5">
        <v>2.9415751660566626E-2</v>
      </c>
    </row>
    <row r="1581" spans="7:12">
      <c r="G1581" t="s">
        <v>2158</v>
      </c>
      <c r="H1581" t="s">
        <v>162</v>
      </c>
      <c r="I1581" t="s">
        <v>317</v>
      </c>
      <c r="J1581" s="4">
        <v>1440</v>
      </c>
      <c r="K1581" s="5">
        <v>0.21875</v>
      </c>
      <c r="L1581" s="5">
        <v>2.013888888888889E-2</v>
      </c>
    </row>
    <row r="1582" spans="7:12">
      <c r="G1582" t="s">
        <v>2159</v>
      </c>
      <c r="H1582" t="s">
        <v>158</v>
      </c>
      <c r="I1582" t="s">
        <v>89</v>
      </c>
      <c r="J1582" s="4">
        <v>8640</v>
      </c>
      <c r="K1582" s="5">
        <v>0.21875</v>
      </c>
      <c r="L1582" s="5">
        <v>1.712962962962963E-2</v>
      </c>
    </row>
    <row r="1583" spans="7:12">
      <c r="G1583" t="s">
        <v>2160</v>
      </c>
      <c r="H1583" t="s">
        <v>118</v>
      </c>
      <c r="I1583" t="s">
        <v>301</v>
      </c>
      <c r="J1583" s="4">
        <v>5336</v>
      </c>
      <c r="K1583" s="5">
        <v>0.21870314842578711</v>
      </c>
      <c r="L1583" s="5">
        <v>1.3493253373313344E-2</v>
      </c>
    </row>
    <row r="1584" spans="7:12">
      <c r="G1584" t="s">
        <v>2161</v>
      </c>
      <c r="H1584" t="s">
        <v>426</v>
      </c>
      <c r="I1584" t="s">
        <v>118</v>
      </c>
      <c r="J1584" s="4">
        <v>3791</v>
      </c>
      <c r="K1584" s="5">
        <v>0.21867581113162754</v>
      </c>
      <c r="L1584" s="5">
        <v>2.1366394091268795E-2</v>
      </c>
    </row>
    <row r="1585" spans="7:12">
      <c r="G1585" t="s">
        <v>2162</v>
      </c>
      <c r="H1585" t="s">
        <v>182</v>
      </c>
      <c r="I1585" t="s">
        <v>455</v>
      </c>
      <c r="J1585" s="4">
        <v>16431</v>
      </c>
      <c r="K1585" s="5">
        <v>0.21867202239668918</v>
      </c>
      <c r="L1585" s="5">
        <v>8.2161767390907438E-3</v>
      </c>
    </row>
    <row r="1586" spans="7:12">
      <c r="G1586" t="s">
        <v>2163</v>
      </c>
      <c r="H1586" t="s">
        <v>134</v>
      </c>
      <c r="I1586" t="s">
        <v>422</v>
      </c>
      <c r="J1586" s="4">
        <v>1962</v>
      </c>
      <c r="K1586" s="5">
        <v>0.21865443425076453</v>
      </c>
      <c r="L1586" s="5">
        <v>1.3761467889908258E-2</v>
      </c>
    </row>
    <row r="1587" spans="7:12">
      <c r="G1587" t="s">
        <v>2164</v>
      </c>
      <c r="H1587" t="s">
        <v>398</v>
      </c>
      <c r="I1587" t="s">
        <v>443</v>
      </c>
      <c r="J1587" s="4">
        <v>1523</v>
      </c>
      <c r="K1587" s="5">
        <v>0.21864740643466843</v>
      </c>
      <c r="L1587" s="5">
        <v>1.1162179908076166E-2</v>
      </c>
    </row>
    <row r="1588" spans="7:12">
      <c r="G1588" t="s">
        <v>2165</v>
      </c>
      <c r="H1588" t="s">
        <v>445</v>
      </c>
      <c r="I1588" t="s">
        <v>89</v>
      </c>
      <c r="J1588" s="4">
        <v>3148</v>
      </c>
      <c r="K1588" s="5">
        <v>0.21855146124523506</v>
      </c>
      <c r="L1588" s="5">
        <v>2.255400254129606E-2</v>
      </c>
    </row>
    <row r="1589" spans="7:12">
      <c r="G1589" t="s">
        <v>2166</v>
      </c>
      <c r="H1589" t="s">
        <v>408</v>
      </c>
      <c r="I1589" t="s">
        <v>254</v>
      </c>
      <c r="J1589" s="4">
        <v>2664</v>
      </c>
      <c r="K1589" s="5">
        <v>0.21846846846846846</v>
      </c>
      <c r="L1589" s="5">
        <v>1.3138138138138139E-2</v>
      </c>
    </row>
    <row r="1590" spans="7:12">
      <c r="G1590" t="s">
        <v>2167</v>
      </c>
      <c r="H1590" t="s">
        <v>105</v>
      </c>
      <c r="I1590" t="s">
        <v>118</v>
      </c>
      <c r="J1590" s="4">
        <v>3424</v>
      </c>
      <c r="K1590" s="5">
        <v>0.21845794392523366</v>
      </c>
      <c r="L1590" s="5">
        <v>6.7172897196261681E-3</v>
      </c>
    </row>
    <row r="1591" spans="7:12">
      <c r="G1591" t="s">
        <v>2168</v>
      </c>
      <c r="H1591" t="s">
        <v>213</v>
      </c>
      <c r="I1591" t="s">
        <v>118</v>
      </c>
      <c r="J1591" s="4">
        <v>2092</v>
      </c>
      <c r="K1591" s="5">
        <v>0.21845124282982792</v>
      </c>
      <c r="L1591" s="5">
        <v>1.9120458891013385E-2</v>
      </c>
    </row>
    <row r="1592" spans="7:12">
      <c r="G1592" t="s">
        <v>2169</v>
      </c>
      <c r="H1592" t="s">
        <v>134</v>
      </c>
      <c r="I1592" t="s">
        <v>449</v>
      </c>
      <c r="J1592" s="4">
        <v>2811</v>
      </c>
      <c r="K1592" s="5">
        <v>0.21842760583422269</v>
      </c>
      <c r="L1592" s="5">
        <v>9.9608680184987541E-3</v>
      </c>
    </row>
    <row r="1593" spans="7:12">
      <c r="G1593" t="s">
        <v>2170</v>
      </c>
      <c r="H1593" t="s">
        <v>366</v>
      </c>
      <c r="I1593" t="s">
        <v>326</v>
      </c>
      <c r="J1593" s="4">
        <v>1273</v>
      </c>
      <c r="K1593" s="5">
        <v>0.21838177533385703</v>
      </c>
      <c r="L1593" s="5">
        <v>3.1421838177533388E-3</v>
      </c>
    </row>
    <row r="1594" spans="7:12">
      <c r="G1594" t="s">
        <v>2171</v>
      </c>
      <c r="H1594" t="s">
        <v>236</v>
      </c>
      <c r="I1594" t="s">
        <v>134</v>
      </c>
      <c r="J1594" s="4">
        <v>1873</v>
      </c>
      <c r="K1594" s="5">
        <v>0.21836625734116391</v>
      </c>
      <c r="L1594" s="5">
        <v>1.8152696209289908E-2</v>
      </c>
    </row>
    <row r="1595" spans="7:12">
      <c r="G1595" t="s">
        <v>2172</v>
      </c>
      <c r="H1595" t="s">
        <v>134</v>
      </c>
      <c r="I1595" t="s">
        <v>202</v>
      </c>
      <c r="J1595" s="4">
        <v>4985</v>
      </c>
      <c r="K1595" s="5">
        <v>0.21825476429287863</v>
      </c>
      <c r="L1595" s="5">
        <v>1.765295887662989E-2</v>
      </c>
    </row>
    <row r="1596" spans="7:12">
      <c r="G1596" t="s">
        <v>2173</v>
      </c>
      <c r="H1596" t="s">
        <v>226</v>
      </c>
      <c r="I1596" t="s">
        <v>228</v>
      </c>
      <c r="J1596" s="4">
        <v>1260</v>
      </c>
      <c r="K1596" s="5">
        <v>0.21825396825396826</v>
      </c>
      <c r="L1596" s="5">
        <v>6.3492063492063492E-3</v>
      </c>
    </row>
    <row r="1597" spans="7:12">
      <c r="G1597" t="s">
        <v>2174</v>
      </c>
      <c r="H1597" t="s">
        <v>100</v>
      </c>
      <c r="I1597" t="s">
        <v>511</v>
      </c>
      <c r="J1597" s="4">
        <v>3895</v>
      </c>
      <c r="K1597" s="5">
        <v>0.21822849807445444</v>
      </c>
      <c r="L1597" s="5">
        <v>1.8998716302952502E-2</v>
      </c>
    </row>
    <row r="1598" spans="7:12">
      <c r="G1598" t="s">
        <v>2175</v>
      </c>
      <c r="H1598" t="s">
        <v>358</v>
      </c>
      <c r="I1598" t="s">
        <v>85</v>
      </c>
      <c r="J1598" s="4">
        <v>2241</v>
      </c>
      <c r="K1598" s="5">
        <v>0.2182061579651941</v>
      </c>
      <c r="L1598" s="5">
        <v>1.6064257028112448E-2</v>
      </c>
    </row>
    <row r="1599" spans="7:12">
      <c r="G1599" t="s">
        <v>2176</v>
      </c>
      <c r="H1599" t="s">
        <v>95</v>
      </c>
      <c r="I1599" t="s">
        <v>85</v>
      </c>
      <c r="J1599" s="4">
        <v>11472</v>
      </c>
      <c r="K1599" s="5">
        <v>0.2181834030683403</v>
      </c>
      <c r="L1599" s="5">
        <v>1.5167364016736401E-2</v>
      </c>
    </row>
    <row r="1600" spans="7:12">
      <c r="G1600" t="s">
        <v>2177</v>
      </c>
      <c r="H1600" t="s">
        <v>115</v>
      </c>
      <c r="I1600" t="s">
        <v>236</v>
      </c>
      <c r="J1600" s="4">
        <v>3869</v>
      </c>
      <c r="K1600" s="5">
        <v>0.21814422331351771</v>
      </c>
      <c r="L1600" s="5">
        <v>9.5631946239338322E-3</v>
      </c>
    </row>
    <row r="1601" spans="7:12">
      <c r="G1601" t="s">
        <v>2178</v>
      </c>
      <c r="H1601" t="s">
        <v>226</v>
      </c>
      <c r="I1601" t="s">
        <v>495</v>
      </c>
      <c r="J1601" s="4">
        <v>7473</v>
      </c>
      <c r="K1601" s="5">
        <v>0.21811856014987288</v>
      </c>
      <c r="L1601" s="5">
        <v>1.1240465676435166E-2</v>
      </c>
    </row>
    <row r="1602" spans="7:12">
      <c r="G1602" t="s">
        <v>2179</v>
      </c>
      <c r="H1602" t="s">
        <v>100</v>
      </c>
      <c r="I1602" t="s">
        <v>2180</v>
      </c>
      <c r="J1602" s="4">
        <v>1724</v>
      </c>
      <c r="K1602" s="5">
        <v>0.21809744779582366</v>
      </c>
      <c r="L1602" s="5">
        <v>3.0742459396751739E-2</v>
      </c>
    </row>
    <row r="1603" spans="7:12">
      <c r="G1603" t="s">
        <v>2181</v>
      </c>
      <c r="H1603" t="s">
        <v>461</v>
      </c>
      <c r="I1603" t="s">
        <v>162</v>
      </c>
      <c r="J1603" s="4">
        <v>3866</v>
      </c>
      <c r="K1603" s="5">
        <v>0.21805483704086912</v>
      </c>
      <c r="L1603" s="5">
        <v>5.4319710294878426E-3</v>
      </c>
    </row>
    <row r="1604" spans="7:12">
      <c r="G1604" t="s">
        <v>2182</v>
      </c>
      <c r="H1604" t="s">
        <v>162</v>
      </c>
      <c r="I1604" t="s">
        <v>134</v>
      </c>
      <c r="J1604" s="4">
        <v>5871</v>
      </c>
      <c r="K1604" s="5">
        <v>0.21802078010560383</v>
      </c>
      <c r="L1604" s="5">
        <v>1.3285641287685232E-2</v>
      </c>
    </row>
    <row r="1605" spans="7:12">
      <c r="G1605" t="s">
        <v>2183</v>
      </c>
      <c r="H1605" t="s">
        <v>131</v>
      </c>
      <c r="I1605" t="s">
        <v>418</v>
      </c>
      <c r="J1605" s="4">
        <v>13233</v>
      </c>
      <c r="K1605" s="5">
        <v>0.21801556714274919</v>
      </c>
      <c r="L1605" s="5">
        <v>1.5944986019798987E-2</v>
      </c>
    </row>
    <row r="1606" spans="7:12">
      <c r="G1606" t="s">
        <v>2184</v>
      </c>
      <c r="H1606" t="s">
        <v>486</v>
      </c>
      <c r="I1606" t="s">
        <v>215</v>
      </c>
      <c r="J1606" s="4">
        <v>5276</v>
      </c>
      <c r="K1606" s="5">
        <v>0.21796815769522365</v>
      </c>
      <c r="L1606" s="5">
        <v>1.573161485974223E-2</v>
      </c>
    </row>
    <row r="1607" spans="7:12">
      <c r="G1607" t="s">
        <v>2185</v>
      </c>
      <c r="H1607" t="s">
        <v>215</v>
      </c>
      <c r="I1607" t="s">
        <v>134</v>
      </c>
      <c r="J1607" s="4">
        <v>6258</v>
      </c>
      <c r="K1607" s="5">
        <v>0.21796100990731862</v>
      </c>
      <c r="L1607" s="5">
        <v>1.310322786832854E-2</v>
      </c>
    </row>
    <row r="1608" spans="7:12">
      <c r="G1608" t="s">
        <v>2186</v>
      </c>
      <c r="H1608" t="s">
        <v>434</v>
      </c>
      <c r="I1608" t="s">
        <v>215</v>
      </c>
      <c r="J1608" s="4">
        <v>1455</v>
      </c>
      <c r="K1608" s="5">
        <v>0.21786941580756014</v>
      </c>
      <c r="L1608" s="5">
        <v>8.2474226804123713E-3</v>
      </c>
    </row>
    <row r="1609" spans="7:12">
      <c r="G1609" t="s">
        <v>2187</v>
      </c>
      <c r="H1609" t="s">
        <v>331</v>
      </c>
      <c r="I1609" t="s">
        <v>204</v>
      </c>
      <c r="J1609" s="4">
        <v>4918</v>
      </c>
      <c r="K1609" s="5">
        <v>0.21777145180967872</v>
      </c>
      <c r="L1609" s="5">
        <v>2.1553477023180154E-2</v>
      </c>
    </row>
    <row r="1610" spans="7:12">
      <c r="G1610" t="s">
        <v>2188</v>
      </c>
      <c r="H1610" t="s">
        <v>342</v>
      </c>
      <c r="I1610" t="s">
        <v>215</v>
      </c>
      <c r="J1610" s="4">
        <v>1047</v>
      </c>
      <c r="K1610" s="5">
        <v>0.2177650429799427</v>
      </c>
      <c r="L1610" s="5">
        <v>1.3371537726838587E-2</v>
      </c>
    </row>
    <row r="1611" spans="7:12">
      <c r="G1611" t="s">
        <v>2189</v>
      </c>
      <c r="H1611" t="s">
        <v>103</v>
      </c>
      <c r="I1611" t="s">
        <v>187</v>
      </c>
      <c r="J1611" s="4">
        <v>4427</v>
      </c>
      <c r="K1611" s="5">
        <v>0.21775468714705218</v>
      </c>
      <c r="L1611" s="5">
        <v>9.487237406821775E-3</v>
      </c>
    </row>
    <row r="1612" spans="7:12">
      <c r="G1612" t="s">
        <v>2190</v>
      </c>
      <c r="H1612" t="s">
        <v>226</v>
      </c>
      <c r="I1612" t="s">
        <v>162</v>
      </c>
      <c r="J1612" s="4">
        <v>13671</v>
      </c>
      <c r="K1612" s="5">
        <v>0.21768707482993196</v>
      </c>
      <c r="L1612" s="5">
        <v>8.4851144758978855E-3</v>
      </c>
    </row>
    <row r="1613" spans="7:12">
      <c r="G1613" t="s">
        <v>2191</v>
      </c>
      <c r="H1613" t="s">
        <v>204</v>
      </c>
      <c r="I1613" t="s">
        <v>457</v>
      </c>
      <c r="J1613" s="4">
        <v>1075</v>
      </c>
      <c r="K1613" s="5">
        <v>0.21767441860465117</v>
      </c>
      <c r="L1613" s="5">
        <v>2.4186046511627906E-2</v>
      </c>
    </row>
    <row r="1614" spans="7:12">
      <c r="G1614" t="s">
        <v>2192</v>
      </c>
      <c r="H1614" t="s">
        <v>118</v>
      </c>
      <c r="I1614" t="s">
        <v>252</v>
      </c>
      <c r="J1614" s="4">
        <v>8954</v>
      </c>
      <c r="K1614" s="5">
        <v>0.21766808130444493</v>
      </c>
      <c r="L1614" s="5">
        <v>9.1579182488273399E-3</v>
      </c>
    </row>
    <row r="1615" spans="7:12">
      <c r="G1615" t="s">
        <v>2193</v>
      </c>
      <c r="H1615" t="s">
        <v>126</v>
      </c>
      <c r="I1615" t="s">
        <v>95</v>
      </c>
      <c r="J1615" s="4">
        <v>1948</v>
      </c>
      <c r="K1615" s="5">
        <v>0.21765913757700206</v>
      </c>
      <c r="L1615" s="5">
        <v>2.8234086242299793E-2</v>
      </c>
    </row>
    <row r="1616" spans="7:12">
      <c r="G1616" t="s">
        <v>2194</v>
      </c>
      <c r="H1616" t="s">
        <v>268</v>
      </c>
      <c r="I1616" t="s">
        <v>204</v>
      </c>
      <c r="J1616" s="4">
        <v>3115</v>
      </c>
      <c r="K1616" s="5">
        <v>0.21765650080256821</v>
      </c>
      <c r="L1616" s="5">
        <v>7.7046548956661316E-3</v>
      </c>
    </row>
    <row r="1617" spans="7:12">
      <c r="G1617" t="s">
        <v>2195</v>
      </c>
      <c r="H1617" t="s">
        <v>342</v>
      </c>
      <c r="I1617" t="s">
        <v>80</v>
      </c>
      <c r="J1617" s="4">
        <v>1824</v>
      </c>
      <c r="K1617" s="5">
        <v>0.21765350877192982</v>
      </c>
      <c r="L1617" s="5">
        <v>1.3157894736842105E-2</v>
      </c>
    </row>
    <row r="1618" spans="7:12">
      <c r="G1618" t="s">
        <v>2196</v>
      </c>
      <c r="H1618" t="s">
        <v>131</v>
      </c>
      <c r="I1618" t="s">
        <v>349</v>
      </c>
      <c r="J1618" s="4">
        <v>1190</v>
      </c>
      <c r="K1618" s="5">
        <v>0.21764705882352942</v>
      </c>
      <c r="L1618" s="5">
        <v>2.5210084033613447E-3</v>
      </c>
    </row>
    <row r="1619" spans="7:12">
      <c r="G1619" t="s">
        <v>2197</v>
      </c>
      <c r="H1619" t="s">
        <v>346</v>
      </c>
      <c r="I1619" t="s">
        <v>89</v>
      </c>
      <c r="J1619" s="4">
        <v>5317</v>
      </c>
      <c r="K1619" s="5">
        <v>0.2176039119804401</v>
      </c>
      <c r="L1619" s="5">
        <v>1.410569870227572E-2</v>
      </c>
    </row>
    <row r="1620" spans="7:12">
      <c r="G1620" t="s">
        <v>2198</v>
      </c>
      <c r="H1620" t="s">
        <v>160</v>
      </c>
      <c r="I1620" t="s">
        <v>434</v>
      </c>
      <c r="J1620" s="4">
        <v>5092</v>
      </c>
      <c r="K1620" s="5">
        <v>0.21759622937941869</v>
      </c>
      <c r="L1620" s="5">
        <v>1.2961508248232521E-2</v>
      </c>
    </row>
    <row r="1621" spans="7:12">
      <c r="G1621" t="s">
        <v>2199</v>
      </c>
      <c r="H1621" t="s">
        <v>105</v>
      </c>
      <c r="I1621" t="s">
        <v>100</v>
      </c>
      <c r="J1621" s="4">
        <v>2969</v>
      </c>
      <c r="K1621" s="5">
        <v>0.21758167733243516</v>
      </c>
      <c r="L1621" s="5">
        <v>5.3890198720107779E-3</v>
      </c>
    </row>
    <row r="1622" spans="7:12">
      <c r="G1622" t="s">
        <v>2200</v>
      </c>
      <c r="H1622" t="s">
        <v>202</v>
      </c>
      <c r="I1622" t="s">
        <v>358</v>
      </c>
      <c r="J1622" s="4">
        <v>3163</v>
      </c>
      <c r="K1622" s="5">
        <v>0.21751501738855517</v>
      </c>
      <c r="L1622" s="5">
        <v>2.1814732848561492E-2</v>
      </c>
    </row>
    <row r="1623" spans="7:12">
      <c r="G1623" t="s">
        <v>2201</v>
      </c>
      <c r="H1623" t="s">
        <v>326</v>
      </c>
      <c r="I1623" t="s">
        <v>408</v>
      </c>
      <c r="J1623" s="4">
        <v>4520</v>
      </c>
      <c r="K1623" s="5">
        <v>0.21747787610619468</v>
      </c>
      <c r="L1623" s="5">
        <v>3.5398230088495575E-3</v>
      </c>
    </row>
    <row r="1624" spans="7:12">
      <c r="G1624" t="s">
        <v>2202</v>
      </c>
      <c r="H1624" t="s">
        <v>2203</v>
      </c>
      <c r="I1624" t="s">
        <v>103</v>
      </c>
      <c r="J1624" s="4">
        <v>1467</v>
      </c>
      <c r="K1624" s="5">
        <v>0.21745057941376961</v>
      </c>
      <c r="L1624" s="5">
        <v>3.6128152692569873E-2</v>
      </c>
    </row>
    <row r="1625" spans="7:12">
      <c r="G1625" t="s">
        <v>2204</v>
      </c>
      <c r="H1625" t="s">
        <v>326</v>
      </c>
      <c r="I1625" t="s">
        <v>149</v>
      </c>
      <c r="J1625" s="4">
        <v>7961</v>
      </c>
      <c r="K1625" s="5">
        <v>0.21743499560356738</v>
      </c>
      <c r="L1625" s="5">
        <v>1.2561236025624922E-2</v>
      </c>
    </row>
    <row r="1626" spans="7:12">
      <c r="G1626" t="s">
        <v>2205</v>
      </c>
      <c r="H1626" t="s">
        <v>221</v>
      </c>
      <c r="I1626" t="s">
        <v>160</v>
      </c>
      <c r="J1626" s="4">
        <v>6996</v>
      </c>
      <c r="K1626" s="5">
        <v>0.217409948542024</v>
      </c>
      <c r="L1626" s="5">
        <v>1.6580903373356205E-2</v>
      </c>
    </row>
    <row r="1627" spans="7:12">
      <c r="G1627" t="s">
        <v>2206</v>
      </c>
      <c r="H1627" t="s">
        <v>89</v>
      </c>
      <c r="I1627" t="s">
        <v>169</v>
      </c>
      <c r="J1627" s="4">
        <v>2691</v>
      </c>
      <c r="K1627" s="5">
        <v>0.21739130434782608</v>
      </c>
      <c r="L1627" s="5">
        <v>2.8242289111854328E-2</v>
      </c>
    </row>
    <row r="1628" spans="7:12">
      <c r="G1628" t="s">
        <v>2207</v>
      </c>
      <c r="H1628" t="s">
        <v>187</v>
      </c>
      <c r="I1628" t="s">
        <v>89</v>
      </c>
      <c r="J1628" s="4">
        <v>1725</v>
      </c>
      <c r="K1628" s="5">
        <v>0.21739130434782608</v>
      </c>
      <c r="L1628" s="5">
        <v>1.2173913043478261E-2</v>
      </c>
    </row>
    <row r="1629" spans="7:12">
      <c r="G1629" t="s">
        <v>2208</v>
      </c>
      <c r="H1629" t="s">
        <v>370</v>
      </c>
      <c r="I1629" t="s">
        <v>236</v>
      </c>
      <c r="J1629" s="4">
        <v>3317</v>
      </c>
      <c r="K1629" s="5">
        <v>0.21736508893578535</v>
      </c>
      <c r="L1629" s="5">
        <v>5.426590292432921E-3</v>
      </c>
    </row>
    <row r="1630" spans="7:12">
      <c r="G1630" t="s">
        <v>2209</v>
      </c>
      <c r="H1630" t="s">
        <v>95</v>
      </c>
      <c r="I1630" t="s">
        <v>370</v>
      </c>
      <c r="J1630" s="4">
        <v>9299</v>
      </c>
      <c r="K1630" s="5">
        <v>0.21733519733304657</v>
      </c>
      <c r="L1630" s="5">
        <v>8.6030755995268309E-3</v>
      </c>
    </row>
    <row r="1631" spans="7:12">
      <c r="G1631" t="s">
        <v>2210</v>
      </c>
      <c r="H1631" t="s">
        <v>136</v>
      </c>
      <c r="I1631" t="s">
        <v>189</v>
      </c>
      <c r="J1631" s="4">
        <v>4477</v>
      </c>
      <c r="K1631" s="5">
        <v>0.2173330355148537</v>
      </c>
      <c r="L1631" s="5">
        <v>1.0051373687737324E-2</v>
      </c>
    </row>
    <row r="1632" spans="7:12">
      <c r="G1632" t="s">
        <v>2211</v>
      </c>
      <c r="H1632" t="s">
        <v>136</v>
      </c>
      <c r="I1632" t="s">
        <v>160</v>
      </c>
      <c r="J1632" s="4">
        <v>6824</v>
      </c>
      <c r="K1632" s="5">
        <v>0.21732121922626027</v>
      </c>
      <c r="L1632" s="5">
        <v>1.7145369284876904E-2</v>
      </c>
    </row>
    <row r="1633" spans="7:12">
      <c r="G1633" t="s">
        <v>2212</v>
      </c>
      <c r="H1633" t="s">
        <v>218</v>
      </c>
      <c r="I1633" t="s">
        <v>178</v>
      </c>
      <c r="J1633" s="4">
        <v>2987</v>
      </c>
      <c r="K1633" s="5">
        <v>0.21727485771677268</v>
      </c>
      <c r="L1633" s="5">
        <v>8.0348175426849678E-3</v>
      </c>
    </row>
    <row r="1634" spans="7:12">
      <c r="G1634" t="s">
        <v>2213</v>
      </c>
      <c r="H1634" t="s">
        <v>322</v>
      </c>
      <c r="I1634" t="s">
        <v>204</v>
      </c>
      <c r="J1634" s="4">
        <v>8287</v>
      </c>
      <c r="K1634" s="5">
        <v>0.21720767467117172</v>
      </c>
      <c r="L1634" s="5">
        <v>2.0272716302642692E-2</v>
      </c>
    </row>
    <row r="1635" spans="7:12">
      <c r="G1635" t="s">
        <v>2214</v>
      </c>
      <c r="H1635" t="s">
        <v>204</v>
      </c>
      <c r="I1635" t="s">
        <v>254</v>
      </c>
      <c r="J1635" s="4">
        <v>2616</v>
      </c>
      <c r="K1635" s="5">
        <v>0.21712538226299694</v>
      </c>
      <c r="L1635" s="5">
        <v>1.834862385321101E-2</v>
      </c>
    </row>
    <row r="1636" spans="7:12">
      <c r="G1636" t="s">
        <v>2215</v>
      </c>
      <c r="H1636" t="s">
        <v>103</v>
      </c>
      <c r="I1636" t="s">
        <v>311</v>
      </c>
      <c r="J1636" s="4">
        <v>4424</v>
      </c>
      <c r="K1636" s="5">
        <v>0.21699819168173598</v>
      </c>
      <c r="L1636" s="5">
        <v>1.7179023508137433E-2</v>
      </c>
    </row>
    <row r="1637" spans="7:12">
      <c r="G1637" t="s">
        <v>2216</v>
      </c>
      <c r="H1637" t="s">
        <v>303</v>
      </c>
      <c r="I1637" t="s">
        <v>89</v>
      </c>
      <c r="J1637" s="4">
        <v>4775</v>
      </c>
      <c r="K1637" s="5">
        <v>0.21696335078534032</v>
      </c>
      <c r="L1637" s="5">
        <v>2.9528795811518325E-2</v>
      </c>
    </row>
    <row r="1638" spans="7:12">
      <c r="G1638" t="s">
        <v>2217</v>
      </c>
      <c r="H1638" t="s">
        <v>340</v>
      </c>
      <c r="I1638" t="s">
        <v>100</v>
      </c>
      <c r="J1638" s="4">
        <v>5992</v>
      </c>
      <c r="K1638" s="5">
        <v>0.21695594125500667</v>
      </c>
      <c r="L1638" s="5">
        <v>1.2182910547396529E-2</v>
      </c>
    </row>
    <row r="1639" spans="7:12">
      <c r="G1639" t="s">
        <v>2218</v>
      </c>
      <c r="H1639" t="s">
        <v>259</v>
      </c>
      <c r="I1639" t="s">
        <v>103</v>
      </c>
      <c r="J1639" s="4">
        <v>14451</v>
      </c>
      <c r="K1639" s="5">
        <v>0.2169400041519618</v>
      </c>
      <c r="L1639" s="5">
        <v>1.8476230018683829E-2</v>
      </c>
    </row>
    <row r="1640" spans="7:12">
      <c r="G1640" t="s">
        <v>2219</v>
      </c>
      <c r="H1640" t="s">
        <v>189</v>
      </c>
      <c r="I1640" t="s">
        <v>503</v>
      </c>
      <c r="J1640" s="4">
        <v>1761</v>
      </c>
      <c r="K1640" s="5">
        <v>0.21692220329358319</v>
      </c>
      <c r="L1640" s="5">
        <v>3.9750141964792728E-3</v>
      </c>
    </row>
    <row r="1641" spans="7:12">
      <c r="G1641" t="s">
        <v>2220</v>
      </c>
      <c r="H1641" t="s">
        <v>266</v>
      </c>
      <c r="I1641" t="s">
        <v>103</v>
      </c>
      <c r="J1641" s="4">
        <v>4827</v>
      </c>
      <c r="K1641" s="5">
        <v>0.21690490988191424</v>
      </c>
      <c r="L1641" s="5">
        <v>1.5330432981147711E-2</v>
      </c>
    </row>
    <row r="1642" spans="7:12">
      <c r="G1642" t="s">
        <v>2221</v>
      </c>
      <c r="H1642" t="s">
        <v>370</v>
      </c>
      <c r="I1642" t="s">
        <v>80</v>
      </c>
      <c r="J1642" s="4">
        <v>6157</v>
      </c>
      <c r="K1642" s="5">
        <v>0.21682637648205294</v>
      </c>
      <c r="L1642" s="5">
        <v>8.4456715933084302E-3</v>
      </c>
    </row>
    <row r="1643" spans="7:12">
      <c r="G1643" t="s">
        <v>2222</v>
      </c>
      <c r="H1643" t="s">
        <v>364</v>
      </c>
      <c r="I1643" t="s">
        <v>103</v>
      </c>
      <c r="J1643" s="4">
        <v>4949</v>
      </c>
      <c r="K1643" s="5">
        <v>0.21681147706607395</v>
      </c>
      <c r="L1643" s="5">
        <v>1.6771064861588199E-2</v>
      </c>
    </row>
    <row r="1644" spans="7:12">
      <c r="G1644" t="s">
        <v>2223</v>
      </c>
      <c r="H1644" t="s">
        <v>184</v>
      </c>
      <c r="I1644" t="s">
        <v>89</v>
      </c>
      <c r="J1644" s="4">
        <v>1167</v>
      </c>
      <c r="K1644" s="5">
        <v>0.21679520137103683</v>
      </c>
      <c r="L1644" s="5">
        <v>1.8851756640959727E-2</v>
      </c>
    </row>
    <row r="1645" spans="7:12">
      <c r="G1645" t="s">
        <v>2224</v>
      </c>
      <c r="H1645" t="s">
        <v>326</v>
      </c>
      <c r="I1645" t="s">
        <v>331</v>
      </c>
      <c r="J1645" s="4">
        <v>1573</v>
      </c>
      <c r="K1645" s="5">
        <v>0.21678321678321677</v>
      </c>
      <c r="L1645" s="5">
        <v>6.3572790845518121E-3</v>
      </c>
    </row>
    <row r="1646" spans="7:12">
      <c r="G1646" t="s">
        <v>2225</v>
      </c>
      <c r="H1646" t="s">
        <v>110</v>
      </c>
      <c r="I1646" t="s">
        <v>370</v>
      </c>
      <c r="J1646" s="4">
        <v>1550</v>
      </c>
      <c r="K1646" s="5">
        <v>0.21677419354838709</v>
      </c>
      <c r="L1646" s="5">
        <v>1.3548387096774193E-2</v>
      </c>
    </row>
    <row r="1647" spans="7:12">
      <c r="G1647" t="s">
        <v>2226</v>
      </c>
      <c r="H1647" t="s">
        <v>131</v>
      </c>
      <c r="I1647" t="s">
        <v>449</v>
      </c>
      <c r="J1647" s="4">
        <v>11256</v>
      </c>
      <c r="K1647" s="5">
        <v>0.21677327647476902</v>
      </c>
      <c r="L1647" s="5">
        <v>1.0127931769722815E-2</v>
      </c>
    </row>
    <row r="1648" spans="7:12">
      <c r="G1648" t="s">
        <v>2227</v>
      </c>
      <c r="H1648" t="s">
        <v>89</v>
      </c>
      <c r="I1648" t="s">
        <v>529</v>
      </c>
      <c r="J1648" s="4">
        <v>1186</v>
      </c>
      <c r="K1648" s="5">
        <v>0.21669477234401349</v>
      </c>
      <c r="L1648" s="5">
        <v>1.6863406408094434E-2</v>
      </c>
    </row>
    <row r="1649" spans="7:12">
      <c r="G1649" t="s">
        <v>2228</v>
      </c>
      <c r="H1649" t="s">
        <v>215</v>
      </c>
      <c r="I1649" t="s">
        <v>136</v>
      </c>
      <c r="J1649" s="4">
        <v>1662</v>
      </c>
      <c r="K1649" s="5">
        <v>0.21660649819494585</v>
      </c>
      <c r="L1649" s="5">
        <v>3.0084235860409147E-3</v>
      </c>
    </row>
    <row r="1650" spans="7:12">
      <c r="G1650" t="s">
        <v>2229</v>
      </c>
      <c r="H1650" t="s">
        <v>162</v>
      </c>
      <c r="I1650" t="s">
        <v>149</v>
      </c>
      <c r="J1650" s="4">
        <v>17567</v>
      </c>
      <c r="K1650" s="5">
        <v>0.21648545568395286</v>
      </c>
      <c r="L1650" s="5">
        <v>2.8291683269767175E-2</v>
      </c>
    </row>
    <row r="1651" spans="7:12">
      <c r="G1651" t="s">
        <v>2230</v>
      </c>
      <c r="H1651" t="s">
        <v>89</v>
      </c>
      <c r="I1651" t="s">
        <v>426</v>
      </c>
      <c r="J1651" s="4">
        <v>3871</v>
      </c>
      <c r="K1651" s="5">
        <v>0.21648152932058901</v>
      </c>
      <c r="L1651" s="5">
        <v>1.62748643761302E-2</v>
      </c>
    </row>
    <row r="1652" spans="7:12">
      <c r="G1652" t="s">
        <v>2231</v>
      </c>
      <c r="H1652" t="s">
        <v>326</v>
      </c>
      <c r="I1652" t="s">
        <v>360</v>
      </c>
      <c r="J1652" s="4">
        <v>4126</v>
      </c>
      <c r="K1652" s="5">
        <v>0.21643238002908385</v>
      </c>
      <c r="L1652" s="5">
        <v>4.1202132816286962E-3</v>
      </c>
    </row>
    <row r="1653" spans="7:12">
      <c r="G1653" t="s">
        <v>2232</v>
      </c>
      <c r="H1653" t="s">
        <v>80</v>
      </c>
      <c r="I1653" t="s">
        <v>103</v>
      </c>
      <c r="J1653" s="4">
        <v>4930</v>
      </c>
      <c r="K1653" s="5">
        <v>0.21643002028397565</v>
      </c>
      <c r="L1653" s="5">
        <v>9.9391480730223122E-3</v>
      </c>
    </row>
    <row r="1654" spans="7:12">
      <c r="G1654" t="s">
        <v>2233</v>
      </c>
      <c r="H1654" t="s">
        <v>299</v>
      </c>
      <c r="I1654" t="s">
        <v>204</v>
      </c>
      <c r="J1654" s="4">
        <v>2070</v>
      </c>
      <c r="K1654" s="5">
        <v>0.21642512077294687</v>
      </c>
      <c r="L1654" s="5">
        <v>3.2850241545893721E-2</v>
      </c>
    </row>
    <row r="1655" spans="7:12">
      <c r="G1655" t="s">
        <v>2234</v>
      </c>
      <c r="H1655" t="s">
        <v>370</v>
      </c>
      <c r="I1655" t="s">
        <v>160</v>
      </c>
      <c r="J1655" s="4">
        <v>5517</v>
      </c>
      <c r="K1655" s="5">
        <v>0.21642196846112016</v>
      </c>
      <c r="L1655" s="5">
        <v>8.5191227116186326E-3</v>
      </c>
    </row>
    <row r="1656" spans="7:12">
      <c r="G1656" t="s">
        <v>2235</v>
      </c>
      <c r="H1656" t="s">
        <v>461</v>
      </c>
      <c r="I1656" t="s">
        <v>160</v>
      </c>
      <c r="J1656" s="4">
        <v>2052</v>
      </c>
      <c r="K1656" s="5">
        <v>0.21637426900584794</v>
      </c>
      <c r="L1656" s="5">
        <v>8.771929824561403E-3</v>
      </c>
    </row>
    <row r="1657" spans="7:12">
      <c r="G1657" t="s">
        <v>2236</v>
      </c>
      <c r="H1657" t="s">
        <v>352</v>
      </c>
      <c r="I1657" t="s">
        <v>149</v>
      </c>
      <c r="J1657" s="4">
        <v>1516</v>
      </c>
      <c r="K1657" s="5">
        <v>0.21635883905013192</v>
      </c>
      <c r="L1657" s="5">
        <v>2.4406332453825858E-2</v>
      </c>
    </row>
    <row r="1658" spans="7:12">
      <c r="G1658" t="s">
        <v>2237</v>
      </c>
      <c r="H1658" t="s">
        <v>103</v>
      </c>
      <c r="I1658" t="s">
        <v>370</v>
      </c>
      <c r="J1658" s="4">
        <v>22852</v>
      </c>
      <c r="K1658" s="5">
        <v>0.21634867845265185</v>
      </c>
      <c r="L1658" s="5">
        <v>9.3208471906178897E-3</v>
      </c>
    </row>
    <row r="1659" spans="7:12">
      <c r="G1659" t="s">
        <v>2238</v>
      </c>
      <c r="H1659" t="s">
        <v>295</v>
      </c>
      <c r="I1659" t="s">
        <v>89</v>
      </c>
      <c r="J1659" s="4">
        <v>1285</v>
      </c>
      <c r="K1659" s="5">
        <v>0.21634241245136188</v>
      </c>
      <c r="L1659" s="5">
        <v>9.3385214007782099E-3</v>
      </c>
    </row>
    <row r="1660" spans="7:12">
      <c r="G1660" t="s">
        <v>2239</v>
      </c>
      <c r="H1660" t="s">
        <v>149</v>
      </c>
      <c r="I1660" t="s">
        <v>233</v>
      </c>
      <c r="J1660" s="4">
        <v>6194</v>
      </c>
      <c r="K1660" s="5">
        <v>0.21633839199225058</v>
      </c>
      <c r="L1660" s="5">
        <v>2.9060381013884404E-2</v>
      </c>
    </row>
    <row r="1661" spans="7:12">
      <c r="G1661" t="s">
        <v>2240</v>
      </c>
      <c r="H1661" t="s">
        <v>204</v>
      </c>
      <c r="I1661" t="s">
        <v>221</v>
      </c>
      <c r="J1661" s="4">
        <v>5644</v>
      </c>
      <c r="K1661" s="5">
        <v>0.21633593196314671</v>
      </c>
      <c r="L1661" s="5">
        <v>1.6654854712969524E-2</v>
      </c>
    </row>
    <row r="1662" spans="7:12">
      <c r="G1662" t="s">
        <v>2241</v>
      </c>
      <c r="H1662" t="s">
        <v>390</v>
      </c>
      <c r="I1662" t="s">
        <v>155</v>
      </c>
      <c r="J1662" s="4">
        <v>1905</v>
      </c>
      <c r="K1662" s="5">
        <v>0.21627296587926509</v>
      </c>
      <c r="L1662" s="5">
        <v>5.774278215223097E-3</v>
      </c>
    </row>
    <row r="1663" spans="7:12">
      <c r="G1663" t="s">
        <v>2242</v>
      </c>
      <c r="H1663" t="s">
        <v>215</v>
      </c>
      <c r="I1663" t="s">
        <v>525</v>
      </c>
      <c r="J1663" s="4">
        <v>4245</v>
      </c>
      <c r="K1663" s="5">
        <v>0.21625441696113074</v>
      </c>
      <c r="L1663" s="5">
        <v>1.0600706713780919E-2</v>
      </c>
    </row>
    <row r="1664" spans="7:12">
      <c r="G1664" t="s">
        <v>2243</v>
      </c>
      <c r="H1664" t="s">
        <v>204</v>
      </c>
      <c r="I1664" t="s">
        <v>358</v>
      </c>
      <c r="J1664" s="4">
        <v>4389</v>
      </c>
      <c r="K1664" s="5">
        <v>0.21622237411711095</v>
      </c>
      <c r="L1664" s="5">
        <v>3.6910457963089539E-2</v>
      </c>
    </row>
    <row r="1665" spans="7:12">
      <c r="G1665" t="s">
        <v>2244</v>
      </c>
      <c r="H1665" t="s">
        <v>305</v>
      </c>
      <c r="I1665" t="s">
        <v>103</v>
      </c>
      <c r="J1665" s="4">
        <v>3627</v>
      </c>
      <c r="K1665" s="5">
        <v>0.21615660325337746</v>
      </c>
      <c r="L1665" s="5">
        <v>1.2131237937689551E-2</v>
      </c>
    </row>
    <row r="1666" spans="7:12">
      <c r="G1666" t="s">
        <v>2245</v>
      </c>
      <c r="H1666" t="s">
        <v>495</v>
      </c>
      <c r="I1666" t="s">
        <v>215</v>
      </c>
      <c r="J1666" s="4">
        <v>8635</v>
      </c>
      <c r="K1666" s="5">
        <v>0.21598147075854082</v>
      </c>
      <c r="L1666" s="5">
        <v>1.0538506079907355E-2</v>
      </c>
    </row>
    <row r="1667" spans="7:12">
      <c r="G1667" t="s">
        <v>2246</v>
      </c>
      <c r="H1667" t="s">
        <v>158</v>
      </c>
      <c r="I1667" t="s">
        <v>100</v>
      </c>
      <c r="J1667" s="4">
        <v>3644</v>
      </c>
      <c r="K1667" s="5">
        <v>0.2159714599341383</v>
      </c>
      <c r="L1667" s="5">
        <v>1.344676180021954E-2</v>
      </c>
    </row>
    <row r="1668" spans="7:12">
      <c r="G1668" t="s">
        <v>2247</v>
      </c>
      <c r="H1668" t="s">
        <v>187</v>
      </c>
      <c r="I1668" t="s">
        <v>103</v>
      </c>
      <c r="J1668" s="4">
        <v>4427</v>
      </c>
      <c r="K1668" s="5">
        <v>0.21594759430765756</v>
      </c>
      <c r="L1668" s="5">
        <v>1.0842557036367743E-2</v>
      </c>
    </row>
    <row r="1669" spans="7:12">
      <c r="G1669" t="s">
        <v>2248</v>
      </c>
      <c r="H1669" t="s">
        <v>134</v>
      </c>
      <c r="I1669" t="s">
        <v>377</v>
      </c>
      <c r="J1669" s="4">
        <v>5594</v>
      </c>
      <c r="K1669" s="5">
        <v>0.21594565606006436</v>
      </c>
      <c r="L1669" s="5">
        <v>1.1798355380765105E-2</v>
      </c>
    </row>
    <row r="1670" spans="7:12">
      <c r="G1670" t="s">
        <v>2249</v>
      </c>
      <c r="H1670" t="s">
        <v>326</v>
      </c>
      <c r="I1670" t="s">
        <v>358</v>
      </c>
      <c r="J1670" s="4">
        <v>2446</v>
      </c>
      <c r="K1670" s="5">
        <v>0.21586263286999183</v>
      </c>
      <c r="L1670" s="5">
        <v>6.1324611610793136E-3</v>
      </c>
    </row>
    <row r="1671" spans="7:12">
      <c r="G1671" t="s">
        <v>2250</v>
      </c>
      <c r="H1671" t="s">
        <v>103</v>
      </c>
      <c r="I1671" t="s">
        <v>309</v>
      </c>
      <c r="J1671" s="4">
        <v>3975</v>
      </c>
      <c r="K1671" s="5">
        <v>0.2158490566037736</v>
      </c>
      <c r="L1671" s="5">
        <v>1.5597484276729559E-2</v>
      </c>
    </row>
    <row r="1672" spans="7:12">
      <c r="G1672" t="s">
        <v>2251</v>
      </c>
      <c r="H1672" t="s">
        <v>137</v>
      </c>
      <c r="I1672" t="s">
        <v>370</v>
      </c>
      <c r="J1672" s="4">
        <v>7575</v>
      </c>
      <c r="K1672" s="5">
        <v>0.21584158415841584</v>
      </c>
      <c r="L1672" s="5">
        <v>7.9207920792079209E-3</v>
      </c>
    </row>
    <row r="1673" spans="7:12">
      <c r="G1673" t="s">
        <v>2252</v>
      </c>
      <c r="H1673" t="s">
        <v>455</v>
      </c>
      <c r="I1673" t="s">
        <v>226</v>
      </c>
      <c r="J1673" s="4">
        <v>3285</v>
      </c>
      <c r="K1673" s="5">
        <v>0.21582952815829529</v>
      </c>
      <c r="L1673" s="5">
        <v>1.3089802130898021E-2</v>
      </c>
    </row>
    <row r="1674" spans="7:12">
      <c r="G1674" t="s">
        <v>2253</v>
      </c>
      <c r="H1674" t="s">
        <v>182</v>
      </c>
      <c r="I1674" t="s">
        <v>326</v>
      </c>
      <c r="J1674" s="4">
        <v>16708</v>
      </c>
      <c r="K1674" s="5">
        <v>0.21582475460857076</v>
      </c>
      <c r="L1674" s="5">
        <v>1.3346899688771846E-2</v>
      </c>
    </row>
    <row r="1675" spans="7:12">
      <c r="G1675" t="s">
        <v>2254</v>
      </c>
      <c r="H1675" t="s">
        <v>233</v>
      </c>
      <c r="I1675" t="s">
        <v>202</v>
      </c>
      <c r="J1675" s="4">
        <v>7002</v>
      </c>
      <c r="K1675" s="5">
        <v>0.21579548700371323</v>
      </c>
      <c r="L1675" s="5">
        <v>1.5424164524421594E-2</v>
      </c>
    </row>
    <row r="1676" spans="7:12">
      <c r="G1676" t="s">
        <v>2255</v>
      </c>
      <c r="H1676" t="s">
        <v>2256</v>
      </c>
      <c r="I1676" t="s">
        <v>89</v>
      </c>
      <c r="J1676" s="4">
        <v>3240</v>
      </c>
      <c r="K1676" s="5">
        <v>0.21574074074074073</v>
      </c>
      <c r="L1676" s="5">
        <v>3.0555555555555555E-2</v>
      </c>
    </row>
    <row r="1677" spans="7:12">
      <c r="G1677" t="s">
        <v>2257</v>
      </c>
      <c r="H1677" t="s">
        <v>140</v>
      </c>
      <c r="I1677" t="s">
        <v>221</v>
      </c>
      <c r="J1677" s="4">
        <v>4131</v>
      </c>
      <c r="K1677" s="5">
        <v>0.21568627450980393</v>
      </c>
      <c r="L1677" s="5">
        <v>2.0576131687242798E-2</v>
      </c>
    </row>
    <row r="1678" spans="7:12">
      <c r="G1678" t="s">
        <v>2258</v>
      </c>
      <c r="H1678" t="s">
        <v>204</v>
      </c>
      <c r="I1678" t="s">
        <v>162</v>
      </c>
      <c r="J1678" s="4">
        <v>28534</v>
      </c>
      <c r="K1678" s="5">
        <v>0.21567253101563047</v>
      </c>
      <c r="L1678" s="5">
        <v>2.2744795682343871E-2</v>
      </c>
    </row>
    <row r="1679" spans="7:12">
      <c r="G1679" t="s">
        <v>2259</v>
      </c>
      <c r="H1679" t="s">
        <v>268</v>
      </c>
      <c r="I1679" t="s">
        <v>370</v>
      </c>
      <c r="J1679" s="4">
        <v>3623</v>
      </c>
      <c r="K1679" s="5">
        <v>0.21556720949489375</v>
      </c>
      <c r="L1679" s="5">
        <v>5.5202870549268561E-3</v>
      </c>
    </row>
    <row r="1680" spans="7:12">
      <c r="G1680" t="s">
        <v>2260</v>
      </c>
      <c r="H1680" t="s">
        <v>191</v>
      </c>
      <c r="I1680" t="s">
        <v>89</v>
      </c>
      <c r="J1680" s="4">
        <v>4718</v>
      </c>
      <c r="K1680" s="5">
        <v>0.21555743959304791</v>
      </c>
      <c r="L1680" s="5">
        <v>2.0347604917337857E-2</v>
      </c>
    </row>
    <row r="1681" spans="7:12">
      <c r="G1681" t="s">
        <v>2261</v>
      </c>
      <c r="H1681" t="s">
        <v>137</v>
      </c>
      <c r="I1681" t="s">
        <v>368</v>
      </c>
      <c r="J1681" s="4">
        <v>1415</v>
      </c>
      <c r="K1681" s="5">
        <v>0.21554770318021202</v>
      </c>
      <c r="L1681" s="5">
        <v>1.9081272084805655E-2</v>
      </c>
    </row>
    <row r="1682" spans="7:12">
      <c r="G1682" t="s">
        <v>2262</v>
      </c>
      <c r="H1682" t="s">
        <v>370</v>
      </c>
      <c r="I1682" t="s">
        <v>218</v>
      </c>
      <c r="J1682" s="4">
        <v>16141</v>
      </c>
      <c r="K1682" s="5">
        <v>0.21553807075150239</v>
      </c>
      <c r="L1682" s="5">
        <v>8.1159779443652803E-3</v>
      </c>
    </row>
    <row r="1683" spans="7:12">
      <c r="G1683" t="s">
        <v>2263</v>
      </c>
      <c r="H1683" t="s">
        <v>134</v>
      </c>
      <c r="I1683" t="s">
        <v>105</v>
      </c>
      <c r="J1683" s="4">
        <v>2756</v>
      </c>
      <c r="K1683" s="5">
        <v>0.21552975326560231</v>
      </c>
      <c r="L1683" s="5">
        <v>9.433962264150943E-3</v>
      </c>
    </row>
    <row r="1684" spans="7:12">
      <c r="G1684" t="s">
        <v>2264</v>
      </c>
      <c r="H1684" t="s">
        <v>134</v>
      </c>
      <c r="I1684" t="s">
        <v>263</v>
      </c>
      <c r="J1684" s="4">
        <v>1244</v>
      </c>
      <c r="K1684" s="5">
        <v>0.21543408360128619</v>
      </c>
      <c r="L1684" s="5">
        <v>1.7684887459807074E-2</v>
      </c>
    </row>
    <row r="1685" spans="7:12">
      <c r="G1685" t="s">
        <v>2265</v>
      </c>
      <c r="H1685" t="s">
        <v>89</v>
      </c>
      <c r="I1685" t="s">
        <v>390</v>
      </c>
      <c r="J1685" s="4">
        <v>9001</v>
      </c>
      <c r="K1685" s="5">
        <v>0.21542050883235195</v>
      </c>
      <c r="L1685" s="5">
        <v>2.055327185868237E-2</v>
      </c>
    </row>
    <row r="1686" spans="7:12">
      <c r="G1686" t="s">
        <v>2266</v>
      </c>
      <c r="H1686" t="s">
        <v>248</v>
      </c>
      <c r="I1686" t="s">
        <v>103</v>
      </c>
      <c r="J1686" s="4">
        <v>6462</v>
      </c>
      <c r="K1686" s="5">
        <v>0.21541318477251625</v>
      </c>
      <c r="L1686" s="5">
        <v>2.0736614051377281E-2</v>
      </c>
    </row>
    <row r="1687" spans="7:12">
      <c r="G1687" t="s">
        <v>2267</v>
      </c>
      <c r="H1687" t="s">
        <v>103</v>
      </c>
      <c r="I1687" t="s">
        <v>928</v>
      </c>
      <c r="J1687" s="4">
        <v>1597</v>
      </c>
      <c r="K1687" s="5">
        <v>0.21540388227927365</v>
      </c>
      <c r="L1687" s="5">
        <v>1.4402003757044458E-2</v>
      </c>
    </row>
    <row r="1688" spans="7:12">
      <c r="G1688" t="s">
        <v>2268</v>
      </c>
      <c r="H1688" t="s">
        <v>286</v>
      </c>
      <c r="I1688" t="s">
        <v>89</v>
      </c>
      <c r="J1688" s="4">
        <v>4165</v>
      </c>
      <c r="K1688" s="5">
        <v>0.21536614645858343</v>
      </c>
      <c r="L1688" s="5">
        <v>1.8487394957983194E-2</v>
      </c>
    </row>
    <row r="1689" spans="7:12">
      <c r="G1689" t="s">
        <v>2269</v>
      </c>
      <c r="H1689" t="s">
        <v>83</v>
      </c>
      <c r="I1689" t="s">
        <v>103</v>
      </c>
      <c r="J1689" s="4">
        <v>3840</v>
      </c>
      <c r="K1689" s="5">
        <v>0.21536458333333333</v>
      </c>
      <c r="L1689" s="5">
        <v>1.328125E-2</v>
      </c>
    </row>
    <row r="1690" spans="7:12">
      <c r="G1690" t="s">
        <v>2270</v>
      </c>
      <c r="H1690" t="s">
        <v>360</v>
      </c>
      <c r="I1690" t="s">
        <v>254</v>
      </c>
      <c r="J1690" s="4">
        <v>1226</v>
      </c>
      <c r="K1690" s="5">
        <v>0.21533442088091354</v>
      </c>
      <c r="L1690" s="5">
        <v>1.1419249592169658E-2</v>
      </c>
    </row>
    <row r="1691" spans="7:12">
      <c r="G1691" t="s">
        <v>2271</v>
      </c>
      <c r="H1691" t="s">
        <v>100</v>
      </c>
      <c r="I1691" t="s">
        <v>129</v>
      </c>
      <c r="J1691" s="4">
        <v>3943</v>
      </c>
      <c r="K1691" s="5">
        <v>0.21531828556936342</v>
      </c>
      <c r="L1691" s="5">
        <v>1.3948769972102461E-2</v>
      </c>
    </row>
    <row r="1692" spans="7:12">
      <c r="G1692" t="s">
        <v>2272</v>
      </c>
      <c r="H1692" t="s">
        <v>207</v>
      </c>
      <c r="I1692" t="s">
        <v>103</v>
      </c>
      <c r="J1692" s="4">
        <v>1319</v>
      </c>
      <c r="K1692" s="5">
        <v>0.21531463229719486</v>
      </c>
      <c r="L1692" s="5">
        <v>9.8559514783927212E-3</v>
      </c>
    </row>
    <row r="1693" spans="7:12">
      <c r="G1693" t="s">
        <v>2273</v>
      </c>
      <c r="H1693" t="s">
        <v>479</v>
      </c>
      <c r="I1693" t="s">
        <v>89</v>
      </c>
      <c r="J1693" s="4">
        <v>5620</v>
      </c>
      <c r="K1693" s="5">
        <v>0.21530249110320285</v>
      </c>
      <c r="L1693" s="5">
        <v>2.5978647686832741E-2</v>
      </c>
    </row>
    <row r="1694" spans="7:12">
      <c r="G1694" t="s">
        <v>2274</v>
      </c>
      <c r="H1694" t="s">
        <v>131</v>
      </c>
      <c r="I1694" t="s">
        <v>358</v>
      </c>
      <c r="J1694" s="4">
        <v>2835</v>
      </c>
      <c r="K1694" s="5">
        <v>0.21516754850088182</v>
      </c>
      <c r="L1694" s="5">
        <v>8.8183421516754845E-3</v>
      </c>
    </row>
    <row r="1695" spans="7:12">
      <c r="G1695" t="s">
        <v>2275</v>
      </c>
      <c r="H1695" t="s">
        <v>204</v>
      </c>
      <c r="I1695" t="s">
        <v>240</v>
      </c>
      <c r="J1695" s="4">
        <v>5745</v>
      </c>
      <c r="K1695" s="5">
        <v>0.21514360313315928</v>
      </c>
      <c r="L1695" s="5">
        <v>2.7676240208877285E-2</v>
      </c>
    </row>
    <row r="1696" spans="7:12">
      <c r="G1696" t="s">
        <v>2276</v>
      </c>
      <c r="H1696" t="s">
        <v>131</v>
      </c>
      <c r="I1696" t="s">
        <v>503</v>
      </c>
      <c r="J1696" s="4">
        <v>6791</v>
      </c>
      <c r="K1696" s="5">
        <v>0.21513768222647622</v>
      </c>
      <c r="L1696" s="5">
        <v>7.6571933441319396E-3</v>
      </c>
    </row>
    <row r="1697" spans="7:12">
      <c r="G1697" t="s">
        <v>2277</v>
      </c>
      <c r="H1697" t="s">
        <v>422</v>
      </c>
      <c r="I1697" t="s">
        <v>215</v>
      </c>
      <c r="J1697" s="4">
        <v>1390</v>
      </c>
      <c r="K1697" s="5">
        <v>0.21510791366906476</v>
      </c>
      <c r="L1697" s="5">
        <v>1.4388489208633094E-2</v>
      </c>
    </row>
    <row r="1698" spans="7:12">
      <c r="G1698" t="s">
        <v>2278</v>
      </c>
      <c r="H1698" t="s">
        <v>100</v>
      </c>
      <c r="I1698" t="s">
        <v>392</v>
      </c>
      <c r="J1698" s="4">
        <v>2981</v>
      </c>
      <c r="K1698" s="5">
        <v>0.21502851392150285</v>
      </c>
      <c r="L1698" s="5">
        <v>2.2811137202281114E-2</v>
      </c>
    </row>
    <row r="1699" spans="7:12">
      <c r="G1699" t="s">
        <v>2279</v>
      </c>
      <c r="H1699" t="s">
        <v>236</v>
      </c>
      <c r="I1699" t="s">
        <v>326</v>
      </c>
      <c r="J1699" s="4">
        <v>6476</v>
      </c>
      <c r="K1699" s="5">
        <v>0.21494749845583694</v>
      </c>
      <c r="L1699" s="5">
        <v>4.9413218035824586E-3</v>
      </c>
    </row>
    <row r="1700" spans="7:12">
      <c r="G1700" t="s">
        <v>2280</v>
      </c>
      <c r="H1700" t="s">
        <v>202</v>
      </c>
      <c r="I1700" t="s">
        <v>226</v>
      </c>
      <c r="J1700" s="4">
        <v>1858</v>
      </c>
      <c r="K1700" s="5">
        <v>0.2147470398277718</v>
      </c>
      <c r="L1700" s="5">
        <v>1.6684607104413347E-2</v>
      </c>
    </row>
    <row r="1701" spans="7:12">
      <c r="G1701" t="s">
        <v>2281</v>
      </c>
      <c r="H1701" t="s">
        <v>422</v>
      </c>
      <c r="I1701" t="s">
        <v>89</v>
      </c>
      <c r="J1701" s="4">
        <v>4615</v>
      </c>
      <c r="K1701" s="5">
        <v>0.21473456121343446</v>
      </c>
      <c r="L1701" s="5">
        <v>1.4301191765980499E-2</v>
      </c>
    </row>
    <row r="1702" spans="7:12">
      <c r="G1702" t="s">
        <v>2282</v>
      </c>
      <c r="H1702" t="s">
        <v>137</v>
      </c>
      <c r="I1702" t="s">
        <v>233</v>
      </c>
      <c r="J1702" s="4">
        <v>8291</v>
      </c>
      <c r="K1702" s="5">
        <v>0.21469062839223255</v>
      </c>
      <c r="L1702" s="5">
        <v>1.3870461946689181E-2</v>
      </c>
    </row>
    <row r="1703" spans="7:12">
      <c r="G1703" t="s">
        <v>2283</v>
      </c>
      <c r="H1703" t="s">
        <v>254</v>
      </c>
      <c r="I1703" t="s">
        <v>236</v>
      </c>
      <c r="J1703" s="4">
        <v>2632</v>
      </c>
      <c r="K1703" s="5">
        <v>0.21466565349544073</v>
      </c>
      <c r="L1703" s="5">
        <v>1.0638297872340425E-2</v>
      </c>
    </row>
    <row r="1704" spans="7:12">
      <c r="G1704" t="s">
        <v>2284</v>
      </c>
      <c r="H1704" t="s">
        <v>309</v>
      </c>
      <c r="I1704" t="s">
        <v>103</v>
      </c>
      <c r="J1704" s="4">
        <v>3974</v>
      </c>
      <c r="K1704" s="5">
        <v>0.21464519375943633</v>
      </c>
      <c r="L1704" s="5">
        <v>1.5349773527931555E-2</v>
      </c>
    </row>
    <row r="1705" spans="7:12">
      <c r="G1705" t="s">
        <v>2285</v>
      </c>
      <c r="H1705" t="s">
        <v>276</v>
      </c>
      <c r="I1705" t="s">
        <v>89</v>
      </c>
      <c r="J1705" s="4">
        <v>6989</v>
      </c>
      <c r="K1705" s="5">
        <v>0.21462297896694807</v>
      </c>
      <c r="L1705" s="5">
        <v>2.3608527686364286E-2</v>
      </c>
    </row>
    <row r="1706" spans="7:12">
      <c r="G1706" t="s">
        <v>2286</v>
      </c>
      <c r="H1706" t="s">
        <v>189</v>
      </c>
      <c r="I1706" t="s">
        <v>268</v>
      </c>
      <c r="J1706" s="4">
        <v>4814</v>
      </c>
      <c r="K1706" s="5">
        <v>0.21458246780224347</v>
      </c>
      <c r="L1706" s="5">
        <v>9.7631906938097212E-3</v>
      </c>
    </row>
    <row r="1707" spans="7:12">
      <c r="G1707" t="s">
        <v>2287</v>
      </c>
      <c r="H1707" t="s">
        <v>182</v>
      </c>
      <c r="I1707" t="s">
        <v>136</v>
      </c>
      <c r="J1707" s="4">
        <v>3151</v>
      </c>
      <c r="K1707" s="5">
        <v>0.2145350682323072</v>
      </c>
      <c r="L1707" s="5">
        <v>7.933989209774674E-3</v>
      </c>
    </row>
    <row r="1708" spans="7:12">
      <c r="G1708" t="s">
        <v>2288</v>
      </c>
      <c r="H1708" t="s">
        <v>89</v>
      </c>
      <c r="I1708" t="s">
        <v>178</v>
      </c>
      <c r="J1708" s="4">
        <v>2797</v>
      </c>
      <c r="K1708" s="5">
        <v>0.21451555237754738</v>
      </c>
      <c r="L1708" s="5">
        <v>1.3585984983911333E-2</v>
      </c>
    </row>
    <row r="1709" spans="7:12">
      <c r="G1709" t="s">
        <v>2289</v>
      </c>
      <c r="H1709" t="s">
        <v>472</v>
      </c>
      <c r="I1709" t="s">
        <v>103</v>
      </c>
      <c r="J1709" s="4">
        <v>3781</v>
      </c>
      <c r="K1709" s="5">
        <v>0.21449352023274265</v>
      </c>
      <c r="L1709" s="5">
        <v>1.190161332980693E-2</v>
      </c>
    </row>
    <row r="1710" spans="7:12">
      <c r="G1710" t="s">
        <v>2290</v>
      </c>
      <c r="H1710" t="s">
        <v>149</v>
      </c>
      <c r="I1710" t="s">
        <v>189</v>
      </c>
      <c r="J1710" s="4">
        <v>7055</v>
      </c>
      <c r="K1710" s="5">
        <v>0.21445783132530122</v>
      </c>
      <c r="L1710" s="5">
        <v>1.6442239546420979E-2</v>
      </c>
    </row>
    <row r="1711" spans="7:12">
      <c r="G1711" t="s">
        <v>2291</v>
      </c>
      <c r="H1711" t="s">
        <v>204</v>
      </c>
      <c r="I1711" t="s">
        <v>370</v>
      </c>
      <c r="J1711" s="4">
        <v>4374</v>
      </c>
      <c r="K1711" s="5">
        <v>0.21444901691815271</v>
      </c>
      <c r="L1711" s="5">
        <v>8.6877000457247378E-3</v>
      </c>
    </row>
    <row r="1712" spans="7:12">
      <c r="G1712" t="s">
        <v>2292</v>
      </c>
      <c r="H1712" t="s">
        <v>329</v>
      </c>
      <c r="I1712" t="s">
        <v>204</v>
      </c>
      <c r="J1712" s="4">
        <v>3619</v>
      </c>
      <c r="K1712" s="5">
        <v>0.21442387399834209</v>
      </c>
      <c r="L1712" s="5">
        <v>2.5974025974025976E-2</v>
      </c>
    </row>
    <row r="1713" spans="7:12">
      <c r="G1713" t="s">
        <v>2293</v>
      </c>
      <c r="H1713" t="s">
        <v>414</v>
      </c>
      <c r="I1713" t="s">
        <v>160</v>
      </c>
      <c r="J1713" s="4">
        <v>1241</v>
      </c>
      <c r="K1713" s="5">
        <v>0.21434327155519742</v>
      </c>
      <c r="L1713" s="5">
        <v>9.6696212731668015E-3</v>
      </c>
    </row>
    <row r="1714" spans="7:12">
      <c r="G1714" t="s">
        <v>2294</v>
      </c>
      <c r="H1714" t="s">
        <v>189</v>
      </c>
      <c r="I1714" t="s">
        <v>374</v>
      </c>
      <c r="J1714" s="4">
        <v>1442</v>
      </c>
      <c r="K1714" s="5">
        <v>0.21428571428571427</v>
      </c>
      <c r="L1714" s="5">
        <v>6.2413314840499305E-3</v>
      </c>
    </row>
    <row r="1715" spans="7:12">
      <c r="G1715" t="s">
        <v>2295</v>
      </c>
      <c r="H1715" t="s">
        <v>346</v>
      </c>
      <c r="I1715" t="s">
        <v>226</v>
      </c>
      <c r="J1715" s="4">
        <v>8258</v>
      </c>
      <c r="K1715" s="5">
        <v>0.21421651731654154</v>
      </c>
      <c r="L1715" s="5">
        <v>1.0414143860498911E-2</v>
      </c>
    </row>
    <row r="1716" spans="7:12">
      <c r="G1716" t="s">
        <v>2296</v>
      </c>
      <c r="H1716" t="s">
        <v>410</v>
      </c>
      <c r="I1716" t="s">
        <v>85</v>
      </c>
      <c r="J1716" s="4">
        <v>1424</v>
      </c>
      <c r="K1716" s="5">
        <v>0.21418539325842698</v>
      </c>
      <c r="L1716" s="5">
        <v>1.0533707865168539E-2</v>
      </c>
    </row>
    <row r="1717" spans="7:12">
      <c r="G1717" t="s">
        <v>2297</v>
      </c>
      <c r="H1717" t="s">
        <v>218</v>
      </c>
      <c r="I1717" t="s">
        <v>301</v>
      </c>
      <c r="J1717" s="4">
        <v>3157</v>
      </c>
      <c r="K1717" s="5">
        <v>0.21412733607855558</v>
      </c>
      <c r="L1717" s="5">
        <v>1.2670256572695597E-2</v>
      </c>
    </row>
    <row r="1718" spans="7:12">
      <c r="G1718" t="s">
        <v>2298</v>
      </c>
      <c r="H1718" t="s">
        <v>412</v>
      </c>
      <c r="I1718" t="s">
        <v>131</v>
      </c>
      <c r="J1718" s="4">
        <v>5372</v>
      </c>
      <c r="K1718" s="5">
        <v>0.21407297096053612</v>
      </c>
      <c r="L1718" s="5">
        <v>3.9091586001489204E-3</v>
      </c>
    </row>
    <row r="1719" spans="7:12">
      <c r="G1719" t="s">
        <v>2299</v>
      </c>
      <c r="H1719" t="s">
        <v>457</v>
      </c>
      <c r="I1719" t="s">
        <v>89</v>
      </c>
      <c r="J1719" s="4">
        <v>8890</v>
      </c>
      <c r="K1719" s="5">
        <v>0.21406074240719911</v>
      </c>
      <c r="L1719" s="5">
        <v>2.5534308211473566E-2</v>
      </c>
    </row>
    <row r="1720" spans="7:12">
      <c r="G1720" t="s">
        <v>2300</v>
      </c>
      <c r="H1720" t="s">
        <v>455</v>
      </c>
      <c r="I1720" t="s">
        <v>182</v>
      </c>
      <c r="J1720" s="4">
        <v>16353</v>
      </c>
      <c r="K1720" s="5">
        <v>0.21402800709349967</v>
      </c>
      <c r="L1720" s="5">
        <v>8.2553659878921298E-3</v>
      </c>
    </row>
    <row r="1721" spans="7:12">
      <c r="G1721" t="s">
        <v>2301</v>
      </c>
      <c r="H1721" t="s">
        <v>252</v>
      </c>
      <c r="I1721" t="s">
        <v>80</v>
      </c>
      <c r="J1721" s="4">
        <v>4093</v>
      </c>
      <c r="K1721" s="5">
        <v>0.21402394331785976</v>
      </c>
      <c r="L1721" s="5">
        <v>1.3437576349865624E-2</v>
      </c>
    </row>
    <row r="1722" spans="7:12">
      <c r="G1722" t="s">
        <v>2302</v>
      </c>
      <c r="H1722" t="s">
        <v>319</v>
      </c>
      <c r="I1722" t="s">
        <v>118</v>
      </c>
      <c r="J1722" s="4">
        <v>3738</v>
      </c>
      <c r="K1722" s="5">
        <v>0.21401819154628143</v>
      </c>
      <c r="L1722" s="5">
        <v>1.2841091492776886E-2</v>
      </c>
    </row>
    <row r="1723" spans="7:12">
      <c r="G1723" t="s">
        <v>2303</v>
      </c>
      <c r="H1723" t="s">
        <v>204</v>
      </c>
      <c r="I1723" t="s">
        <v>250</v>
      </c>
      <c r="J1723" s="4">
        <v>4070</v>
      </c>
      <c r="K1723" s="5">
        <v>0.214004914004914</v>
      </c>
      <c r="L1723" s="5">
        <v>3.2186732186732188E-2</v>
      </c>
    </row>
    <row r="1724" spans="7:12">
      <c r="G1724" t="s">
        <v>2304</v>
      </c>
      <c r="H1724" t="s">
        <v>286</v>
      </c>
      <c r="I1724" t="s">
        <v>100</v>
      </c>
      <c r="J1724" s="4">
        <v>2206</v>
      </c>
      <c r="K1724" s="5">
        <v>0.21396192203082504</v>
      </c>
      <c r="L1724" s="5">
        <v>1.6772438803263828E-2</v>
      </c>
    </row>
    <row r="1725" spans="7:12">
      <c r="G1725" t="s">
        <v>2305</v>
      </c>
      <c r="H1725" t="s">
        <v>233</v>
      </c>
      <c r="I1725" t="s">
        <v>149</v>
      </c>
      <c r="J1725" s="4">
        <v>6198</v>
      </c>
      <c r="K1725" s="5">
        <v>0.21393998063891578</v>
      </c>
      <c r="L1725" s="5">
        <v>2.8718941594062602E-2</v>
      </c>
    </row>
    <row r="1726" spans="7:12">
      <c r="G1726" t="s">
        <v>2306</v>
      </c>
      <c r="H1726" t="s">
        <v>322</v>
      </c>
      <c r="I1726" t="s">
        <v>182</v>
      </c>
      <c r="J1726" s="4">
        <v>3665</v>
      </c>
      <c r="K1726" s="5">
        <v>0.21391541609822648</v>
      </c>
      <c r="L1726" s="5">
        <v>7.3669849931787173E-3</v>
      </c>
    </row>
    <row r="1727" spans="7:12">
      <c r="G1727" t="s">
        <v>2307</v>
      </c>
      <c r="H1727" t="s">
        <v>268</v>
      </c>
      <c r="I1727" t="s">
        <v>479</v>
      </c>
      <c r="J1727" s="4">
        <v>2595</v>
      </c>
      <c r="K1727" s="5">
        <v>0.2138728323699422</v>
      </c>
      <c r="L1727" s="5">
        <v>4.2389210019267822E-3</v>
      </c>
    </row>
    <row r="1728" spans="7:12">
      <c r="G1728" t="s">
        <v>2308</v>
      </c>
      <c r="H1728" t="s">
        <v>103</v>
      </c>
      <c r="I1728" t="s">
        <v>204</v>
      </c>
      <c r="J1728" s="4">
        <v>4311</v>
      </c>
      <c r="K1728" s="5">
        <v>0.21387149153328694</v>
      </c>
      <c r="L1728" s="5">
        <v>1.0902342843887729E-2</v>
      </c>
    </row>
    <row r="1729" spans="7:12">
      <c r="G1729" t="s">
        <v>2309</v>
      </c>
      <c r="H1729" t="s">
        <v>103</v>
      </c>
      <c r="I1729" t="s">
        <v>271</v>
      </c>
      <c r="J1729" s="4">
        <v>5383</v>
      </c>
      <c r="K1729" s="5">
        <v>0.21382128924391602</v>
      </c>
      <c r="L1729" s="5">
        <v>1.2075051086754598E-2</v>
      </c>
    </row>
    <row r="1730" spans="7:12">
      <c r="G1730" t="s">
        <v>2310</v>
      </c>
      <c r="H1730" t="s">
        <v>204</v>
      </c>
      <c r="I1730" t="s">
        <v>352</v>
      </c>
      <c r="J1730" s="4">
        <v>5645</v>
      </c>
      <c r="K1730" s="5">
        <v>0.21381753764393269</v>
      </c>
      <c r="L1730" s="5">
        <v>2.0372010628875111E-2</v>
      </c>
    </row>
    <row r="1731" spans="7:12">
      <c r="G1731" t="s">
        <v>2311</v>
      </c>
      <c r="H1731" t="s">
        <v>484</v>
      </c>
      <c r="I1731" t="s">
        <v>226</v>
      </c>
      <c r="J1731" s="4">
        <v>4574</v>
      </c>
      <c r="K1731" s="5">
        <v>0.21381722780935725</v>
      </c>
      <c r="L1731" s="5">
        <v>4.809794490599038E-3</v>
      </c>
    </row>
    <row r="1732" spans="7:12">
      <c r="G1732" t="s">
        <v>2312</v>
      </c>
      <c r="H1732" t="s">
        <v>105</v>
      </c>
      <c r="I1732" t="s">
        <v>149</v>
      </c>
      <c r="J1732" s="4">
        <v>10949</v>
      </c>
      <c r="K1732" s="5">
        <v>0.21380948031783725</v>
      </c>
      <c r="L1732" s="5">
        <v>1.2147228057356836E-2</v>
      </c>
    </row>
    <row r="1733" spans="7:12">
      <c r="G1733" t="s">
        <v>2313</v>
      </c>
      <c r="H1733" t="s">
        <v>331</v>
      </c>
      <c r="I1733" t="s">
        <v>80</v>
      </c>
      <c r="J1733" s="4">
        <v>2507</v>
      </c>
      <c r="K1733" s="5">
        <v>0.21380135620263263</v>
      </c>
      <c r="L1733" s="5">
        <v>1.0769844435580374E-2</v>
      </c>
    </row>
    <row r="1734" spans="7:12">
      <c r="G1734" t="s">
        <v>2314</v>
      </c>
      <c r="H1734" t="s">
        <v>204</v>
      </c>
      <c r="I1734" t="s">
        <v>100</v>
      </c>
      <c r="J1734" s="4">
        <v>9435</v>
      </c>
      <c r="K1734" s="5">
        <v>0.21377848436671967</v>
      </c>
      <c r="L1734" s="5">
        <v>1.6746157922628509E-2</v>
      </c>
    </row>
    <row r="1735" spans="7:12">
      <c r="G1735" t="s">
        <v>2315</v>
      </c>
      <c r="H1735" t="s">
        <v>204</v>
      </c>
      <c r="I1735" t="s">
        <v>324</v>
      </c>
      <c r="J1735" s="4">
        <v>2250</v>
      </c>
      <c r="K1735" s="5">
        <v>0.21377777777777779</v>
      </c>
      <c r="L1735" s="5">
        <v>3.3333333333333333E-2</v>
      </c>
    </row>
    <row r="1736" spans="7:12">
      <c r="G1736" t="s">
        <v>2316</v>
      </c>
      <c r="H1736" t="s">
        <v>347</v>
      </c>
      <c r="I1736" t="s">
        <v>118</v>
      </c>
      <c r="J1736" s="4">
        <v>5277</v>
      </c>
      <c r="K1736" s="5">
        <v>0.213757816941444</v>
      </c>
      <c r="L1736" s="5">
        <v>1.4023119196513171E-2</v>
      </c>
    </row>
    <row r="1737" spans="7:12">
      <c r="G1737" t="s">
        <v>2317</v>
      </c>
      <c r="H1737" t="s">
        <v>282</v>
      </c>
      <c r="I1737" t="s">
        <v>85</v>
      </c>
      <c r="J1737" s="4">
        <v>5432</v>
      </c>
      <c r="K1737" s="5">
        <v>0.21373343151693666</v>
      </c>
      <c r="L1737" s="5">
        <v>1.6752577319587628E-2</v>
      </c>
    </row>
    <row r="1738" spans="7:12">
      <c r="G1738" t="s">
        <v>2318</v>
      </c>
      <c r="H1738" t="s">
        <v>412</v>
      </c>
      <c r="I1738" t="s">
        <v>182</v>
      </c>
      <c r="J1738" s="4">
        <v>3294</v>
      </c>
      <c r="K1738" s="5">
        <v>0.21372191863995144</v>
      </c>
      <c r="L1738" s="5">
        <v>7.893139040680024E-3</v>
      </c>
    </row>
    <row r="1739" spans="7:12">
      <c r="G1739" t="s">
        <v>2319</v>
      </c>
      <c r="H1739" t="s">
        <v>118</v>
      </c>
      <c r="I1739" t="s">
        <v>240</v>
      </c>
      <c r="J1739" s="4">
        <v>6172</v>
      </c>
      <c r="K1739" s="5">
        <v>0.21370706416072585</v>
      </c>
      <c r="L1739" s="5">
        <v>1.0045366169799093E-2</v>
      </c>
    </row>
    <row r="1740" spans="7:12">
      <c r="G1740" t="s">
        <v>2320</v>
      </c>
      <c r="H1740" t="s">
        <v>268</v>
      </c>
      <c r="I1740" t="s">
        <v>189</v>
      </c>
      <c r="J1740" s="4">
        <v>4797</v>
      </c>
      <c r="K1740" s="5">
        <v>0.21367521367521367</v>
      </c>
      <c r="L1740" s="5">
        <v>8.3385449239107776E-3</v>
      </c>
    </row>
    <row r="1741" spans="7:12">
      <c r="G1741" t="s">
        <v>2321</v>
      </c>
      <c r="H1741" t="s">
        <v>2322</v>
      </c>
      <c r="I1741" t="s">
        <v>89</v>
      </c>
      <c r="J1741" s="4">
        <v>3255</v>
      </c>
      <c r="K1741" s="5">
        <v>0.21351766513056836</v>
      </c>
      <c r="L1741" s="5">
        <v>2.9185867895545316E-2</v>
      </c>
    </row>
    <row r="1742" spans="7:12">
      <c r="G1742" t="s">
        <v>2323</v>
      </c>
      <c r="H1742" t="s">
        <v>136</v>
      </c>
      <c r="I1742" t="s">
        <v>115</v>
      </c>
      <c r="J1742" s="4">
        <v>5907</v>
      </c>
      <c r="K1742" s="5">
        <v>0.21347553749788387</v>
      </c>
      <c r="L1742" s="5">
        <v>1.8114101912984595E-2</v>
      </c>
    </row>
    <row r="1743" spans="7:12">
      <c r="G1743" t="s">
        <v>2324</v>
      </c>
      <c r="H1743" t="s">
        <v>89</v>
      </c>
      <c r="I1743" t="s">
        <v>231</v>
      </c>
      <c r="J1743" s="4">
        <v>1190</v>
      </c>
      <c r="K1743" s="5">
        <v>0.2134453781512605</v>
      </c>
      <c r="L1743" s="5">
        <v>2.0168067226890758E-2</v>
      </c>
    </row>
    <row r="1744" spans="7:12">
      <c r="G1744" t="s">
        <v>2325</v>
      </c>
      <c r="H1744" t="s">
        <v>204</v>
      </c>
      <c r="I1744" t="s">
        <v>342</v>
      </c>
      <c r="J1744" s="4">
        <v>5371</v>
      </c>
      <c r="K1744" s="5">
        <v>0.21336808787935208</v>
      </c>
      <c r="L1744" s="5">
        <v>2.830013032954757E-2</v>
      </c>
    </row>
    <row r="1745" spans="7:12">
      <c r="G1745" t="s">
        <v>2326</v>
      </c>
      <c r="H1745" t="s">
        <v>326</v>
      </c>
      <c r="I1745" t="s">
        <v>507</v>
      </c>
      <c r="J1745" s="4">
        <v>3244</v>
      </c>
      <c r="K1745" s="5">
        <v>0.21331689272503082</v>
      </c>
      <c r="L1745" s="5">
        <v>6.1652281134401974E-4</v>
      </c>
    </row>
    <row r="1746" spans="7:12">
      <c r="G1746" t="s">
        <v>2327</v>
      </c>
      <c r="H1746" t="s">
        <v>87</v>
      </c>
      <c r="I1746" t="s">
        <v>470</v>
      </c>
      <c r="J1746" s="4">
        <v>1932</v>
      </c>
      <c r="K1746" s="5">
        <v>0.21325051759834368</v>
      </c>
      <c r="L1746" s="5">
        <v>6.2111801242236021E-3</v>
      </c>
    </row>
    <row r="1747" spans="7:12">
      <c r="G1747" t="s">
        <v>2328</v>
      </c>
      <c r="H1747" t="s">
        <v>236</v>
      </c>
      <c r="I1747" t="s">
        <v>324</v>
      </c>
      <c r="J1747" s="4">
        <v>2026</v>
      </c>
      <c r="K1747" s="5">
        <v>0.21322803553800593</v>
      </c>
      <c r="L1747" s="5">
        <v>7.4037512339585393E-3</v>
      </c>
    </row>
    <row r="1748" spans="7:12">
      <c r="G1748" t="s">
        <v>2329</v>
      </c>
      <c r="H1748" t="s">
        <v>271</v>
      </c>
      <c r="I1748" t="s">
        <v>89</v>
      </c>
      <c r="J1748" s="4">
        <v>3358</v>
      </c>
      <c r="K1748" s="5">
        <v>0.21322215604526504</v>
      </c>
      <c r="L1748" s="5">
        <v>1.7569982132221561E-2</v>
      </c>
    </row>
    <row r="1749" spans="7:12">
      <c r="G1749" t="s">
        <v>2330</v>
      </c>
      <c r="H1749" t="s">
        <v>142</v>
      </c>
      <c r="I1749" t="s">
        <v>100</v>
      </c>
      <c r="J1749" s="4">
        <v>2256</v>
      </c>
      <c r="K1749" s="5">
        <v>0.21320921985815602</v>
      </c>
      <c r="L1749" s="5">
        <v>2.4822695035460994E-2</v>
      </c>
    </row>
    <row r="1750" spans="7:12">
      <c r="G1750" t="s">
        <v>2331</v>
      </c>
      <c r="H1750" t="s">
        <v>215</v>
      </c>
      <c r="I1750" t="s">
        <v>515</v>
      </c>
      <c r="J1750" s="4">
        <v>3091</v>
      </c>
      <c r="K1750" s="5">
        <v>0.21319961177612423</v>
      </c>
      <c r="L1750" s="5">
        <v>5.8233581365253967E-3</v>
      </c>
    </row>
    <row r="1751" spans="7:12">
      <c r="G1751" t="s">
        <v>2332</v>
      </c>
      <c r="H1751" t="s">
        <v>228</v>
      </c>
      <c r="I1751" t="s">
        <v>118</v>
      </c>
      <c r="J1751" s="4">
        <v>2730</v>
      </c>
      <c r="K1751" s="5">
        <v>0.21318681318681318</v>
      </c>
      <c r="L1751" s="5">
        <v>7.6923076923076927E-3</v>
      </c>
    </row>
    <row r="1752" spans="7:12">
      <c r="G1752" t="s">
        <v>2333</v>
      </c>
      <c r="H1752" t="s">
        <v>100</v>
      </c>
      <c r="I1752" t="s">
        <v>470</v>
      </c>
      <c r="J1752" s="4">
        <v>3176</v>
      </c>
      <c r="K1752" s="5">
        <v>0.21316120906801009</v>
      </c>
      <c r="L1752" s="5">
        <v>1.5428211586901764E-2</v>
      </c>
    </row>
    <row r="1753" spans="7:12">
      <c r="G1753" t="s">
        <v>2334</v>
      </c>
      <c r="H1753" t="s">
        <v>259</v>
      </c>
      <c r="I1753" t="s">
        <v>336</v>
      </c>
      <c r="J1753" s="4">
        <v>2862</v>
      </c>
      <c r="K1753" s="5">
        <v>0.21313766596785463</v>
      </c>
      <c r="L1753" s="5">
        <v>3.494060097833683E-2</v>
      </c>
    </row>
    <row r="1754" spans="7:12">
      <c r="G1754" t="s">
        <v>2335</v>
      </c>
      <c r="H1754" t="s">
        <v>118</v>
      </c>
      <c r="I1754" t="s">
        <v>326</v>
      </c>
      <c r="J1754" s="4">
        <v>17358</v>
      </c>
      <c r="K1754" s="5">
        <v>0.21310058762530246</v>
      </c>
      <c r="L1754" s="5">
        <v>9.1024311556630946E-3</v>
      </c>
    </row>
    <row r="1755" spans="7:12">
      <c r="G1755" t="s">
        <v>2336</v>
      </c>
      <c r="H1755" t="s">
        <v>202</v>
      </c>
      <c r="I1755" t="s">
        <v>103</v>
      </c>
      <c r="J1755" s="4">
        <v>9620</v>
      </c>
      <c r="K1755" s="5">
        <v>0.21309771309771311</v>
      </c>
      <c r="L1755" s="5">
        <v>1.4864864864864866E-2</v>
      </c>
    </row>
    <row r="1756" spans="7:12">
      <c r="G1756" t="s">
        <v>2337</v>
      </c>
      <c r="H1756" t="s">
        <v>80</v>
      </c>
      <c r="I1756" t="s">
        <v>322</v>
      </c>
      <c r="J1756" s="4">
        <v>7585</v>
      </c>
      <c r="K1756" s="5">
        <v>0.21305207646671062</v>
      </c>
      <c r="L1756" s="5">
        <v>1.0678971654581411E-2</v>
      </c>
    </row>
    <row r="1757" spans="7:12">
      <c r="G1757" t="s">
        <v>2338</v>
      </c>
      <c r="H1757" t="s">
        <v>97</v>
      </c>
      <c r="I1757" t="s">
        <v>149</v>
      </c>
      <c r="J1757" s="4">
        <v>1850</v>
      </c>
      <c r="K1757" s="5">
        <v>0.21297297297297296</v>
      </c>
      <c r="L1757" s="5">
        <v>0.02</v>
      </c>
    </row>
    <row r="1758" spans="7:12">
      <c r="G1758" t="s">
        <v>2339</v>
      </c>
      <c r="H1758" t="s">
        <v>103</v>
      </c>
      <c r="I1758" t="s">
        <v>315</v>
      </c>
      <c r="J1758" s="4">
        <v>2429</v>
      </c>
      <c r="K1758" s="5">
        <v>0.21284479209551255</v>
      </c>
      <c r="L1758" s="5">
        <v>1.8526142445450804E-2</v>
      </c>
    </row>
    <row r="1759" spans="7:12">
      <c r="G1759" t="s">
        <v>2340</v>
      </c>
      <c r="H1759" t="s">
        <v>2341</v>
      </c>
      <c r="I1759" t="s">
        <v>356</v>
      </c>
      <c r="J1759" s="4">
        <v>1062</v>
      </c>
      <c r="K1759" s="5">
        <v>0.2128060263653484</v>
      </c>
      <c r="L1759" s="5">
        <v>1.7890772128060263E-2</v>
      </c>
    </row>
    <row r="1760" spans="7:12">
      <c r="G1760" t="s">
        <v>2342</v>
      </c>
      <c r="H1760" t="s">
        <v>489</v>
      </c>
      <c r="I1760" t="s">
        <v>182</v>
      </c>
      <c r="J1760" s="4">
        <v>17180</v>
      </c>
      <c r="K1760" s="5">
        <v>0.21280558789289872</v>
      </c>
      <c r="L1760" s="5">
        <v>1.0069848661233992E-2</v>
      </c>
    </row>
    <row r="1761" spans="7:12">
      <c r="G1761" t="s">
        <v>2343</v>
      </c>
      <c r="H1761" t="s">
        <v>218</v>
      </c>
      <c r="I1761" t="s">
        <v>172</v>
      </c>
      <c r="J1761" s="4">
        <v>1847</v>
      </c>
      <c r="K1761" s="5">
        <v>0.21277747698971305</v>
      </c>
      <c r="L1761" s="5">
        <v>3.2485110990795887E-3</v>
      </c>
    </row>
    <row r="1762" spans="7:12">
      <c r="G1762" t="s">
        <v>2344</v>
      </c>
      <c r="H1762" t="s">
        <v>331</v>
      </c>
      <c r="I1762" t="s">
        <v>252</v>
      </c>
      <c r="J1762" s="4">
        <v>1255</v>
      </c>
      <c r="K1762" s="5">
        <v>0.21274900398406374</v>
      </c>
      <c r="L1762" s="5">
        <v>1.2749003984063745E-2</v>
      </c>
    </row>
    <row r="1763" spans="7:12">
      <c r="G1763" t="s">
        <v>2345</v>
      </c>
      <c r="H1763" t="s">
        <v>252</v>
      </c>
      <c r="I1763" t="s">
        <v>100</v>
      </c>
      <c r="J1763" s="4">
        <v>10219</v>
      </c>
      <c r="K1763" s="5">
        <v>0.21274097269791564</v>
      </c>
      <c r="L1763" s="5">
        <v>1.2134259712300616E-2</v>
      </c>
    </row>
    <row r="1764" spans="7:12">
      <c r="G1764" t="s">
        <v>2346</v>
      </c>
      <c r="H1764" t="s">
        <v>326</v>
      </c>
      <c r="I1764" t="s">
        <v>162</v>
      </c>
      <c r="J1764" s="4">
        <v>6144</v>
      </c>
      <c r="K1764" s="5">
        <v>0.21272786458333334</v>
      </c>
      <c r="L1764" s="5">
        <v>5.859375E-3</v>
      </c>
    </row>
    <row r="1765" spans="7:12">
      <c r="G1765" t="s">
        <v>2347</v>
      </c>
      <c r="H1765" t="s">
        <v>118</v>
      </c>
      <c r="I1765" t="s">
        <v>2348</v>
      </c>
      <c r="J1765" s="4">
        <v>1312</v>
      </c>
      <c r="K1765" s="5">
        <v>0.21265243902439024</v>
      </c>
      <c r="L1765" s="5">
        <v>2.5152439024390245E-2</v>
      </c>
    </row>
    <row r="1766" spans="7:12">
      <c r="G1766" t="s">
        <v>2349</v>
      </c>
      <c r="H1766" t="s">
        <v>204</v>
      </c>
      <c r="I1766" t="s">
        <v>331</v>
      </c>
      <c r="J1766" s="4">
        <v>4925</v>
      </c>
      <c r="K1766" s="5">
        <v>0.21258883248730964</v>
      </c>
      <c r="L1766" s="5">
        <v>1.7664974619289339E-2</v>
      </c>
    </row>
    <row r="1767" spans="7:12">
      <c r="G1767" t="s">
        <v>2350</v>
      </c>
      <c r="H1767" t="s">
        <v>149</v>
      </c>
      <c r="I1767" t="s">
        <v>226</v>
      </c>
      <c r="J1767" s="4">
        <v>20599</v>
      </c>
      <c r="K1767" s="5">
        <v>0.21253458905772124</v>
      </c>
      <c r="L1767" s="5">
        <v>1.0049031506383805E-2</v>
      </c>
    </row>
    <row r="1768" spans="7:12">
      <c r="G1768" t="s">
        <v>2351</v>
      </c>
      <c r="H1768" t="s">
        <v>366</v>
      </c>
      <c r="I1768" t="s">
        <v>100</v>
      </c>
      <c r="J1768" s="4">
        <v>2842</v>
      </c>
      <c r="K1768" s="5">
        <v>0.21252638986629135</v>
      </c>
      <c r="L1768" s="5">
        <v>9.5003518648838839E-3</v>
      </c>
    </row>
    <row r="1769" spans="7:12">
      <c r="G1769" t="s">
        <v>2352</v>
      </c>
      <c r="H1769" t="s">
        <v>226</v>
      </c>
      <c r="I1769" t="s">
        <v>370</v>
      </c>
      <c r="J1769" s="4">
        <v>34006</v>
      </c>
      <c r="K1769" s="5">
        <v>0.21252131976709993</v>
      </c>
      <c r="L1769" s="5">
        <v>8.2632476621772623E-3</v>
      </c>
    </row>
    <row r="1770" spans="7:12">
      <c r="G1770" t="s">
        <v>2353</v>
      </c>
      <c r="H1770" t="s">
        <v>342</v>
      </c>
      <c r="I1770" t="s">
        <v>160</v>
      </c>
      <c r="J1770" s="4">
        <v>1007</v>
      </c>
      <c r="K1770" s="5">
        <v>0.21251241310824232</v>
      </c>
      <c r="L1770" s="5">
        <v>6.9513406156901684E-3</v>
      </c>
    </row>
    <row r="1771" spans="7:12">
      <c r="G1771" t="s">
        <v>2354</v>
      </c>
      <c r="H1771" t="s">
        <v>204</v>
      </c>
      <c r="I1771" t="s">
        <v>144</v>
      </c>
      <c r="J1771" s="4">
        <v>1600</v>
      </c>
      <c r="K1771" s="5">
        <v>0.21249999999999999</v>
      </c>
      <c r="L1771" s="5">
        <v>2.6249999999999999E-2</v>
      </c>
    </row>
    <row r="1772" spans="7:12">
      <c r="G1772" t="s">
        <v>2355</v>
      </c>
      <c r="H1772" t="s">
        <v>137</v>
      </c>
      <c r="I1772" t="s">
        <v>273</v>
      </c>
      <c r="J1772" s="4">
        <v>2438</v>
      </c>
      <c r="K1772" s="5">
        <v>0.21246923707957341</v>
      </c>
      <c r="L1772" s="5">
        <v>2.4200164068908941E-2</v>
      </c>
    </row>
    <row r="1773" spans="7:12">
      <c r="G1773" t="s">
        <v>2356</v>
      </c>
      <c r="H1773" t="s">
        <v>189</v>
      </c>
      <c r="I1773" t="s">
        <v>472</v>
      </c>
      <c r="J1773" s="4">
        <v>2316</v>
      </c>
      <c r="K1773" s="5">
        <v>0.21243523316062177</v>
      </c>
      <c r="L1773" s="5">
        <v>4.7495682210708118E-3</v>
      </c>
    </row>
    <row r="1774" spans="7:12">
      <c r="G1774" t="s">
        <v>2357</v>
      </c>
      <c r="H1774" t="s">
        <v>461</v>
      </c>
      <c r="I1774" t="s">
        <v>115</v>
      </c>
      <c r="J1774" s="4">
        <v>2029</v>
      </c>
      <c r="K1774" s="5">
        <v>0.21241991128634796</v>
      </c>
      <c r="L1774" s="5">
        <v>8.3785115820601275E-3</v>
      </c>
    </row>
    <row r="1775" spans="7:12">
      <c r="G1775" t="s">
        <v>2358</v>
      </c>
      <c r="H1775" t="s">
        <v>137</v>
      </c>
      <c r="I1775" t="s">
        <v>134</v>
      </c>
      <c r="J1775" s="4">
        <v>5508</v>
      </c>
      <c r="K1775" s="5">
        <v>0.21241830065359477</v>
      </c>
      <c r="L1775" s="5">
        <v>1.8155410312273058E-2</v>
      </c>
    </row>
    <row r="1776" spans="7:12">
      <c r="G1776" t="s">
        <v>2359</v>
      </c>
      <c r="H1776" t="s">
        <v>236</v>
      </c>
      <c r="I1776" t="s">
        <v>202</v>
      </c>
      <c r="J1776" s="4">
        <v>3399</v>
      </c>
      <c r="K1776" s="5">
        <v>0.21241541629891145</v>
      </c>
      <c r="L1776" s="5">
        <v>1.1768167107972934E-2</v>
      </c>
    </row>
    <row r="1777" spans="7:12">
      <c r="G1777" t="s">
        <v>2360</v>
      </c>
      <c r="H1777" t="s">
        <v>293</v>
      </c>
      <c r="I1777" t="s">
        <v>100</v>
      </c>
      <c r="J1777" s="4">
        <v>3406</v>
      </c>
      <c r="K1777" s="5">
        <v>0.21227246036406341</v>
      </c>
      <c r="L1777" s="5">
        <v>1.1743981209630064E-2</v>
      </c>
    </row>
    <row r="1778" spans="7:12">
      <c r="G1778" t="s">
        <v>2361</v>
      </c>
      <c r="H1778" t="s">
        <v>149</v>
      </c>
      <c r="I1778" t="s">
        <v>336</v>
      </c>
      <c r="J1778" s="4">
        <v>3967</v>
      </c>
      <c r="K1778" s="5">
        <v>0.21225107133854298</v>
      </c>
      <c r="L1778" s="5">
        <v>2.8232921603226619E-2</v>
      </c>
    </row>
    <row r="1779" spans="7:12">
      <c r="G1779" t="s">
        <v>2362</v>
      </c>
      <c r="H1779" t="s">
        <v>134</v>
      </c>
      <c r="I1779" t="s">
        <v>326</v>
      </c>
      <c r="J1779" s="4">
        <v>7963</v>
      </c>
      <c r="K1779" s="5">
        <v>0.21223157101594875</v>
      </c>
      <c r="L1779" s="5">
        <v>9.7953032776591734E-3</v>
      </c>
    </row>
    <row r="1780" spans="7:12">
      <c r="G1780" t="s">
        <v>2363</v>
      </c>
      <c r="H1780" t="s">
        <v>118</v>
      </c>
      <c r="I1780" t="s">
        <v>322</v>
      </c>
      <c r="J1780" s="4">
        <v>16113</v>
      </c>
      <c r="K1780" s="5">
        <v>0.2121889157822876</v>
      </c>
      <c r="L1780" s="5">
        <v>1.5639545708434184E-2</v>
      </c>
    </row>
    <row r="1781" spans="7:12">
      <c r="G1781" t="s">
        <v>2364</v>
      </c>
      <c r="H1781" t="s">
        <v>136</v>
      </c>
      <c r="I1781" t="s">
        <v>466</v>
      </c>
      <c r="J1781" s="4">
        <v>1084</v>
      </c>
      <c r="K1781" s="5">
        <v>0.21217712177121772</v>
      </c>
      <c r="L1781" s="5">
        <v>9.2250922509225092E-3</v>
      </c>
    </row>
    <row r="1782" spans="7:12">
      <c r="G1782" t="s">
        <v>2365</v>
      </c>
      <c r="H1782" t="s">
        <v>252</v>
      </c>
      <c r="I1782" t="s">
        <v>149</v>
      </c>
      <c r="J1782" s="4">
        <v>11063</v>
      </c>
      <c r="K1782" s="5">
        <v>0.21214860345295128</v>
      </c>
      <c r="L1782" s="5">
        <v>2.9919551658682094E-2</v>
      </c>
    </row>
    <row r="1783" spans="7:12">
      <c r="G1783" t="s">
        <v>2366</v>
      </c>
      <c r="H1783" t="s">
        <v>299</v>
      </c>
      <c r="I1783" t="s">
        <v>180</v>
      </c>
      <c r="J1783" s="4">
        <v>1056</v>
      </c>
      <c r="K1783" s="5">
        <v>0.21212121212121213</v>
      </c>
      <c r="L1783" s="5">
        <v>8.5227272727272721E-3</v>
      </c>
    </row>
    <row r="1784" spans="7:12">
      <c r="G1784" t="s">
        <v>2367</v>
      </c>
      <c r="H1784" t="s">
        <v>756</v>
      </c>
      <c r="I1784" t="s">
        <v>118</v>
      </c>
      <c r="J1784" s="4">
        <v>1089</v>
      </c>
      <c r="K1784" s="5">
        <v>0.21212121212121213</v>
      </c>
      <c r="L1784" s="5">
        <v>2.4793388429752067E-2</v>
      </c>
    </row>
    <row r="1785" spans="7:12">
      <c r="G1785" t="s">
        <v>2368</v>
      </c>
      <c r="H1785" t="s">
        <v>218</v>
      </c>
      <c r="I1785" t="s">
        <v>358</v>
      </c>
      <c r="J1785" s="4">
        <v>9737</v>
      </c>
      <c r="K1785" s="5">
        <v>0.21207764198418405</v>
      </c>
      <c r="L1785" s="5">
        <v>1.037280476532813E-2</v>
      </c>
    </row>
    <row r="1786" spans="7:12">
      <c r="G1786" t="s">
        <v>2369</v>
      </c>
      <c r="H1786" t="s">
        <v>256</v>
      </c>
      <c r="I1786" t="s">
        <v>204</v>
      </c>
      <c r="J1786" s="4">
        <v>2985</v>
      </c>
      <c r="K1786" s="5">
        <v>0.21206030150753769</v>
      </c>
      <c r="L1786" s="5">
        <v>4.4556113902847569E-2</v>
      </c>
    </row>
    <row r="1787" spans="7:12">
      <c r="G1787" t="s">
        <v>2370</v>
      </c>
      <c r="H1787" t="s">
        <v>160</v>
      </c>
      <c r="I1787" t="s">
        <v>326</v>
      </c>
      <c r="J1787" s="4">
        <v>9031</v>
      </c>
      <c r="K1787" s="5">
        <v>0.21204739231535821</v>
      </c>
      <c r="L1787" s="5">
        <v>1.6498726608349019E-2</v>
      </c>
    </row>
    <row r="1788" spans="7:12">
      <c r="G1788" t="s">
        <v>2371</v>
      </c>
      <c r="H1788" t="s">
        <v>459</v>
      </c>
      <c r="I1788" t="s">
        <v>118</v>
      </c>
      <c r="J1788" s="4">
        <v>3405</v>
      </c>
      <c r="K1788" s="5">
        <v>0.21204111600587372</v>
      </c>
      <c r="L1788" s="5">
        <v>1.0866372980910427E-2</v>
      </c>
    </row>
    <row r="1789" spans="7:12">
      <c r="G1789" t="s">
        <v>2372</v>
      </c>
      <c r="H1789" t="s">
        <v>224</v>
      </c>
      <c r="I1789" t="s">
        <v>95</v>
      </c>
      <c r="J1789" s="4">
        <v>3849</v>
      </c>
      <c r="K1789" s="5">
        <v>0.21200311769290725</v>
      </c>
      <c r="L1789" s="5">
        <v>1.4809041309431021E-2</v>
      </c>
    </row>
    <row r="1790" spans="7:12">
      <c r="G1790" t="s">
        <v>2373</v>
      </c>
      <c r="H1790" t="s">
        <v>356</v>
      </c>
      <c r="I1790" t="s">
        <v>100</v>
      </c>
      <c r="J1790" s="4">
        <v>3397</v>
      </c>
      <c r="K1790" s="5">
        <v>0.21195172210774213</v>
      </c>
      <c r="L1790" s="5">
        <v>1.3541360023550192E-2</v>
      </c>
    </row>
    <row r="1791" spans="7:12">
      <c r="G1791" t="s">
        <v>2374</v>
      </c>
      <c r="H1791" t="s">
        <v>204</v>
      </c>
      <c r="I1791" t="s">
        <v>268</v>
      </c>
      <c r="J1791" s="4">
        <v>3115</v>
      </c>
      <c r="K1791" s="5">
        <v>0.21187800963081863</v>
      </c>
      <c r="L1791" s="5">
        <v>1.5088282504012842E-2</v>
      </c>
    </row>
    <row r="1792" spans="7:12">
      <c r="G1792" t="s">
        <v>2375</v>
      </c>
      <c r="H1792" t="s">
        <v>382</v>
      </c>
      <c r="I1792" t="s">
        <v>131</v>
      </c>
      <c r="J1792" s="4">
        <v>1095</v>
      </c>
      <c r="K1792" s="5">
        <v>0.21187214611872146</v>
      </c>
      <c r="L1792" s="5">
        <v>5.4794520547945206E-3</v>
      </c>
    </row>
    <row r="1793" spans="7:12">
      <c r="G1793" t="s">
        <v>2376</v>
      </c>
      <c r="H1793" t="s">
        <v>798</v>
      </c>
      <c r="I1793" t="s">
        <v>259</v>
      </c>
      <c r="J1793" s="4">
        <v>1331</v>
      </c>
      <c r="K1793" s="5">
        <v>0.21187077385424494</v>
      </c>
      <c r="L1793" s="5">
        <v>5.7099924868519912E-2</v>
      </c>
    </row>
    <row r="1794" spans="7:12">
      <c r="G1794" t="s">
        <v>2377</v>
      </c>
      <c r="H1794" t="s">
        <v>160</v>
      </c>
      <c r="I1794" t="s">
        <v>422</v>
      </c>
      <c r="J1794" s="4">
        <v>1081</v>
      </c>
      <c r="K1794" s="5">
        <v>0.211840888066605</v>
      </c>
      <c r="L1794" s="5">
        <v>7.4005550416281225E-3</v>
      </c>
    </row>
    <row r="1795" spans="7:12">
      <c r="G1795" t="s">
        <v>2378</v>
      </c>
      <c r="H1795" t="s">
        <v>252</v>
      </c>
      <c r="I1795" t="s">
        <v>85</v>
      </c>
      <c r="J1795" s="4">
        <v>7100</v>
      </c>
      <c r="K1795" s="5">
        <v>0.21183098591549296</v>
      </c>
      <c r="L1795" s="5">
        <v>1.2676056338028169E-2</v>
      </c>
    </row>
    <row r="1796" spans="7:12">
      <c r="G1796" t="s">
        <v>2379</v>
      </c>
      <c r="H1796" t="s">
        <v>160</v>
      </c>
      <c r="I1796" t="s">
        <v>352</v>
      </c>
      <c r="J1796" s="4">
        <v>6142</v>
      </c>
      <c r="K1796" s="5">
        <v>0.21182025398892868</v>
      </c>
      <c r="L1796" s="5">
        <v>1.4327580592640833E-2</v>
      </c>
    </row>
    <row r="1797" spans="7:12">
      <c r="G1797" t="s">
        <v>2380</v>
      </c>
      <c r="H1797" t="s">
        <v>218</v>
      </c>
      <c r="I1797" t="s">
        <v>384</v>
      </c>
      <c r="J1797" s="4">
        <v>1100</v>
      </c>
      <c r="K1797" s="5">
        <v>0.21181818181818182</v>
      </c>
      <c r="L1797" s="5">
        <v>8.1818181818181825E-3</v>
      </c>
    </row>
    <row r="1798" spans="7:12">
      <c r="G1798" t="s">
        <v>2381</v>
      </c>
      <c r="H1798" t="s">
        <v>197</v>
      </c>
      <c r="I1798" t="s">
        <v>103</v>
      </c>
      <c r="J1798" s="4">
        <v>5043</v>
      </c>
      <c r="K1798" s="5">
        <v>0.21177870315288519</v>
      </c>
      <c r="L1798" s="5">
        <v>1.288915328177672E-2</v>
      </c>
    </row>
    <row r="1799" spans="7:12">
      <c r="G1799" t="s">
        <v>2382</v>
      </c>
      <c r="H1799" t="s">
        <v>390</v>
      </c>
      <c r="I1799" t="s">
        <v>131</v>
      </c>
      <c r="J1799" s="4">
        <v>12636</v>
      </c>
      <c r="K1799" s="5">
        <v>0.21177587844254511</v>
      </c>
      <c r="L1799" s="5">
        <v>1.2899651788540677E-2</v>
      </c>
    </row>
    <row r="1800" spans="7:12">
      <c r="G1800" t="s">
        <v>2383</v>
      </c>
      <c r="H1800" t="s">
        <v>136</v>
      </c>
      <c r="I1800" t="s">
        <v>269</v>
      </c>
      <c r="J1800" s="4">
        <v>1393</v>
      </c>
      <c r="K1800" s="5">
        <v>0.21177315147164394</v>
      </c>
      <c r="L1800" s="5">
        <v>2.871500358937545E-3</v>
      </c>
    </row>
    <row r="1801" spans="7:12">
      <c r="G1801" t="s">
        <v>2384</v>
      </c>
      <c r="H1801" t="s">
        <v>89</v>
      </c>
      <c r="I1801" t="s">
        <v>380</v>
      </c>
      <c r="J1801" s="4">
        <v>5689</v>
      </c>
      <c r="K1801" s="5">
        <v>0.2116364914747759</v>
      </c>
      <c r="L1801" s="5">
        <v>2.8827561961680435E-2</v>
      </c>
    </row>
    <row r="1802" spans="7:12">
      <c r="G1802" t="s">
        <v>2385</v>
      </c>
      <c r="H1802" t="s">
        <v>317</v>
      </c>
      <c r="I1802" t="s">
        <v>136</v>
      </c>
      <c r="J1802" s="4">
        <v>1498</v>
      </c>
      <c r="K1802" s="5">
        <v>0.21161548731642191</v>
      </c>
      <c r="L1802" s="5">
        <v>1.4018691588785047E-2</v>
      </c>
    </row>
    <row r="1803" spans="7:12">
      <c r="G1803" t="s">
        <v>2386</v>
      </c>
      <c r="H1803" t="s">
        <v>218</v>
      </c>
      <c r="I1803" t="s">
        <v>254</v>
      </c>
      <c r="J1803" s="4">
        <v>9360</v>
      </c>
      <c r="K1803" s="5">
        <v>0.21153846153846154</v>
      </c>
      <c r="L1803" s="5">
        <v>1.282051282051282E-2</v>
      </c>
    </row>
    <row r="1804" spans="7:12">
      <c r="G1804" t="s">
        <v>2387</v>
      </c>
      <c r="H1804" t="s">
        <v>268</v>
      </c>
      <c r="I1804" t="s">
        <v>388</v>
      </c>
      <c r="J1804" s="4">
        <v>1560</v>
      </c>
      <c r="K1804" s="5">
        <v>0.21153846153846154</v>
      </c>
      <c r="L1804" s="5">
        <v>7.0512820512820514E-3</v>
      </c>
    </row>
    <row r="1805" spans="7:12">
      <c r="G1805" t="s">
        <v>2388</v>
      </c>
      <c r="H1805" t="s">
        <v>453</v>
      </c>
      <c r="I1805" t="s">
        <v>100</v>
      </c>
      <c r="J1805" s="4">
        <v>7871</v>
      </c>
      <c r="K1805" s="5">
        <v>0.21153601829500698</v>
      </c>
      <c r="L1805" s="5">
        <v>1.1053233388387753E-2</v>
      </c>
    </row>
    <row r="1806" spans="7:12">
      <c r="G1806" t="s">
        <v>2389</v>
      </c>
      <c r="H1806" t="s">
        <v>414</v>
      </c>
      <c r="I1806" t="s">
        <v>100</v>
      </c>
      <c r="J1806" s="4">
        <v>5867</v>
      </c>
      <c r="K1806" s="5">
        <v>0.21152207260951084</v>
      </c>
      <c r="L1806" s="5">
        <v>1.0397136526333731E-2</v>
      </c>
    </row>
    <row r="1807" spans="7:12">
      <c r="G1807" t="s">
        <v>2390</v>
      </c>
      <c r="H1807" t="s">
        <v>422</v>
      </c>
      <c r="I1807" t="s">
        <v>254</v>
      </c>
      <c r="J1807" s="4">
        <v>1731</v>
      </c>
      <c r="K1807" s="5">
        <v>0.21143847487001732</v>
      </c>
      <c r="L1807" s="5">
        <v>6.3547082611207393E-3</v>
      </c>
    </row>
    <row r="1808" spans="7:12">
      <c r="G1808" t="s">
        <v>2391</v>
      </c>
      <c r="H1808" t="s">
        <v>297</v>
      </c>
      <c r="I1808" t="s">
        <v>233</v>
      </c>
      <c r="J1808" s="4">
        <v>1230</v>
      </c>
      <c r="K1808" s="5">
        <v>0.21138211382113822</v>
      </c>
      <c r="L1808" s="5">
        <v>1.6260162601626016E-3</v>
      </c>
    </row>
    <row r="1809" spans="7:12">
      <c r="G1809" t="s">
        <v>2392</v>
      </c>
      <c r="H1809" t="s">
        <v>134</v>
      </c>
      <c r="I1809" t="s">
        <v>233</v>
      </c>
      <c r="J1809" s="4">
        <v>5748</v>
      </c>
      <c r="K1809" s="5">
        <v>0.21137787056367432</v>
      </c>
      <c r="L1809" s="5">
        <v>1.4961725817675714E-2</v>
      </c>
    </row>
    <row r="1810" spans="7:12">
      <c r="G1810" t="s">
        <v>2393</v>
      </c>
      <c r="H1810" t="s">
        <v>162</v>
      </c>
      <c r="I1810" t="s">
        <v>103</v>
      </c>
      <c r="J1810" s="4">
        <v>11113</v>
      </c>
      <c r="K1810" s="5">
        <v>0.21137406640871051</v>
      </c>
      <c r="L1810" s="5">
        <v>9.9883019886619281E-3</v>
      </c>
    </row>
    <row r="1811" spans="7:12">
      <c r="G1811" t="s">
        <v>2394</v>
      </c>
      <c r="H1811" t="s">
        <v>322</v>
      </c>
      <c r="I1811" t="s">
        <v>149</v>
      </c>
      <c r="J1811" s="4">
        <v>5261</v>
      </c>
      <c r="K1811" s="5">
        <v>0.21136666033073559</v>
      </c>
      <c r="L1811" s="5">
        <v>2.3379585630108345E-2</v>
      </c>
    </row>
    <row r="1812" spans="7:12">
      <c r="G1812" t="s">
        <v>2395</v>
      </c>
      <c r="H1812" t="s">
        <v>134</v>
      </c>
      <c r="I1812" t="s">
        <v>276</v>
      </c>
      <c r="J1812" s="4">
        <v>2224</v>
      </c>
      <c r="K1812" s="5">
        <v>0.21133093525179855</v>
      </c>
      <c r="L1812" s="5">
        <v>1.5737410071942445E-2</v>
      </c>
    </row>
    <row r="1813" spans="7:12">
      <c r="G1813" t="s">
        <v>2396</v>
      </c>
      <c r="H1813" t="s">
        <v>527</v>
      </c>
      <c r="I1813" t="s">
        <v>226</v>
      </c>
      <c r="J1813" s="4">
        <v>1775</v>
      </c>
      <c r="K1813" s="5">
        <v>0.21126760563380281</v>
      </c>
      <c r="L1813" s="5">
        <v>3.3802816901408453E-3</v>
      </c>
    </row>
    <row r="1814" spans="7:12">
      <c r="G1814" t="s">
        <v>2397</v>
      </c>
      <c r="H1814" t="s">
        <v>191</v>
      </c>
      <c r="I1814" t="s">
        <v>326</v>
      </c>
      <c r="J1814" s="4">
        <v>1250</v>
      </c>
      <c r="K1814" s="5">
        <v>0.2112</v>
      </c>
      <c r="L1814" s="5">
        <v>6.4000000000000003E-3</v>
      </c>
    </row>
    <row r="1815" spans="7:12">
      <c r="G1815" t="s">
        <v>2398</v>
      </c>
      <c r="H1815" t="s">
        <v>89</v>
      </c>
      <c r="I1815" t="s">
        <v>149</v>
      </c>
      <c r="J1815" s="4">
        <v>5937</v>
      </c>
      <c r="K1815" s="5">
        <v>0.2110493515243389</v>
      </c>
      <c r="L1815" s="5">
        <v>1.9875357924877886E-2</v>
      </c>
    </row>
    <row r="1816" spans="7:12">
      <c r="G1816" t="s">
        <v>2399</v>
      </c>
      <c r="H1816" t="s">
        <v>189</v>
      </c>
      <c r="I1816" t="s">
        <v>352</v>
      </c>
      <c r="J1816" s="4">
        <v>2687</v>
      </c>
      <c r="K1816" s="5">
        <v>0.21101600297729811</v>
      </c>
      <c r="L1816" s="5">
        <v>7.8154075176777079E-3</v>
      </c>
    </row>
    <row r="1817" spans="7:12">
      <c r="G1817" t="s">
        <v>2400</v>
      </c>
      <c r="H1817" t="s">
        <v>162</v>
      </c>
      <c r="I1817" t="s">
        <v>218</v>
      </c>
      <c r="J1817" s="4">
        <v>15080</v>
      </c>
      <c r="K1817" s="5">
        <v>0.21100795755968169</v>
      </c>
      <c r="L1817" s="5">
        <v>1.0676392572944298E-2</v>
      </c>
    </row>
    <row r="1818" spans="7:12">
      <c r="G1818" t="s">
        <v>2401</v>
      </c>
      <c r="H1818" t="s">
        <v>495</v>
      </c>
      <c r="I1818" t="s">
        <v>218</v>
      </c>
      <c r="J1818" s="4">
        <v>1109</v>
      </c>
      <c r="K1818" s="5">
        <v>0.2110009017132552</v>
      </c>
      <c r="L1818" s="5">
        <v>9.017132551848512E-3</v>
      </c>
    </row>
    <row r="1819" spans="7:12">
      <c r="G1819" t="s">
        <v>2402</v>
      </c>
      <c r="H1819" t="s">
        <v>162</v>
      </c>
      <c r="I1819" t="s">
        <v>221</v>
      </c>
      <c r="J1819" s="4">
        <v>2736</v>
      </c>
      <c r="K1819" s="5">
        <v>0.21089181286549707</v>
      </c>
      <c r="L1819" s="5">
        <v>1.2792397660818713E-2</v>
      </c>
    </row>
    <row r="1820" spans="7:12">
      <c r="G1820" t="s">
        <v>2403</v>
      </c>
      <c r="H1820" t="s">
        <v>358</v>
      </c>
      <c r="I1820" t="s">
        <v>204</v>
      </c>
      <c r="J1820" s="4">
        <v>4391</v>
      </c>
      <c r="K1820" s="5">
        <v>0.21088590298337509</v>
      </c>
      <c r="L1820" s="5">
        <v>3.5299476201320887E-2</v>
      </c>
    </row>
    <row r="1821" spans="7:12">
      <c r="G1821" t="s">
        <v>2404</v>
      </c>
      <c r="H1821" t="s">
        <v>271</v>
      </c>
      <c r="I1821" t="s">
        <v>103</v>
      </c>
      <c r="J1821" s="4">
        <v>5383</v>
      </c>
      <c r="K1821" s="5">
        <v>0.2108489689764072</v>
      </c>
      <c r="L1821" s="5">
        <v>1.8019691621772246E-2</v>
      </c>
    </row>
    <row r="1822" spans="7:12">
      <c r="G1822" t="s">
        <v>2405</v>
      </c>
      <c r="H1822" t="s">
        <v>182</v>
      </c>
      <c r="I1822" t="s">
        <v>103</v>
      </c>
      <c r="J1822" s="4">
        <v>16477</v>
      </c>
      <c r="K1822" s="5">
        <v>0.21077866116404687</v>
      </c>
      <c r="L1822" s="5">
        <v>1.2016750622079263E-2</v>
      </c>
    </row>
    <row r="1823" spans="7:12">
      <c r="G1823" t="s">
        <v>2406</v>
      </c>
      <c r="H1823" t="s">
        <v>131</v>
      </c>
      <c r="I1823" t="s">
        <v>252</v>
      </c>
      <c r="J1823" s="4">
        <v>1803</v>
      </c>
      <c r="K1823" s="5">
        <v>0.21075984470327233</v>
      </c>
      <c r="L1823" s="5">
        <v>6.6555740432612314E-3</v>
      </c>
    </row>
    <row r="1824" spans="7:12">
      <c r="G1824" t="s">
        <v>2407</v>
      </c>
      <c r="H1824" t="s">
        <v>434</v>
      </c>
      <c r="I1824" t="s">
        <v>182</v>
      </c>
      <c r="J1824" s="4">
        <v>1879</v>
      </c>
      <c r="K1824" s="5">
        <v>0.21075039914848323</v>
      </c>
      <c r="L1824" s="5">
        <v>5.3219797764768491E-3</v>
      </c>
    </row>
    <row r="1825" spans="7:12">
      <c r="G1825" t="s">
        <v>2408</v>
      </c>
      <c r="H1825" t="s">
        <v>418</v>
      </c>
      <c r="I1825" t="s">
        <v>131</v>
      </c>
      <c r="J1825" s="4">
        <v>13315</v>
      </c>
      <c r="K1825" s="5">
        <v>0.21073976717987233</v>
      </c>
      <c r="L1825" s="5">
        <v>1.7874577544123169E-2</v>
      </c>
    </row>
    <row r="1826" spans="7:12">
      <c r="G1826" t="s">
        <v>2409</v>
      </c>
      <c r="H1826" t="s">
        <v>202</v>
      </c>
      <c r="I1826" t="s">
        <v>126</v>
      </c>
      <c r="J1826" s="4">
        <v>1006</v>
      </c>
      <c r="K1826" s="5">
        <v>0.21073558648111332</v>
      </c>
      <c r="L1826" s="5">
        <v>2.6838966202783299E-2</v>
      </c>
    </row>
    <row r="1827" spans="7:12">
      <c r="G1827" t="s">
        <v>2410</v>
      </c>
      <c r="H1827" t="s">
        <v>160</v>
      </c>
      <c r="I1827" t="s">
        <v>233</v>
      </c>
      <c r="J1827" s="4">
        <v>7120</v>
      </c>
      <c r="K1827" s="5">
        <v>0.21067415730337077</v>
      </c>
      <c r="L1827" s="5">
        <v>1.3483146067415731E-2</v>
      </c>
    </row>
    <row r="1828" spans="7:12">
      <c r="G1828" t="s">
        <v>2411</v>
      </c>
      <c r="H1828" t="s">
        <v>2015</v>
      </c>
      <c r="I1828" t="s">
        <v>118</v>
      </c>
      <c r="J1828" s="4">
        <v>1073</v>
      </c>
      <c r="K1828" s="5">
        <v>0.21062441752096925</v>
      </c>
      <c r="L1828" s="5">
        <v>2.3299161230195712E-2</v>
      </c>
    </row>
    <row r="1829" spans="7:12">
      <c r="G1829" t="s">
        <v>2412</v>
      </c>
      <c r="H1829" t="s">
        <v>268</v>
      </c>
      <c r="I1829" t="s">
        <v>408</v>
      </c>
      <c r="J1829" s="4">
        <v>1377</v>
      </c>
      <c r="K1829" s="5">
        <v>0.21060275962236746</v>
      </c>
      <c r="L1829" s="5">
        <v>5.0835148874364558E-3</v>
      </c>
    </row>
    <row r="1830" spans="7:12">
      <c r="G1830" t="s">
        <v>2413</v>
      </c>
      <c r="H1830" t="s">
        <v>370</v>
      </c>
      <c r="I1830" t="s">
        <v>268</v>
      </c>
      <c r="J1830" s="4">
        <v>3623</v>
      </c>
      <c r="K1830" s="5">
        <v>0.21059895114545957</v>
      </c>
      <c r="L1830" s="5">
        <v>4.9682583494341705E-3</v>
      </c>
    </row>
    <row r="1831" spans="7:12">
      <c r="G1831" t="s">
        <v>2414</v>
      </c>
      <c r="H1831" t="s">
        <v>218</v>
      </c>
      <c r="I1831" t="s">
        <v>136</v>
      </c>
      <c r="J1831" s="4">
        <v>10980</v>
      </c>
      <c r="K1831" s="5">
        <v>0.2105646630236794</v>
      </c>
      <c r="L1831" s="5">
        <v>1.3387978142076503E-2</v>
      </c>
    </row>
    <row r="1832" spans="7:12">
      <c r="G1832" t="s">
        <v>2415</v>
      </c>
      <c r="H1832" t="s">
        <v>268</v>
      </c>
      <c r="I1832" t="s">
        <v>89</v>
      </c>
      <c r="J1832" s="4">
        <v>6540</v>
      </c>
      <c r="K1832" s="5">
        <v>0.21055045871559633</v>
      </c>
      <c r="L1832" s="5">
        <v>3.3486238532110094E-2</v>
      </c>
    </row>
    <row r="1833" spans="7:12">
      <c r="G1833" t="s">
        <v>2416</v>
      </c>
      <c r="H1833" t="s">
        <v>182</v>
      </c>
      <c r="I1833" t="s">
        <v>489</v>
      </c>
      <c r="J1833" s="4">
        <v>17057</v>
      </c>
      <c r="K1833" s="5">
        <v>0.21052940141877236</v>
      </c>
      <c r="L1833" s="5">
        <v>9.2044321979246058E-3</v>
      </c>
    </row>
    <row r="1834" spans="7:12">
      <c r="G1834" t="s">
        <v>2417</v>
      </c>
      <c r="H1834" t="s">
        <v>236</v>
      </c>
      <c r="I1834" t="s">
        <v>160</v>
      </c>
      <c r="J1834" s="4">
        <v>6199</v>
      </c>
      <c r="K1834" s="5">
        <v>0.21051782545571868</v>
      </c>
      <c r="L1834" s="5">
        <v>1.5486368769156315E-2</v>
      </c>
    </row>
    <row r="1835" spans="7:12">
      <c r="G1835" t="s">
        <v>2418</v>
      </c>
      <c r="H1835" t="s">
        <v>131</v>
      </c>
      <c r="I1835" t="s">
        <v>331</v>
      </c>
      <c r="J1835" s="4">
        <v>2214</v>
      </c>
      <c r="K1835" s="5">
        <v>0.21047877145438121</v>
      </c>
      <c r="L1835" s="5">
        <v>9.485094850948509E-3</v>
      </c>
    </row>
    <row r="1836" spans="7:12">
      <c r="G1836" t="s">
        <v>2419</v>
      </c>
      <c r="H1836" t="s">
        <v>137</v>
      </c>
      <c r="I1836" t="s">
        <v>408</v>
      </c>
      <c r="J1836" s="4">
        <v>4390</v>
      </c>
      <c r="K1836" s="5">
        <v>0.21047835990888383</v>
      </c>
      <c r="L1836" s="5">
        <v>1.9817767653758544E-2</v>
      </c>
    </row>
    <row r="1837" spans="7:12">
      <c r="G1837" t="s">
        <v>2420</v>
      </c>
      <c r="H1837" t="s">
        <v>189</v>
      </c>
      <c r="I1837" t="s">
        <v>449</v>
      </c>
      <c r="J1837" s="4">
        <v>1250</v>
      </c>
      <c r="K1837" s="5">
        <v>0.2104</v>
      </c>
      <c r="L1837" s="5">
        <v>1.52E-2</v>
      </c>
    </row>
    <row r="1838" spans="7:12">
      <c r="G1838" t="s">
        <v>2421</v>
      </c>
      <c r="H1838" t="s">
        <v>329</v>
      </c>
      <c r="I1838" t="s">
        <v>118</v>
      </c>
      <c r="J1838" s="4">
        <v>3270</v>
      </c>
      <c r="K1838" s="5">
        <v>0.21039755351681957</v>
      </c>
      <c r="L1838" s="5">
        <v>1.6207951070336391E-2</v>
      </c>
    </row>
    <row r="1839" spans="7:12">
      <c r="G1839" t="s">
        <v>2422</v>
      </c>
      <c r="H1839" t="s">
        <v>2423</v>
      </c>
      <c r="I1839" t="s">
        <v>259</v>
      </c>
      <c r="J1839" s="4">
        <v>1041</v>
      </c>
      <c r="K1839" s="5">
        <v>0.21037463976945245</v>
      </c>
      <c r="L1839" s="5">
        <v>5.1873198847262249E-2</v>
      </c>
    </row>
    <row r="1840" spans="7:12">
      <c r="G1840" t="s">
        <v>2424</v>
      </c>
      <c r="H1840" t="s">
        <v>118</v>
      </c>
      <c r="I1840" t="s">
        <v>451</v>
      </c>
      <c r="J1840" s="4">
        <v>1892</v>
      </c>
      <c r="K1840" s="5">
        <v>0.21035940803382663</v>
      </c>
      <c r="L1840" s="5">
        <v>9.5137420718816069E-3</v>
      </c>
    </row>
    <row r="1841" spans="7:12">
      <c r="G1841" t="s">
        <v>2425</v>
      </c>
      <c r="H1841" t="s">
        <v>293</v>
      </c>
      <c r="I1841" t="s">
        <v>118</v>
      </c>
      <c r="J1841" s="4">
        <v>4122</v>
      </c>
      <c r="K1841" s="5">
        <v>0.21033478893740903</v>
      </c>
      <c r="L1841" s="5">
        <v>1.3585638039786511E-2</v>
      </c>
    </row>
    <row r="1842" spans="7:12">
      <c r="G1842" t="s">
        <v>2426</v>
      </c>
      <c r="H1842" t="s">
        <v>160</v>
      </c>
      <c r="I1842" t="s">
        <v>268</v>
      </c>
      <c r="J1842" s="4">
        <v>12369</v>
      </c>
      <c r="K1842" s="5">
        <v>0.21028377395100656</v>
      </c>
      <c r="L1842" s="5">
        <v>2.0939445387662705E-2</v>
      </c>
    </row>
    <row r="1843" spans="7:12">
      <c r="G1843" t="s">
        <v>2427</v>
      </c>
      <c r="H1843" t="s">
        <v>377</v>
      </c>
      <c r="I1843" t="s">
        <v>226</v>
      </c>
      <c r="J1843" s="4">
        <v>5751</v>
      </c>
      <c r="K1843" s="5">
        <v>0.2102243088158581</v>
      </c>
      <c r="L1843" s="5">
        <v>8.8680229525299956E-3</v>
      </c>
    </row>
    <row r="1844" spans="7:12">
      <c r="G1844" t="s">
        <v>2428</v>
      </c>
      <c r="H1844" t="s">
        <v>85</v>
      </c>
      <c r="I1844" t="s">
        <v>336</v>
      </c>
      <c r="J1844" s="4">
        <v>2293</v>
      </c>
      <c r="K1844" s="5">
        <v>0.21020497165285651</v>
      </c>
      <c r="L1844" s="5">
        <v>1.6572176188399478E-2</v>
      </c>
    </row>
    <row r="1845" spans="7:12">
      <c r="G1845" t="s">
        <v>2429</v>
      </c>
      <c r="H1845" t="s">
        <v>182</v>
      </c>
      <c r="I1845" t="s">
        <v>484</v>
      </c>
      <c r="J1845" s="4">
        <v>2046</v>
      </c>
      <c r="K1845" s="5">
        <v>0.2101661779081134</v>
      </c>
      <c r="L1845" s="5">
        <v>6.3538611925708704E-3</v>
      </c>
    </row>
    <row r="1846" spans="7:12">
      <c r="G1846" t="s">
        <v>2430</v>
      </c>
      <c r="H1846" t="s">
        <v>89</v>
      </c>
      <c r="I1846" t="s">
        <v>191</v>
      </c>
      <c r="J1846" s="4">
        <v>4725</v>
      </c>
      <c r="K1846" s="5">
        <v>0.21015873015873016</v>
      </c>
      <c r="L1846" s="5">
        <v>2.0105820105820106E-2</v>
      </c>
    </row>
    <row r="1847" spans="7:12">
      <c r="G1847" t="s">
        <v>2431</v>
      </c>
      <c r="H1847" t="s">
        <v>103</v>
      </c>
      <c r="I1847" t="s">
        <v>1908</v>
      </c>
      <c r="J1847" s="4">
        <v>2189</v>
      </c>
      <c r="K1847" s="5">
        <v>0.21014161717679306</v>
      </c>
      <c r="L1847" s="5">
        <v>1.3704888076747372E-2</v>
      </c>
    </row>
    <row r="1848" spans="7:12">
      <c r="G1848" t="s">
        <v>2432</v>
      </c>
      <c r="H1848" t="s">
        <v>182</v>
      </c>
      <c r="I1848" t="s">
        <v>236</v>
      </c>
      <c r="J1848" s="4">
        <v>1566</v>
      </c>
      <c r="K1848" s="5">
        <v>0.21008939974457216</v>
      </c>
      <c r="L1848" s="5">
        <v>3.1928480204342275E-3</v>
      </c>
    </row>
    <row r="1849" spans="7:12">
      <c r="G1849" t="s">
        <v>2433</v>
      </c>
      <c r="H1849" t="s">
        <v>103</v>
      </c>
      <c r="I1849" t="s">
        <v>523</v>
      </c>
      <c r="J1849" s="4">
        <v>2404</v>
      </c>
      <c r="K1849" s="5">
        <v>0.21006655574043262</v>
      </c>
      <c r="L1849" s="5">
        <v>9.1514143094841936E-3</v>
      </c>
    </row>
    <row r="1850" spans="7:12">
      <c r="G1850" t="s">
        <v>2434</v>
      </c>
      <c r="H1850" t="s">
        <v>131</v>
      </c>
      <c r="I1850" t="s">
        <v>215</v>
      </c>
      <c r="J1850" s="4">
        <v>19356</v>
      </c>
      <c r="K1850" s="5">
        <v>0.2100640628228973</v>
      </c>
      <c r="L1850" s="5">
        <v>9.2477784666253355E-3</v>
      </c>
    </row>
    <row r="1851" spans="7:12">
      <c r="G1851" t="s">
        <v>2435</v>
      </c>
      <c r="H1851" t="s">
        <v>137</v>
      </c>
      <c r="I1851" t="s">
        <v>118</v>
      </c>
      <c r="J1851" s="4">
        <v>13155</v>
      </c>
      <c r="K1851" s="5">
        <v>0.21003420752565563</v>
      </c>
      <c r="L1851" s="5">
        <v>1.5735461801596351E-2</v>
      </c>
    </row>
    <row r="1852" spans="7:12">
      <c r="G1852" t="s">
        <v>2436</v>
      </c>
      <c r="H1852" t="s">
        <v>282</v>
      </c>
      <c r="I1852" t="s">
        <v>100</v>
      </c>
      <c r="J1852" s="4">
        <v>6666</v>
      </c>
      <c r="K1852" s="5">
        <v>0.21002100210021002</v>
      </c>
      <c r="L1852" s="5">
        <v>1.3201320132013201E-2</v>
      </c>
    </row>
    <row r="1853" spans="7:12">
      <c r="G1853" t="s">
        <v>2437</v>
      </c>
      <c r="H1853" t="s">
        <v>100</v>
      </c>
      <c r="I1853" t="s">
        <v>479</v>
      </c>
      <c r="J1853" s="4">
        <v>1605</v>
      </c>
      <c r="K1853" s="5">
        <v>0.20996884735202492</v>
      </c>
      <c r="L1853" s="5">
        <v>1.61993769470405E-2</v>
      </c>
    </row>
    <row r="1854" spans="7:12">
      <c r="G1854" t="s">
        <v>2438</v>
      </c>
      <c r="H1854" t="s">
        <v>115</v>
      </c>
      <c r="I1854" t="s">
        <v>218</v>
      </c>
      <c r="J1854" s="4">
        <v>18129</v>
      </c>
      <c r="K1854" s="5">
        <v>0.20993987533785646</v>
      </c>
      <c r="L1854" s="5">
        <v>1.2080092669204038E-2</v>
      </c>
    </row>
    <row r="1855" spans="7:12">
      <c r="G1855" t="s">
        <v>2439</v>
      </c>
      <c r="H1855" t="s">
        <v>103</v>
      </c>
      <c r="I1855" t="s">
        <v>191</v>
      </c>
      <c r="J1855" s="4">
        <v>2277</v>
      </c>
      <c r="K1855" s="5">
        <v>0.20992534036012298</v>
      </c>
      <c r="L1855" s="5">
        <v>1.0101010101010102E-2</v>
      </c>
    </row>
    <row r="1856" spans="7:12">
      <c r="G1856" t="s">
        <v>2440</v>
      </c>
      <c r="H1856" t="s">
        <v>370</v>
      </c>
      <c r="I1856" t="s">
        <v>85</v>
      </c>
      <c r="J1856" s="4">
        <v>10380</v>
      </c>
      <c r="K1856" s="5">
        <v>0.20992292870905588</v>
      </c>
      <c r="L1856" s="5">
        <v>4.5279383429672445E-3</v>
      </c>
    </row>
    <row r="1857" spans="7:12">
      <c r="G1857" t="s">
        <v>2441</v>
      </c>
      <c r="H1857" t="s">
        <v>412</v>
      </c>
      <c r="I1857" t="s">
        <v>226</v>
      </c>
      <c r="J1857" s="4">
        <v>3650</v>
      </c>
      <c r="K1857" s="5">
        <v>0.20986301369863014</v>
      </c>
      <c r="L1857" s="5">
        <v>9.5890410958904115E-3</v>
      </c>
    </row>
    <row r="1858" spans="7:12">
      <c r="G1858" t="s">
        <v>2442</v>
      </c>
      <c r="H1858" t="s">
        <v>140</v>
      </c>
      <c r="I1858" t="s">
        <v>336</v>
      </c>
      <c r="J1858" s="4">
        <v>3012</v>
      </c>
      <c r="K1858" s="5">
        <v>0.20982735723771581</v>
      </c>
      <c r="L1858" s="5">
        <v>2.3904382470119521E-2</v>
      </c>
    </row>
    <row r="1859" spans="7:12">
      <c r="G1859" t="s">
        <v>2443</v>
      </c>
      <c r="H1859" t="s">
        <v>204</v>
      </c>
      <c r="I1859" t="s">
        <v>226</v>
      </c>
      <c r="J1859" s="4">
        <v>2507</v>
      </c>
      <c r="K1859" s="5">
        <v>0.20981252493019545</v>
      </c>
      <c r="L1859" s="5">
        <v>7.1798962903869166E-3</v>
      </c>
    </row>
    <row r="1860" spans="7:12">
      <c r="G1860" t="s">
        <v>2444</v>
      </c>
      <c r="H1860" t="s">
        <v>380</v>
      </c>
      <c r="I1860" t="s">
        <v>89</v>
      </c>
      <c r="J1860" s="4">
        <v>5691</v>
      </c>
      <c r="K1860" s="5">
        <v>0.20980495519240908</v>
      </c>
      <c r="L1860" s="5">
        <v>2.9168863117202602E-2</v>
      </c>
    </row>
    <row r="1861" spans="7:12">
      <c r="G1861" t="s">
        <v>2445</v>
      </c>
      <c r="H1861" t="s">
        <v>215</v>
      </c>
      <c r="I1861" t="s">
        <v>406</v>
      </c>
      <c r="J1861" s="4">
        <v>1368</v>
      </c>
      <c r="K1861" s="5">
        <v>0.2097953216374269</v>
      </c>
      <c r="L1861" s="5">
        <v>6.5789473684210523E-3</v>
      </c>
    </row>
    <row r="1862" spans="7:12">
      <c r="G1862" t="s">
        <v>2446</v>
      </c>
      <c r="H1862" t="s">
        <v>118</v>
      </c>
      <c r="I1862" t="s">
        <v>329</v>
      </c>
      <c r="J1862" s="4">
        <v>3270</v>
      </c>
      <c r="K1862" s="5">
        <v>0.20978593272171253</v>
      </c>
      <c r="L1862" s="5">
        <v>1.437308868501529E-2</v>
      </c>
    </row>
    <row r="1863" spans="7:12">
      <c r="G1863" t="s">
        <v>2447</v>
      </c>
      <c r="H1863" t="s">
        <v>252</v>
      </c>
      <c r="I1863" t="s">
        <v>134</v>
      </c>
      <c r="J1863" s="4">
        <v>2532</v>
      </c>
      <c r="K1863" s="5">
        <v>0.20971563981042654</v>
      </c>
      <c r="L1863" s="5">
        <v>1.3428120063191154E-2</v>
      </c>
    </row>
    <row r="1864" spans="7:12">
      <c r="G1864" t="s">
        <v>2448</v>
      </c>
      <c r="H1864" t="s">
        <v>326</v>
      </c>
      <c r="I1864" t="s">
        <v>268</v>
      </c>
      <c r="J1864" s="4">
        <v>6095</v>
      </c>
      <c r="K1864" s="5">
        <v>0.20968006562756358</v>
      </c>
      <c r="L1864" s="5">
        <v>6.398687448728466E-3</v>
      </c>
    </row>
    <row r="1865" spans="7:12">
      <c r="G1865" t="s">
        <v>2449</v>
      </c>
      <c r="H1865" t="s">
        <v>291</v>
      </c>
      <c r="I1865" t="s">
        <v>131</v>
      </c>
      <c r="J1865" s="4">
        <v>2853</v>
      </c>
      <c r="K1865" s="5">
        <v>0.20960392569225378</v>
      </c>
      <c r="L1865" s="5">
        <v>5.6081317910970912E-3</v>
      </c>
    </row>
    <row r="1866" spans="7:12">
      <c r="G1866" t="s">
        <v>2450</v>
      </c>
      <c r="H1866" t="s">
        <v>162</v>
      </c>
      <c r="I1866" t="s">
        <v>322</v>
      </c>
      <c r="J1866" s="4">
        <v>8269</v>
      </c>
      <c r="K1866" s="5">
        <v>0.20957794171000121</v>
      </c>
      <c r="L1866" s="5">
        <v>1.1851493530052002E-2</v>
      </c>
    </row>
    <row r="1867" spans="7:12">
      <c r="G1867" t="s">
        <v>2451</v>
      </c>
      <c r="H1867" t="s">
        <v>313</v>
      </c>
      <c r="I1867" t="s">
        <v>100</v>
      </c>
      <c r="J1867" s="4">
        <v>3164</v>
      </c>
      <c r="K1867" s="5">
        <v>0.2095448798988622</v>
      </c>
      <c r="L1867" s="5">
        <v>1.359039190897598E-2</v>
      </c>
    </row>
    <row r="1868" spans="7:12">
      <c r="G1868" t="s">
        <v>2452</v>
      </c>
      <c r="H1868" t="s">
        <v>131</v>
      </c>
      <c r="I1868" t="s">
        <v>390</v>
      </c>
      <c r="J1868" s="4">
        <v>12633</v>
      </c>
      <c r="K1868" s="5">
        <v>0.20953059447478825</v>
      </c>
      <c r="L1868" s="5">
        <v>1.0765455552916964E-2</v>
      </c>
    </row>
    <row r="1869" spans="7:12">
      <c r="G1869" t="s">
        <v>2453</v>
      </c>
      <c r="H1869" t="s">
        <v>89</v>
      </c>
      <c r="I1869" t="s">
        <v>436</v>
      </c>
      <c r="J1869" s="4">
        <v>1948</v>
      </c>
      <c r="K1869" s="5">
        <v>0.20944558521560575</v>
      </c>
      <c r="L1869" s="5">
        <v>8.2135523613963042E-3</v>
      </c>
    </row>
    <row r="1870" spans="7:12">
      <c r="G1870" t="s">
        <v>2454</v>
      </c>
      <c r="H1870" t="s">
        <v>85</v>
      </c>
      <c r="I1870" t="s">
        <v>453</v>
      </c>
      <c r="J1870" s="4">
        <v>1466</v>
      </c>
      <c r="K1870" s="5">
        <v>0.20941336971350613</v>
      </c>
      <c r="L1870" s="5">
        <v>5.4570259208731242E-3</v>
      </c>
    </row>
    <row r="1871" spans="7:12">
      <c r="G1871" t="s">
        <v>2455</v>
      </c>
      <c r="H1871" t="s">
        <v>218</v>
      </c>
      <c r="I1871" t="s">
        <v>269</v>
      </c>
      <c r="J1871" s="4">
        <v>9247</v>
      </c>
      <c r="K1871" s="5">
        <v>0.20936519952417001</v>
      </c>
      <c r="L1871" s="5">
        <v>8.3270249810749441E-3</v>
      </c>
    </row>
    <row r="1872" spans="7:12">
      <c r="G1872" t="s">
        <v>2456</v>
      </c>
      <c r="H1872" t="s">
        <v>226</v>
      </c>
      <c r="I1872" t="s">
        <v>404</v>
      </c>
      <c r="J1872" s="4">
        <v>7370</v>
      </c>
      <c r="K1872" s="5">
        <v>0.20936227951153324</v>
      </c>
      <c r="L1872" s="5">
        <v>8.8195386702849387E-3</v>
      </c>
    </row>
    <row r="1873" spans="7:12">
      <c r="G1873" t="s">
        <v>2457</v>
      </c>
      <c r="H1873" t="s">
        <v>228</v>
      </c>
      <c r="I1873" t="s">
        <v>226</v>
      </c>
      <c r="J1873" s="4">
        <v>1261</v>
      </c>
      <c r="K1873" s="5">
        <v>0.20935765265662173</v>
      </c>
      <c r="L1873" s="5">
        <v>9.5162569389373505E-3</v>
      </c>
    </row>
    <row r="1874" spans="7:12">
      <c r="G1874" t="s">
        <v>2458</v>
      </c>
      <c r="H1874" t="s">
        <v>305</v>
      </c>
      <c r="I1874" t="s">
        <v>370</v>
      </c>
      <c r="J1874" s="4">
        <v>1304</v>
      </c>
      <c r="K1874" s="5">
        <v>0.20935582822085891</v>
      </c>
      <c r="L1874" s="5">
        <v>3.8343558282208589E-3</v>
      </c>
    </row>
    <row r="1875" spans="7:12">
      <c r="G1875" t="s">
        <v>2459</v>
      </c>
      <c r="H1875" t="s">
        <v>131</v>
      </c>
      <c r="I1875" t="s">
        <v>556</v>
      </c>
      <c r="J1875" s="4">
        <v>1242</v>
      </c>
      <c r="K1875" s="5">
        <v>0.20933977455716588</v>
      </c>
      <c r="L1875" s="5">
        <v>4.830917874396135E-3</v>
      </c>
    </row>
    <row r="1876" spans="7:12">
      <c r="G1876" t="s">
        <v>2460</v>
      </c>
      <c r="H1876" t="s">
        <v>377</v>
      </c>
      <c r="I1876" t="s">
        <v>89</v>
      </c>
      <c r="J1876" s="4">
        <v>9527</v>
      </c>
      <c r="K1876" s="5">
        <v>0.20929988453867954</v>
      </c>
      <c r="L1876" s="5">
        <v>1.6059620027290857E-2</v>
      </c>
    </row>
    <row r="1877" spans="7:12">
      <c r="G1877" t="s">
        <v>2461</v>
      </c>
      <c r="H1877" t="s">
        <v>115</v>
      </c>
      <c r="I1877" t="s">
        <v>388</v>
      </c>
      <c r="J1877" s="4">
        <v>1013</v>
      </c>
      <c r="K1877" s="5">
        <v>0.20927936821322804</v>
      </c>
      <c r="L1877" s="5">
        <v>4.9358341559723592E-3</v>
      </c>
    </row>
    <row r="1878" spans="7:12">
      <c r="G1878" t="s">
        <v>2462</v>
      </c>
      <c r="H1878" t="s">
        <v>118</v>
      </c>
      <c r="I1878" t="s">
        <v>422</v>
      </c>
      <c r="J1878" s="4">
        <v>9298</v>
      </c>
      <c r="K1878" s="5">
        <v>0.2090772209077221</v>
      </c>
      <c r="L1878" s="5">
        <v>1.1400301140030114E-2</v>
      </c>
    </row>
    <row r="1879" spans="7:12">
      <c r="G1879" t="s">
        <v>2463</v>
      </c>
      <c r="H1879" t="s">
        <v>252</v>
      </c>
      <c r="I1879" t="s">
        <v>189</v>
      </c>
      <c r="J1879" s="4">
        <v>3702</v>
      </c>
      <c r="K1879" s="5">
        <v>0.20907617504051865</v>
      </c>
      <c r="L1879" s="5">
        <v>4.8622366288492711E-3</v>
      </c>
    </row>
    <row r="1880" spans="7:12">
      <c r="G1880" t="s">
        <v>2464</v>
      </c>
      <c r="H1880" t="s">
        <v>342</v>
      </c>
      <c r="I1880" t="s">
        <v>137</v>
      </c>
      <c r="J1880" s="4">
        <v>4081</v>
      </c>
      <c r="K1880" s="5">
        <v>0.20901739769664299</v>
      </c>
      <c r="L1880" s="5">
        <v>1.8377848566527813E-2</v>
      </c>
    </row>
    <row r="1881" spans="7:12">
      <c r="G1881" t="s">
        <v>2465</v>
      </c>
      <c r="H1881" t="s">
        <v>254</v>
      </c>
      <c r="I1881" t="s">
        <v>136</v>
      </c>
      <c r="J1881" s="4">
        <v>3507</v>
      </c>
      <c r="K1881" s="5">
        <v>0.2090105503279156</v>
      </c>
      <c r="L1881" s="5">
        <v>1.5968063872255488E-2</v>
      </c>
    </row>
    <row r="1882" spans="7:12">
      <c r="G1882" t="s">
        <v>2466</v>
      </c>
      <c r="H1882" t="s">
        <v>140</v>
      </c>
      <c r="I1882" t="s">
        <v>326</v>
      </c>
      <c r="J1882" s="4">
        <v>7853</v>
      </c>
      <c r="K1882" s="5">
        <v>0.20896472685597861</v>
      </c>
      <c r="L1882" s="5">
        <v>1.2224627530879918E-2</v>
      </c>
    </row>
    <row r="1883" spans="7:12">
      <c r="G1883" t="s">
        <v>2467</v>
      </c>
      <c r="H1883" t="s">
        <v>103</v>
      </c>
      <c r="I1883" t="s">
        <v>390</v>
      </c>
      <c r="J1883" s="4">
        <v>11098</v>
      </c>
      <c r="K1883" s="5">
        <v>0.20895656875112634</v>
      </c>
      <c r="L1883" s="5">
        <v>7.8392503153721389E-3</v>
      </c>
    </row>
    <row r="1884" spans="7:12">
      <c r="G1884" t="s">
        <v>2468</v>
      </c>
      <c r="H1884" t="s">
        <v>218</v>
      </c>
      <c r="I1884" t="s">
        <v>416</v>
      </c>
      <c r="J1884" s="4">
        <v>9232</v>
      </c>
      <c r="K1884" s="5">
        <v>0.20894714038128251</v>
      </c>
      <c r="L1884" s="5">
        <v>8.4488734835355284E-3</v>
      </c>
    </row>
    <row r="1885" spans="7:12">
      <c r="G1885" t="s">
        <v>2469</v>
      </c>
      <c r="H1885" t="s">
        <v>137</v>
      </c>
      <c r="I1885" t="s">
        <v>317</v>
      </c>
      <c r="J1885" s="4">
        <v>1613</v>
      </c>
      <c r="K1885" s="5">
        <v>0.20892746435213888</v>
      </c>
      <c r="L1885" s="5">
        <v>3.0378177309361439E-2</v>
      </c>
    </row>
    <row r="1886" spans="7:12">
      <c r="G1886" t="s">
        <v>2470</v>
      </c>
      <c r="H1886" t="s">
        <v>89</v>
      </c>
      <c r="I1886" t="s">
        <v>305</v>
      </c>
      <c r="J1886" s="4">
        <v>9574</v>
      </c>
      <c r="K1886" s="5">
        <v>0.20889910173386256</v>
      </c>
      <c r="L1886" s="5">
        <v>1.8383120952579903E-2</v>
      </c>
    </row>
    <row r="1887" spans="7:12">
      <c r="G1887" t="s">
        <v>2471</v>
      </c>
      <c r="H1887" t="s">
        <v>202</v>
      </c>
      <c r="I1887" t="s">
        <v>131</v>
      </c>
      <c r="J1887" s="4">
        <v>3088</v>
      </c>
      <c r="K1887" s="5">
        <v>0.20887305699481865</v>
      </c>
      <c r="L1887" s="5">
        <v>1.133419689119171E-2</v>
      </c>
    </row>
    <row r="1888" spans="7:12">
      <c r="G1888" t="s">
        <v>2472</v>
      </c>
      <c r="H1888" t="s">
        <v>422</v>
      </c>
      <c r="I1888" t="s">
        <v>202</v>
      </c>
      <c r="J1888" s="4">
        <v>2998</v>
      </c>
      <c r="K1888" s="5">
        <v>0.20880587058038694</v>
      </c>
      <c r="L1888" s="5">
        <v>1.0006671114076051E-2</v>
      </c>
    </row>
    <row r="1889" spans="7:12">
      <c r="G1889" t="s">
        <v>2473</v>
      </c>
      <c r="H1889" t="s">
        <v>368</v>
      </c>
      <c r="I1889" t="s">
        <v>140</v>
      </c>
      <c r="J1889" s="4">
        <v>3295</v>
      </c>
      <c r="K1889" s="5">
        <v>0.20880121396054629</v>
      </c>
      <c r="L1889" s="5">
        <v>5.1593323216995446E-2</v>
      </c>
    </row>
    <row r="1890" spans="7:12">
      <c r="G1890" t="s">
        <v>2474</v>
      </c>
      <c r="H1890" t="s">
        <v>309</v>
      </c>
      <c r="I1890" t="s">
        <v>89</v>
      </c>
      <c r="J1890" s="4">
        <v>1887</v>
      </c>
      <c r="K1890" s="5">
        <v>0.20879703232644409</v>
      </c>
      <c r="L1890" s="5">
        <v>5.8293587705352413E-3</v>
      </c>
    </row>
    <row r="1891" spans="7:12">
      <c r="G1891" t="s">
        <v>2475</v>
      </c>
      <c r="H1891" t="s">
        <v>256</v>
      </c>
      <c r="I1891" t="s">
        <v>140</v>
      </c>
      <c r="J1891" s="4">
        <v>1806</v>
      </c>
      <c r="K1891" s="5">
        <v>0.20874861572535991</v>
      </c>
      <c r="L1891" s="5">
        <v>5.537098560354374E-2</v>
      </c>
    </row>
    <row r="1892" spans="7:12">
      <c r="G1892" t="s">
        <v>2476</v>
      </c>
      <c r="H1892" t="s">
        <v>324</v>
      </c>
      <c r="I1892" t="s">
        <v>131</v>
      </c>
      <c r="J1892" s="4">
        <v>1581</v>
      </c>
      <c r="K1892" s="5">
        <v>0.20872865275142316</v>
      </c>
      <c r="L1892" s="5">
        <v>6.957621758380772E-3</v>
      </c>
    </row>
    <row r="1893" spans="7:12">
      <c r="G1893" t="s">
        <v>2477</v>
      </c>
      <c r="H1893" t="s">
        <v>331</v>
      </c>
      <c r="I1893" t="s">
        <v>137</v>
      </c>
      <c r="J1893" s="4">
        <v>3330</v>
      </c>
      <c r="K1893" s="5">
        <v>0.2087087087087087</v>
      </c>
      <c r="L1893" s="5">
        <v>1.5915915915915915E-2</v>
      </c>
    </row>
    <row r="1894" spans="7:12">
      <c r="G1894" t="s">
        <v>2478</v>
      </c>
      <c r="H1894" t="s">
        <v>236</v>
      </c>
      <c r="I1894" t="s">
        <v>358</v>
      </c>
      <c r="J1894" s="4">
        <v>2113</v>
      </c>
      <c r="K1894" s="5">
        <v>0.20870799810695692</v>
      </c>
      <c r="L1894" s="5">
        <v>4.2593469001419781E-3</v>
      </c>
    </row>
    <row r="1895" spans="7:12">
      <c r="G1895" t="s">
        <v>2479</v>
      </c>
      <c r="H1895" t="s">
        <v>416</v>
      </c>
      <c r="I1895" t="s">
        <v>95</v>
      </c>
      <c r="J1895" s="4">
        <v>3552</v>
      </c>
      <c r="K1895" s="5">
        <v>0.20861486486486486</v>
      </c>
      <c r="L1895" s="5">
        <v>1.1261261261261261E-2</v>
      </c>
    </row>
    <row r="1896" spans="7:12">
      <c r="G1896" t="s">
        <v>2480</v>
      </c>
      <c r="H1896" t="s">
        <v>204</v>
      </c>
      <c r="I1896" t="s">
        <v>236</v>
      </c>
      <c r="J1896" s="4">
        <v>7009</v>
      </c>
      <c r="K1896" s="5">
        <v>0.20858895705521471</v>
      </c>
      <c r="L1896" s="5">
        <v>1.8690255385932372E-2</v>
      </c>
    </row>
    <row r="1897" spans="7:12">
      <c r="G1897" t="s">
        <v>2481</v>
      </c>
      <c r="H1897" t="s">
        <v>189</v>
      </c>
      <c r="I1897" t="s">
        <v>100</v>
      </c>
      <c r="J1897" s="4">
        <v>5542</v>
      </c>
      <c r="K1897" s="5">
        <v>0.20858895705521471</v>
      </c>
      <c r="L1897" s="5">
        <v>1.1909058101768314E-2</v>
      </c>
    </row>
    <row r="1898" spans="7:12">
      <c r="G1898" t="s">
        <v>2482</v>
      </c>
      <c r="H1898" t="s">
        <v>226</v>
      </c>
      <c r="I1898" t="s">
        <v>167</v>
      </c>
      <c r="J1898" s="4">
        <v>3308</v>
      </c>
      <c r="K1898" s="5">
        <v>0.20858524788391777</v>
      </c>
      <c r="L1898" s="5">
        <v>2.2067714631197097E-2</v>
      </c>
    </row>
    <row r="1899" spans="7:12">
      <c r="G1899" t="s">
        <v>2483</v>
      </c>
      <c r="H1899" t="s">
        <v>301</v>
      </c>
      <c r="I1899" t="s">
        <v>118</v>
      </c>
      <c r="J1899" s="4">
        <v>5323</v>
      </c>
      <c r="K1899" s="5">
        <v>0.20852902498591019</v>
      </c>
      <c r="L1899" s="5">
        <v>1.5968438850272403E-2</v>
      </c>
    </row>
    <row r="1900" spans="7:12">
      <c r="G1900" t="s">
        <v>2484</v>
      </c>
      <c r="H1900" t="s">
        <v>134</v>
      </c>
      <c r="I1900" t="s">
        <v>2485</v>
      </c>
      <c r="J1900" s="4">
        <v>1554</v>
      </c>
      <c r="K1900" s="5">
        <v>0.20849420849420849</v>
      </c>
      <c r="L1900" s="5">
        <v>1.9305019305019305E-2</v>
      </c>
    </row>
    <row r="1901" spans="7:12">
      <c r="G1901" t="s">
        <v>2486</v>
      </c>
      <c r="H1901" t="s">
        <v>202</v>
      </c>
      <c r="I1901" t="s">
        <v>218</v>
      </c>
      <c r="J1901" s="4">
        <v>19547</v>
      </c>
      <c r="K1901" s="5">
        <v>0.20842072952371207</v>
      </c>
      <c r="L1901" s="5">
        <v>1.5194147439504783E-2</v>
      </c>
    </row>
    <row r="1902" spans="7:12">
      <c r="G1902" t="s">
        <v>2487</v>
      </c>
      <c r="H1902" t="s">
        <v>336</v>
      </c>
      <c r="I1902" t="s">
        <v>149</v>
      </c>
      <c r="J1902" s="4">
        <v>3968</v>
      </c>
      <c r="K1902" s="5">
        <v>0.20841733870967741</v>
      </c>
      <c r="L1902" s="5">
        <v>3.0997983870967742E-2</v>
      </c>
    </row>
    <row r="1903" spans="7:12">
      <c r="G1903" t="s">
        <v>2488</v>
      </c>
      <c r="H1903" t="s">
        <v>252</v>
      </c>
      <c r="I1903" t="s">
        <v>162</v>
      </c>
      <c r="J1903" s="4">
        <v>8964</v>
      </c>
      <c r="K1903" s="5">
        <v>0.20838911200356983</v>
      </c>
      <c r="L1903" s="5">
        <v>1.5952699687639446E-2</v>
      </c>
    </row>
    <row r="1904" spans="7:12">
      <c r="G1904" t="s">
        <v>2489</v>
      </c>
      <c r="H1904" t="s">
        <v>263</v>
      </c>
      <c r="I1904" t="s">
        <v>100</v>
      </c>
      <c r="J1904" s="4">
        <v>3494</v>
      </c>
      <c r="K1904" s="5">
        <v>0.20835718374356038</v>
      </c>
      <c r="L1904" s="5">
        <v>1.6886090440755581E-2</v>
      </c>
    </row>
    <row r="1905" spans="7:12">
      <c r="G1905" t="s">
        <v>2490</v>
      </c>
      <c r="H1905" t="s">
        <v>103</v>
      </c>
      <c r="I1905" t="s">
        <v>531</v>
      </c>
      <c r="J1905" s="4">
        <v>2189</v>
      </c>
      <c r="K1905" s="5">
        <v>0.20831429876656007</v>
      </c>
      <c r="L1905" s="5">
        <v>1.0507080858839652E-2</v>
      </c>
    </row>
    <row r="1906" spans="7:12">
      <c r="G1906" t="s">
        <v>2491</v>
      </c>
      <c r="H1906" t="s">
        <v>322</v>
      </c>
      <c r="I1906" t="s">
        <v>299</v>
      </c>
      <c r="J1906" s="4">
        <v>4388</v>
      </c>
      <c r="K1906" s="5">
        <v>0.20829535095715587</v>
      </c>
      <c r="L1906" s="5">
        <v>8.4320875113947126E-3</v>
      </c>
    </row>
    <row r="1907" spans="7:12">
      <c r="G1907" t="s">
        <v>2492</v>
      </c>
      <c r="H1907" t="s">
        <v>326</v>
      </c>
      <c r="I1907" t="s">
        <v>103</v>
      </c>
      <c r="J1907" s="4">
        <v>27736</v>
      </c>
      <c r="K1907" s="5">
        <v>0.20824920680703779</v>
      </c>
      <c r="L1907" s="5">
        <v>1.1104701471012402E-2</v>
      </c>
    </row>
    <row r="1908" spans="7:12">
      <c r="G1908" t="s">
        <v>2493</v>
      </c>
      <c r="H1908" t="s">
        <v>422</v>
      </c>
      <c r="I1908" t="s">
        <v>85</v>
      </c>
      <c r="J1908" s="4">
        <v>1897</v>
      </c>
      <c r="K1908" s="5">
        <v>0.20822351080653664</v>
      </c>
      <c r="L1908" s="5">
        <v>6.8529256721138639E-3</v>
      </c>
    </row>
    <row r="1909" spans="7:12">
      <c r="G1909" t="s">
        <v>2494</v>
      </c>
      <c r="H1909" t="s">
        <v>326</v>
      </c>
      <c r="I1909" t="s">
        <v>443</v>
      </c>
      <c r="J1909" s="4">
        <v>1657</v>
      </c>
      <c r="K1909" s="5">
        <v>0.20820760410380204</v>
      </c>
      <c r="L1909" s="5">
        <v>4.8280024140012071E-3</v>
      </c>
    </row>
    <row r="1910" spans="7:12">
      <c r="G1910" t="s">
        <v>2495</v>
      </c>
      <c r="H1910" t="s">
        <v>377</v>
      </c>
      <c r="I1910" t="s">
        <v>95</v>
      </c>
      <c r="J1910" s="4">
        <v>6087</v>
      </c>
      <c r="K1910" s="5">
        <v>0.20814851322490555</v>
      </c>
      <c r="L1910" s="5">
        <v>1.1828486939379004E-2</v>
      </c>
    </row>
    <row r="1911" spans="7:12">
      <c r="G1911" t="s">
        <v>2496</v>
      </c>
      <c r="H1911" t="s">
        <v>105</v>
      </c>
      <c r="I1911" t="s">
        <v>115</v>
      </c>
      <c r="J1911" s="4">
        <v>4055</v>
      </c>
      <c r="K1911" s="5">
        <v>0.20813810110974107</v>
      </c>
      <c r="L1911" s="5">
        <v>1.0850801479654747E-2</v>
      </c>
    </row>
    <row r="1912" spans="7:12">
      <c r="G1912" t="s">
        <v>2497</v>
      </c>
      <c r="H1912" t="s">
        <v>352</v>
      </c>
      <c r="I1912" t="s">
        <v>370</v>
      </c>
      <c r="J1912" s="4">
        <v>3916</v>
      </c>
      <c r="K1912" s="5">
        <v>0.20812053115423901</v>
      </c>
      <c r="L1912" s="5">
        <v>8.171603677221655E-3</v>
      </c>
    </row>
    <row r="1913" spans="7:12">
      <c r="G1913" t="s">
        <v>2498</v>
      </c>
      <c r="H1913" t="s">
        <v>390</v>
      </c>
      <c r="I1913" t="s">
        <v>189</v>
      </c>
      <c r="J1913" s="4">
        <v>1903</v>
      </c>
      <c r="K1913" s="5">
        <v>0.20809248554913296</v>
      </c>
      <c r="L1913" s="5">
        <v>7.8822911192853382E-3</v>
      </c>
    </row>
    <row r="1914" spans="7:12">
      <c r="G1914" t="s">
        <v>2499</v>
      </c>
      <c r="H1914" t="s">
        <v>326</v>
      </c>
      <c r="I1914" t="s">
        <v>416</v>
      </c>
      <c r="J1914" s="4">
        <v>7690</v>
      </c>
      <c r="K1914" s="5">
        <v>0.20806241872561768</v>
      </c>
      <c r="L1914" s="5">
        <v>3.7711313394018205E-3</v>
      </c>
    </row>
    <row r="1915" spans="7:12">
      <c r="G1915" t="s">
        <v>2500</v>
      </c>
      <c r="H1915" t="s">
        <v>268</v>
      </c>
      <c r="I1915" t="s">
        <v>182</v>
      </c>
      <c r="J1915" s="4">
        <v>2437</v>
      </c>
      <c r="K1915" s="5">
        <v>0.20804267542059909</v>
      </c>
      <c r="L1915" s="5">
        <v>6.9757899056216658E-3</v>
      </c>
    </row>
    <row r="1916" spans="7:12">
      <c r="G1916" t="s">
        <v>2501</v>
      </c>
      <c r="H1916" t="s">
        <v>346</v>
      </c>
      <c r="I1916" t="s">
        <v>118</v>
      </c>
      <c r="J1916" s="4">
        <v>5341</v>
      </c>
      <c r="K1916" s="5">
        <v>0.20801348062160643</v>
      </c>
      <c r="L1916" s="5">
        <v>7.8636959370904317E-3</v>
      </c>
    </row>
    <row r="1917" spans="7:12">
      <c r="G1917" t="s">
        <v>2502</v>
      </c>
      <c r="H1917" t="s">
        <v>134</v>
      </c>
      <c r="I1917" t="s">
        <v>136</v>
      </c>
      <c r="J1917" s="4">
        <v>1505</v>
      </c>
      <c r="K1917" s="5">
        <v>0.20797342192691029</v>
      </c>
      <c r="L1917" s="5">
        <v>1.1960132890365448E-2</v>
      </c>
    </row>
    <row r="1918" spans="7:12">
      <c r="G1918" t="s">
        <v>2503</v>
      </c>
      <c r="H1918" t="s">
        <v>204</v>
      </c>
      <c r="I1918" t="s">
        <v>103</v>
      </c>
      <c r="J1918" s="4">
        <v>4309</v>
      </c>
      <c r="K1918" s="5">
        <v>0.20793687630540728</v>
      </c>
      <c r="L1918" s="5">
        <v>1.206776514272453E-2</v>
      </c>
    </row>
    <row r="1919" spans="7:12">
      <c r="G1919" t="s">
        <v>2504</v>
      </c>
      <c r="H1919" t="s">
        <v>461</v>
      </c>
      <c r="I1919" t="s">
        <v>85</v>
      </c>
      <c r="J1919" s="4">
        <v>1751</v>
      </c>
      <c r="K1919" s="5">
        <v>0.20788121073672186</v>
      </c>
      <c r="L1919" s="5">
        <v>5.7110222729868645E-3</v>
      </c>
    </row>
    <row r="1920" spans="7:12">
      <c r="G1920" t="s">
        <v>2505</v>
      </c>
      <c r="H1920" t="s">
        <v>398</v>
      </c>
      <c r="I1920" t="s">
        <v>160</v>
      </c>
      <c r="J1920" s="4">
        <v>1891</v>
      </c>
      <c r="K1920" s="5">
        <v>0.20782654680063459</v>
      </c>
      <c r="L1920" s="5">
        <v>4.2305658381808567E-3</v>
      </c>
    </row>
    <row r="1921" spans="7:12">
      <c r="G1921" t="s">
        <v>2506</v>
      </c>
      <c r="H1921" t="s">
        <v>282</v>
      </c>
      <c r="I1921" t="s">
        <v>137</v>
      </c>
      <c r="J1921" s="4">
        <v>4629</v>
      </c>
      <c r="K1921" s="5">
        <v>0.2078202635558436</v>
      </c>
      <c r="L1921" s="5">
        <v>1.7930438539641391E-2</v>
      </c>
    </row>
    <row r="1922" spans="7:12">
      <c r="G1922" t="s">
        <v>2507</v>
      </c>
      <c r="H1922" t="s">
        <v>259</v>
      </c>
      <c r="I1922" t="s">
        <v>317</v>
      </c>
      <c r="J1922" s="4">
        <v>1954</v>
      </c>
      <c r="K1922" s="5">
        <v>0.20777891504605936</v>
      </c>
      <c r="L1922" s="5">
        <v>2.0982599795291709E-2</v>
      </c>
    </row>
    <row r="1923" spans="7:12">
      <c r="G1923" t="s">
        <v>2508</v>
      </c>
      <c r="H1923" t="s">
        <v>136</v>
      </c>
      <c r="I1923" t="s">
        <v>358</v>
      </c>
      <c r="J1923" s="4">
        <v>3783</v>
      </c>
      <c r="K1923" s="5">
        <v>0.20777160983346551</v>
      </c>
      <c r="L1923" s="5">
        <v>1.0573618821041502E-2</v>
      </c>
    </row>
    <row r="1924" spans="7:12">
      <c r="G1924" t="s">
        <v>2509</v>
      </c>
      <c r="H1924" t="s">
        <v>334</v>
      </c>
      <c r="I1924" t="s">
        <v>89</v>
      </c>
      <c r="J1924" s="4">
        <v>3302</v>
      </c>
      <c r="K1924" s="5">
        <v>0.20775287704421563</v>
      </c>
      <c r="L1924" s="5">
        <v>1.9987886129618413E-2</v>
      </c>
    </row>
    <row r="1925" spans="7:12">
      <c r="G1925" t="s">
        <v>2510</v>
      </c>
      <c r="H1925" t="s">
        <v>162</v>
      </c>
      <c r="I1925" t="s">
        <v>336</v>
      </c>
      <c r="J1925" s="4">
        <v>2296</v>
      </c>
      <c r="K1925" s="5">
        <v>0.2077526132404181</v>
      </c>
      <c r="L1925" s="5">
        <v>9.1463414634146336E-3</v>
      </c>
    </row>
    <row r="1926" spans="7:12">
      <c r="G1926" t="s">
        <v>2511</v>
      </c>
      <c r="H1926" t="s">
        <v>137</v>
      </c>
      <c r="I1926" t="s">
        <v>218</v>
      </c>
      <c r="J1926" s="4">
        <v>17272</v>
      </c>
      <c r="K1926" s="5">
        <v>0.20773506252894858</v>
      </c>
      <c r="L1926" s="5">
        <v>1.2911069939786938E-2</v>
      </c>
    </row>
    <row r="1927" spans="7:12">
      <c r="G1927" t="s">
        <v>2512</v>
      </c>
      <c r="H1927" t="s">
        <v>204</v>
      </c>
      <c r="I1927" t="s">
        <v>428</v>
      </c>
      <c r="J1927" s="4">
        <v>2417</v>
      </c>
      <c r="K1927" s="5">
        <v>0.20769549027720313</v>
      </c>
      <c r="L1927" s="5">
        <v>3.4753827058336781E-2</v>
      </c>
    </row>
    <row r="1928" spans="7:12">
      <c r="G1928" t="s">
        <v>2513</v>
      </c>
      <c r="H1928" t="s">
        <v>329</v>
      </c>
      <c r="I1928" t="s">
        <v>137</v>
      </c>
      <c r="J1928" s="4">
        <v>2475</v>
      </c>
      <c r="K1928" s="5">
        <v>0.20767676767676768</v>
      </c>
      <c r="L1928" s="5">
        <v>2.1414141414141413E-2</v>
      </c>
    </row>
    <row r="1929" spans="7:12">
      <c r="G1929" t="s">
        <v>2514</v>
      </c>
      <c r="H1929" t="s">
        <v>218</v>
      </c>
      <c r="I1929" t="s">
        <v>322</v>
      </c>
      <c r="J1929" s="4">
        <v>15251</v>
      </c>
      <c r="K1929" s="5">
        <v>0.20759294472493606</v>
      </c>
      <c r="L1929" s="5">
        <v>7.0159333814176121E-3</v>
      </c>
    </row>
    <row r="1930" spans="7:12">
      <c r="G1930" t="s">
        <v>2515</v>
      </c>
      <c r="H1930" t="s">
        <v>352</v>
      </c>
      <c r="I1930" t="s">
        <v>204</v>
      </c>
      <c r="J1930" s="4">
        <v>5641</v>
      </c>
      <c r="K1930" s="5">
        <v>0.2075873072150328</v>
      </c>
      <c r="L1930" s="5">
        <v>2.0386456302074099E-2</v>
      </c>
    </row>
    <row r="1931" spans="7:12">
      <c r="G1931" t="s">
        <v>2516</v>
      </c>
      <c r="H1931" t="s">
        <v>338</v>
      </c>
      <c r="I1931" t="s">
        <v>259</v>
      </c>
      <c r="J1931" s="4">
        <v>3223</v>
      </c>
      <c r="K1931" s="5">
        <v>0.20757058641017687</v>
      </c>
      <c r="L1931" s="5">
        <v>4.2196711138690661E-2</v>
      </c>
    </row>
    <row r="1932" spans="7:12">
      <c r="G1932" t="s">
        <v>2517</v>
      </c>
      <c r="H1932" t="s">
        <v>115</v>
      </c>
      <c r="I1932" t="s">
        <v>233</v>
      </c>
      <c r="J1932" s="4">
        <v>5811</v>
      </c>
      <c r="K1932" s="5">
        <v>0.20753742901393907</v>
      </c>
      <c r="L1932" s="5">
        <v>9.4648081225262425E-3</v>
      </c>
    </row>
    <row r="1933" spans="7:12">
      <c r="G1933" t="s">
        <v>2518</v>
      </c>
      <c r="H1933" t="s">
        <v>202</v>
      </c>
      <c r="I1933" t="s">
        <v>100</v>
      </c>
      <c r="J1933" s="4">
        <v>10707</v>
      </c>
      <c r="K1933" s="5">
        <v>0.20752778556084805</v>
      </c>
      <c r="L1933" s="5">
        <v>1.8866162323713458E-2</v>
      </c>
    </row>
    <row r="1934" spans="7:12">
      <c r="G1934" t="s">
        <v>2519</v>
      </c>
      <c r="H1934" t="s">
        <v>449</v>
      </c>
      <c r="I1934" t="s">
        <v>95</v>
      </c>
      <c r="J1934" s="4">
        <v>1412</v>
      </c>
      <c r="K1934" s="5">
        <v>0.2075070821529745</v>
      </c>
      <c r="L1934" s="5">
        <v>1.1331444759206799E-2</v>
      </c>
    </row>
    <row r="1935" spans="7:12">
      <c r="G1935" t="s">
        <v>2520</v>
      </c>
      <c r="H1935" t="s">
        <v>291</v>
      </c>
      <c r="I1935" t="s">
        <v>103</v>
      </c>
      <c r="J1935" s="4">
        <v>14555</v>
      </c>
      <c r="K1935" s="5">
        <v>0.2074888354517348</v>
      </c>
      <c r="L1935" s="5">
        <v>1.7176228100309172E-2</v>
      </c>
    </row>
    <row r="1936" spans="7:12">
      <c r="G1936" t="s">
        <v>2521</v>
      </c>
      <c r="H1936" t="s">
        <v>240</v>
      </c>
      <c r="I1936" t="s">
        <v>80</v>
      </c>
      <c r="J1936" s="4">
        <v>2193</v>
      </c>
      <c r="K1936" s="5">
        <v>0.20747834017327862</v>
      </c>
      <c r="L1936" s="5">
        <v>1.3223894208846329E-2</v>
      </c>
    </row>
    <row r="1937" spans="7:12">
      <c r="G1937" t="s">
        <v>2522</v>
      </c>
      <c r="H1937" t="s">
        <v>103</v>
      </c>
      <c r="I1937" t="s">
        <v>515</v>
      </c>
      <c r="J1937" s="4">
        <v>1128</v>
      </c>
      <c r="K1937" s="5">
        <v>0.20744680851063829</v>
      </c>
      <c r="L1937" s="5">
        <v>6.2056737588652485E-3</v>
      </c>
    </row>
    <row r="1938" spans="7:12">
      <c r="G1938" t="s">
        <v>2523</v>
      </c>
      <c r="H1938" t="s">
        <v>202</v>
      </c>
      <c r="I1938" t="s">
        <v>118</v>
      </c>
      <c r="J1938" s="4">
        <v>9388</v>
      </c>
      <c r="K1938" s="5">
        <v>0.2073924158500213</v>
      </c>
      <c r="L1938" s="5">
        <v>1.5445249254367277E-2</v>
      </c>
    </row>
    <row r="1939" spans="7:12">
      <c r="G1939" t="s">
        <v>2524</v>
      </c>
      <c r="H1939" t="s">
        <v>218</v>
      </c>
      <c r="I1939" t="s">
        <v>451</v>
      </c>
      <c r="J1939" s="4">
        <v>2113</v>
      </c>
      <c r="K1939" s="5">
        <v>0.20728821580690962</v>
      </c>
      <c r="L1939" s="5">
        <v>7.5721722669190722E-3</v>
      </c>
    </row>
    <row r="1940" spans="7:12">
      <c r="G1940" t="s">
        <v>2525</v>
      </c>
      <c r="H1940" t="s">
        <v>204</v>
      </c>
      <c r="I1940" t="s">
        <v>131</v>
      </c>
      <c r="J1940" s="4">
        <v>1409</v>
      </c>
      <c r="K1940" s="5">
        <v>0.20723917672107878</v>
      </c>
      <c r="L1940" s="5">
        <v>6.3875088715400997E-3</v>
      </c>
    </row>
    <row r="1941" spans="7:12">
      <c r="G1941" t="s">
        <v>2526</v>
      </c>
      <c r="H1941" t="s">
        <v>449</v>
      </c>
      <c r="I1941" t="s">
        <v>463</v>
      </c>
      <c r="J1941" s="4">
        <v>1742</v>
      </c>
      <c r="K1941" s="5">
        <v>0.20723306544202066</v>
      </c>
      <c r="L1941" s="5">
        <v>7.462686567164179E-3</v>
      </c>
    </row>
    <row r="1942" spans="7:12">
      <c r="G1942" t="s">
        <v>2527</v>
      </c>
      <c r="H1942" t="s">
        <v>103</v>
      </c>
      <c r="I1942" t="s">
        <v>110</v>
      </c>
      <c r="J1942" s="4">
        <v>4488</v>
      </c>
      <c r="K1942" s="5">
        <v>0.20721925133689839</v>
      </c>
      <c r="L1942" s="5">
        <v>9.3582887700534752E-3</v>
      </c>
    </row>
    <row r="1943" spans="7:12">
      <c r="G1943" t="s">
        <v>2528</v>
      </c>
      <c r="H1943" t="s">
        <v>336</v>
      </c>
      <c r="I1943" t="s">
        <v>233</v>
      </c>
      <c r="J1943" s="4">
        <v>1974</v>
      </c>
      <c r="K1943" s="5">
        <v>0.20719351570415401</v>
      </c>
      <c r="L1943" s="5">
        <v>7.0921985815602835E-3</v>
      </c>
    </row>
    <row r="1944" spans="7:12">
      <c r="G1944" t="s">
        <v>2529</v>
      </c>
      <c r="H1944" t="s">
        <v>226</v>
      </c>
      <c r="I1944" t="s">
        <v>418</v>
      </c>
      <c r="J1944" s="4">
        <v>9204</v>
      </c>
      <c r="K1944" s="5">
        <v>0.20719252498913515</v>
      </c>
      <c r="L1944" s="5">
        <v>1.3689700130378096E-2</v>
      </c>
    </row>
    <row r="1945" spans="7:12">
      <c r="G1945" t="s">
        <v>2530</v>
      </c>
      <c r="H1945" t="s">
        <v>89</v>
      </c>
      <c r="I1945" t="s">
        <v>2531</v>
      </c>
      <c r="J1945" s="4">
        <v>4880</v>
      </c>
      <c r="K1945" s="5">
        <v>0.20717213114754099</v>
      </c>
      <c r="L1945" s="5">
        <v>1.5778688524590165E-2</v>
      </c>
    </row>
    <row r="1946" spans="7:12">
      <c r="G1946" t="s">
        <v>2532</v>
      </c>
      <c r="H1946" t="s">
        <v>149</v>
      </c>
      <c r="I1946" t="s">
        <v>329</v>
      </c>
      <c r="J1946" s="4">
        <v>2650</v>
      </c>
      <c r="K1946" s="5">
        <v>0.20716981132075471</v>
      </c>
      <c r="L1946" s="5">
        <v>4.4528301886792451E-2</v>
      </c>
    </row>
    <row r="1947" spans="7:12">
      <c r="G1947" t="s">
        <v>2533</v>
      </c>
      <c r="H1947" t="s">
        <v>95</v>
      </c>
      <c r="I1947" t="s">
        <v>377</v>
      </c>
      <c r="J1947" s="4">
        <v>6088</v>
      </c>
      <c r="K1947" s="5">
        <v>0.20712877792378451</v>
      </c>
      <c r="L1947" s="5">
        <v>1.1005256241787123E-2</v>
      </c>
    </row>
    <row r="1948" spans="7:12">
      <c r="G1948" t="s">
        <v>2534</v>
      </c>
      <c r="H1948" t="s">
        <v>288</v>
      </c>
      <c r="I1948" t="s">
        <v>103</v>
      </c>
      <c r="J1948" s="4">
        <v>1347</v>
      </c>
      <c r="K1948" s="5">
        <v>0.20712694877505569</v>
      </c>
      <c r="L1948" s="5">
        <v>8.9086859688195987E-3</v>
      </c>
    </row>
    <row r="1949" spans="7:12">
      <c r="G1949" t="s">
        <v>2535</v>
      </c>
      <c r="H1949" t="s">
        <v>377</v>
      </c>
      <c r="I1949" t="s">
        <v>527</v>
      </c>
      <c r="J1949" s="4">
        <v>1096</v>
      </c>
      <c r="K1949" s="5">
        <v>0.20711678832116789</v>
      </c>
      <c r="L1949" s="5">
        <v>3.6496350364963502E-3</v>
      </c>
    </row>
    <row r="1950" spans="7:12">
      <c r="G1950" t="s">
        <v>2536</v>
      </c>
      <c r="H1950" t="s">
        <v>432</v>
      </c>
      <c r="I1950" t="s">
        <v>131</v>
      </c>
      <c r="J1950" s="4">
        <v>1096</v>
      </c>
      <c r="K1950" s="5">
        <v>0.20711678832116789</v>
      </c>
      <c r="L1950" s="5">
        <v>2.7372262773722629E-3</v>
      </c>
    </row>
    <row r="1951" spans="7:12">
      <c r="G1951" t="s">
        <v>2537</v>
      </c>
      <c r="H1951" t="s">
        <v>259</v>
      </c>
      <c r="I1951" t="s">
        <v>218</v>
      </c>
      <c r="J1951" s="4">
        <v>23734</v>
      </c>
      <c r="K1951" s="5">
        <v>0.20700261228617173</v>
      </c>
      <c r="L1951" s="5">
        <v>1.8623072385607144E-2</v>
      </c>
    </row>
    <row r="1952" spans="7:12">
      <c r="G1952" t="s">
        <v>2538</v>
      </c>
      <c r="H1952" t="s">
        <v>89</v>
      </c>
      <c r="I1952" t="s">
        <v>250</v>
      </c>
      <c r="J1952" s="4">
        <v>5989</v>
      </c>
      <c r="K1952" s="5">
        <v>0.20687927867757555</v>
      </c>
      <c r="L1952" s="5">
        <v>2.4878944732008683E-2</v>
      </c>
    </row>
    <row r="1953" spans="7:12">
      <c r="G1953" t="s">
        <v>2539</v>
      </c>
      <c r="H1953" t="s">
        <v>388</v>
      </c>
      <c r="I1953" t="s">
        <v>118</v>
      </c>
      <c r="J1953" s="4">
        <v>2098</v>
      </c>
      <c r="K1953" s="5">
        <v>0.20686367969494757</v>
      </c>
      <c r="L1953" s="5">
        <v>9.0562440419447096E-3</v>
      </c>
    </row>
    <row r="1954" spans="7:12">
      <c r="G1954" t="s">
        <v>2540</v>
      </c>
      <c r="H1954" t="s">
        <v>100</v>
      </c>
      <c r="I1954" t="s">
        <v>250</v>
      </c>
      <c r="J1954" s="4">
        <v>2983</v>
      </c>
      <c r="K1954" s="5">
        <v>0.20683875293328863</v>
      </c>
      <c r="L1954" s="5">
        <v>1.7767348307073418E-2</v>
      </c>
    </row>
    <row r="1955" spans="7:12">
      <c r="G1955" t="s">
        <v>2541</v>
      </c>
      <c r="H1955" t="s">
        <v>204</v>
      </c>
      <c r="I1955" t="s">
        <v>368</v>
      </c>
      <c r="J1955" s="4">
        <v>1688</v>
      </c>
      <c r="K1955" s="5">
        <v>0.20675355450236968</v>
      </c>
      <c r="L1955" s="5">
        <v>2.7843601895734597E-2</v>
      </c>
    </row>
    <row r="1956" spans="7:12">
      <c r="G1956" t="s">
        <v>2542</v>
      </c>
      <c r="H1956" t="s">
        <v>322</v>
      </c>
      <c r="I1956" t="s">
        <v>326</v>
      </c>
      <c r="J1956" s="4">
        <v>7120</v>
      </c>
      <c r="K1956" s="5">
        <v>0.20674157303370785</v>
      </c>
      <c r="L1956" s="5">
        <v>7.5842696629213483E-3</v>
      </c>
    </row>
    <row r="1957" spans="7:12">
      <c r="G1957" t="s">
        <v>2543</v>
      </c>
      <c r="H1957" t="s">
        <v>204</v>
      </c>
      <c r="I1957" t="s">
        <v>89</v>
      </c>
      <c r="J1957" s="4">
        <v>9916</v>
      </c>
      <c r="K1957" s="5">
        <v>0.20673658733360226</v>
      </c>
      <c r="L1957" s="5">
        <v>2.3396530859217425E-2</v>
      </c>
    </row>
    <row r="1958" spans="7:12">
      <c r="G1958" t="s">
        <v>2544</v>
      </c>
      <c r="H1958" t="s">
        <v>370</v>
      </c>
      <c r="I1958" t="s">
        <v>495</v>
      </c>
      <c r="J1958" s="4">
        <v>16268</v>
      </c>
      <c r="K1958" s="5">
        <v>0.206663388246865</v>
      </c>
      <c r="L1958" s="5">
        <v>6.1470371281042539E-3</v>
      </c>
    </row>
    <row r="1959" spans="7:12">
      <c r="G1959" t="s">
        <v>2545</v>
      </c>
      <c r="H1959" t="s">
        <v>461</v>
      </c>
      <c r="I1959" t="s">
        <v>189</v>
      </c>
      <c r="J1959" s="4">
        <v>5048</v>
      </c>
      <c r="K1959" s="5">
        <v>0.20661648177496039</v>
      </c>
      <c r="L1959" s="5">
        <v>3.9619651347068147E-3</v>
      </c>
    </row>
    <row r="1960" spans="7:12">
      <c r="G1960" t="s">
        <v>2546</v>
      </c>
      <c r="H1960" t="s">
        <v>160</v>
      </c>
      <c r="I1960" t="s">
        <v>457</v>
      </c>
      <c r="J1960" s="4">
        <v>3451</v>
      </c>
      <c r="K1960" s="5">
        <v>0.2066067806432918</v>
      </c>
      <c r="L1960" s="5">
        <v>9.2726745870762104E-3</v>
      </c>
    </row>
    <row r="1961" spans="7:12">
      <c r="G1961" t="s">
        <v>2547</v>
      </c>
      <c r="H1961" t="s">
        <v>215</v>
      </c>
      <c r="I1961" t="s">
        <v>95</v>
      </c>
      <c r="J1961" s="4">
        <v>5524</v>
      </c>
      <c r="K1961" s="5">
        <v>0.20655322230267922</v>
      </c>
      <c r="L1961" s="5">
        <v>1.4844315713251267E-2</v>
      </c>
    </row>
    <row r="1962" spans="7:12">
      <c r="G1962" t="s">
        <v>2548</v>
      </c>
      <c r="H1962" t="s">
        <v>326</v>
      </c>
      <c r="I1962" t="s">
        <v>115</v>
      </c>
      <c r="J1962" s="4">
        <v>3733</v>
      </c>
      <c r="K1962" s="5">
        <v>0.20653629788373962</v>
      </c>
      <c r="L1962" s="5">
        <v>6.4291454594160189E-3</v>
      </c>
    </row>
    <row r="1963" spans="7:12">
      <c r="G1963" t="s">
        <v>2549</v>
      </c>
      <c r="H1963" t="s">
        <v>162</v>
      </c>
      <c r="I1963" t="s">
        <v>269</v>
      </c>
      <c r="J1963" s="4">
        <v>5297</v>
      </c>
      <c r="K1963" s="5">
        <v>0.20653199924485557</v>
      </c>
      <c r="L1963" s="5">
        <v>1.5669246743439683E-2</v>
      </c>
    </row>
    <row r="1964" spans="7:12">
      <c r="G1964" t="s">
        <v>2550</v>
      </c>
      <c r="H1964" t="s">
        <v>322</v>
      </c>
      <c r="I1964" t="s">
        <v>406</v>
      </c>
      <c r="J1964" s="4">
        <v>3186</v>
      </c>
      <c r="K1964" s="5">
        <v>0.20652856246076584</v>
      </c>
      <c r="L1964" s="5">
        <v>5.0219711236660393E-3</v>
      </c>
    </row>
    <row r="1965" spans="7:12">
      <c r="G1965" t="s">
        <v>2551</v>
      </c>
      <c r="H1965" t="s">
        <v>491</v>
      </c>
      <c r="I1965" t="s">
        <v>226</v>
      </c>
      <c r="J1965" s="4">
        <v>1753</v>
      </c>
      <c r="K1965" s="5">
        <v>0.2065031374786081</v>
      </c>
      <c r="L1965" s="5">
        <v>5.7045065601825443E-3</v>
      </c>
    </row>
    <row r="1966" spans="7:12">
      <c r="G1966" t="s">
        <v>2552</v>
      </c>
      <c r="H1966" t="s">
        <v>89</v>
      </c>
      <c r="I1966" t="s">
        <v>2553</v>
      </c>
      <c r="J1966" s="4">
        <v>2184</v>
      </c>
      <c r="K1966" s="5">
        <v>0.20650183150183149</v>
      </c>
      <c r="L1966" s="5">
        <v>2.6556776556776556E-2</v>
      </c>
    </row>
    <row r="1967" spans="7:12">
      <c r="G1967" t="s">
        <v>2554</v>
      </c>
      <c r="H1967" t="s">
        <v>215</v>
      </c>
      <c r="I1967" t="s">
        <v>326</v>
      </c>
      <c r="J1967" s="4">
        <v>21536</v>
      </c>
      <c r="K1967" s="5">
        <v>0.20649145616641901</v>
      </c>
      <c r="L1967" s="5">
        <v>5.7113670133729566E-3</v>
      </c>
    </row>
    <row r="1968" spans="7:12">
      <c r="G1968" t="s">
        <v>2555</v>
      </c>
      <c r="H1968" t="s">
        <v>89</v>
      </c>
      <c r="I1968" t="s">
        <v>238</v>
      </c>
      <c r="J1968" s="4">
        <v>5957</v>
      </c>
      <c r="K1968" s="5">
        <v>0.206479771697163</v>
      </c>
      <c r="L1968" s="5">
        <v>2.7530636226288402E-2</v>
      </c>
    </row>
    <row r="1969" spans="7:12">
      <c r="G1969" t="s">
        <v>2556</v>
      </c>
      <c r="H1969" t="s">
        <v>89</v>
      </c>
      <c r="I1969" t="s">
        <v>142</v>
      </c>
      <c r="J1969" s="4">
        <v>2349</v>
      </c>
      <c r="K1969" s="5">
        <v>0.20647083865474669</v>
      </c>
      <c r="L1969" s="5">
        <v>1.9157088122605363E-2</v>
      </c>
    </row>
    <row r="1970" spans="7:12">
      <c r="G1970" t="s">
        <v>2557</v>
      </c>
      <c r="H1970" t="s">
        <v>149</v>
      </c>
      <c r="I1970" t="s">
        <v>215</v>
      </c>
      <c r="J1970" s="4">
        <v>8954</v>
      </c>
      <c r="K1970" s="5">
        <v>0.20638820638820637</v>
      </c>
      <c r="L1970" s="5">
        <v>1.4183605092696002E-2</v>
      </c>
    </row>
    <row r="1971" spans="7:12">
      <c r="G1971" t="s">
        <v>2558</v>
      </c>
      <c r="H1971" t="s">
        <v>461</v>
      </c>
      <c r="I1971" t="s">
        <v>95</v>
      </c>
      <c r="J1971" s="4">
        <v>5524</v>
      </c>
      <c r="K1971" s="5">
        <v>0.20637219406227372</v>
      </c>
      <c r="L1971" s="5">
        <v>9.4134685010861703E-3</v>
      </c>
    </row>
    <row r="1972" spans="7:12">
      <c r="G1972" t="s">
        <v>2559</v>
      </c>
      <c r="H1972" t="s">
        <v>269</v>
      </c>
      <c r="I1972" t="s">
        <v>103</v>
      </c>
      <c r="J1972" s="4">
        <v>2142</v>
      </c>
      <c r="K1972" s="5">
        <v>0.20634920634920634</v>
      </c>
      <c r="L1972" s="5">
        <v>6.0690943043884222E-3</v>
      </c>
    </row>
    <row r="1973" spans="7:12">
      <c r="G1973" t="s">
        <v>2560</v>
      </c>
      <c r="H1973" t="s">
        <v>95</v>
      </c>
      <c r="I1973" t="s">
        <v>346</v>
      </c>
      <c r="J1973" s="4">
        <v>5363</v>
      </c>
      <c r="K1973" s="5">
        <v>0.20622785754242029</v>
      </c>
      <c r="L1973" s="5">
        <v>1.0814842438933433E-2</v>
      </c>
    </row>
    <row r="1974" spans="7:12">
      <c r="G1974" t="s">
        <v>2561</v>
      </c>
      <c r="H1974" t="s">
        <v>461</v>
      </c>
      <c r="I1974" t="s">
        <v>80</v>
      </c>
      <c r="J1974" s="4">
        <v>1639</v>
      </c>
      <c r="K1974" s="5">
        <v>0.20622330689444784</v>
      </c>
      <c r="L1974" s="5">
        <v>9.762050030506406E-3</v>
      </c>
    </row>
    <row r="1975" spans="7:12">
      <c r="G1975" t="s">
        <v>2562</v>
      </c>
      <c r="H1975" t="s">
        <v>215</v>
      </c>
      <c r="I1975" t="s">
        <v>182</v>
      </c>
      <c r="J1975" s="4">
        <v>13835</v>
      </c>
      <c r="K1975" s="5">
        <v>0.20614383809179618</v>
      </c>
      <c r="L1975" s="5">
        <v>9.6855800505963145E-3</v>
      </c>
    </row>
    <row r="1976" spans="7:12">
      <c r="G1976" t="s">
        <v>2563</v>
      </c>
      <c r="H1976" t="s">
        <v>160</v>
      </c>
      <c r="I1976" t="s">
        <v>344</v>
      </c>
      <c r="J1976" s="4">
        <v>1344</v>
      </c>
      <c r="K1976" s="5">
        <v>0.20610119047619047</v>
      </c>
      <c r="L1976" s="5">
        <v>4.464285714285714E-3</v>
      </c>
    </row>
    <row r="1977" spans="7:12">
      <c r="G1977" t="s">
        <v>2564</v>
      </c>
      <c r="H1977" t="s">
        <v>254</v>
      </c>
      <c r="I1977" t="s">
        <v>408</v>
      </c>
      <c r="J1977" s="4">
        <v>2664</v>
      </c>
      <c r="K1977" s="5">
        <v>0.20608108108108109</v>
      </c>
      <c r="L1977" s="5">
        <v>1.2387387387387387E-2</v>
      </c>
    </row>
    <row r="1978" spans="7:12">
      <c r="G1978" t="s">
        <v>2565</v>
      </c>
      <c r="H1978" t="s">
        <v>204</v>
      </c>
      <c r="I1978" t="s">
        <v>360</v>
      </c>
      <c r="J1978" s="4">
        <v>3528</v>
      </c>
      <c r="K1978" s="5">
        <v>0.20606575963718821</v>
      </c>
      <c r="L1978" s="5">
        <v>2.5793650793650792E-2</v>
      </c>
    </row>
    <row r="1979" spans="7:12">
      <c r="G1979" t="s">
        <v>2566</v>
      </c>
      <c r="H1979" t="s">
        <v>256</v>
      </c>
      <c r="I1979" t="s">
        <v>137</v>
      </c>
      <c r="J1979" s="4">
        <v>1519</v>
      </c>
      <c r="K1979" s="5">
        <v>0.20605661619486504</v>
      </c>
      <c r="L1979" s="5">
        <v>2.7649769585253458E-2</v>
      </c>
    </row>
    <row r="1980" spans="7:12">
      <c r="G1980" t="s">
        <v>2567</v>
      </c>
      <c r="H1980" t="s">
        <v>398</v>
      </c>
      <c r="I1980" t="s">
        <v>103</v>
      </c>
      <c r="J1980" s="4">
        <v>5596</v>
      </c>
      <c r="K1980" s="5">
        <v>0.20604002859185133</v>
      </c>
      <c r="L1980" s="5">
        <v>5.7183702644746249E-3</v>
      </c>
    </row>
    <row r="1981" spans="7:12">
      <c r="G1981" t="s">
        <v>2568</v>
      </c>
      <c r="H1981" t="s">
        <v>329</v>
      </c>
      <c r="I1981" t="s">
        <v>100</v>
      </c>
      <c r="J1981" s="4">
        <v>2034</v>
      </c>
      <c r="K1981" s="5">
        <v>0.20599803343166176</v>
      </c>
      <c r="L1981" s="5">
        <v>1.2782694198623401E-2</v>
      </c>
    </row>
    <row r="1982" spans="7:12">
      <c r="G1982" t="s">
        <v>2569</v>
      </c>
      <c r="H1982" t="s">
        <v>204</v>
      </c>
      <c r="I1982" t="s">
        <v>282</v>
      </c>
      <c r="J1982" s="4">
        <v>4483</v>
      </c>
      <c r="K1982" s="5">
        <v>0.2058889136738791</v>
      </c>
      <c r="L1982" s="5">
        <v>2.0298906981931743E-2</v>
      </c>
    </row>
    <row r="1983" spans="7:12">
      <c r="G1983" t="s">
        <v>2570</v>
      </c>
      <c r="H1983" t="s">
        <v>377</v>
      </c>
      <c r="I1983" t="s">
        <v>189</v>
      </c>
      <c r="J1983" s="4">
        <v>4513</v>
      </c>
      <c r="K1983" s="5">
        <v>0.20584976733879903</v>
      </c>
      <c r="L1983" s="5">
        <v>5.761134500332373E-3</v>
      </c>
    </row>
    <row r="1984" spans="7:12">
      <c r="G1984" t="s">
        <v>2571</v>
      </c>
      <c r="H1984" t="s">
        <v>140</v>
      </c>
      <c r="I1984" t="s">
        <v>358</v>
      </c>
      <c r="J1984" s="4">
        <v>6166</v>
      </c>
      <c r="K1984" s="5">
        <v>0.20580603308465781</v>
      </c>
      <c r="L1984" s="5">
        <v>2.4164774570223809E-2</v>
      </c>
    </row>
    <row r="1985" spans="7:12">
      <c r="G1985" t="s">
        <v>2572</v>
      </c>
      <c r="H1985" t="s">
        <v>459</v>
      </c>
      <c r="I1985" t="s">
        <v>100</v>
      </c>
      <c r="J1985" s="4">
        <v>6103</v>
      </c>
      <c r="K1985" s="5">
        <v>0.20580042601999016</v>
      </c>
      <c r="L1985" s="5">
        <v>1.3599868916926102E-2</v>
      </c>
    </row>
    <row r="1986" spans="7:12">
      <c r="G1986" t="s">
        <v>2573</v>
      </c>
      <c r="H1986" t="s">
        <v>414</v>
      </c>
      <c r="I1986" t="s">
        <v>103</v>
      </c>
      <c r="J1986" s="4">
        <v>5263</v>
      </c>
      <c r="K1986" s="5">
        <v>0.20577617328519857</v>
      </c>
      <c r="L1986" s="5">
        <v>6.0801824054721645E-3</v>
      </c>
    </row>
    <row r="1987" spans="7:12">
      <c r="G1987" t="s">
        <v>2574</v>
      </c>
      <c r="H1987" t="s">
        <v>149</v>
      </c>
      <c r="I1987" t="s">
        <v>346</v>
      </c>
      <c r="J1987" s="4">
        <v>1803</v>
      </c>
      <c r="K1987" s="5">
        <v>0.20576816417082641</v>
      </c>
      <c r="L1987" s="5">
        <v>1.6084303937881309E-2</v>
      </c>
    </row>
    <row r="1988" spans="7:12">
      <c r="G1988" t="s">
        <v>2575</v>
      </c>
      <c r="H1988" t="s">
        <v>324</v>
      </c>
      <c r="I1988" t="s">
        <v>118</v>
      </c>
      <c r="J1988" s="4">
        <v>6786</v>
      </c>
      <c r="K1988" s="5">
        <v>0.20571765399351608</v>
      </c>
      <c r="L1988" s="5">
        <v>2.0925434718538166E-2</v>
      </c>
    </row>
    <row r="1989" spans="7:12">
      <c r="G1989" t="s">
        <v>2576</v>
      </c>
      <c r="H1989" t="s">
        <v>162</v>
      </c>
      <c r="I1989" t="s">
        <v>461</v>
      </c>
      <c r="J1989" s="4">
        <v>3865</v>
      </c>
      <c r="K1989" s="5">
        <v>0.2056921086675291</v>
      </c>
      <c r="L1989" s="5">
        <v>4.3984476067270373E-3</v>
      </c>
    </row>
    <row r="1990" spans="7:12">
      <c r="G1990" t="s">
        <v>2577</v>
      </c>
      <c r="H1990" t="s">
        <v>398</v>
      </c>
      <c r="I1990" t="s">
        <v>484</v>
      </c>
      <c r="J1990" s="4">
        <v>2003</v>
      </c>
      <c r="K1990" s="5">
        <v>0.20569146280579131</v>
      </c>
      <c r="L1990" s="5">
        <v>1.99700449326011E-3</v>
      </c>
    </row>
    <row r="1991" spans="7:12">
      <c r="G1991" t="s">
        <v>2578</v>
      </c>
      <c r="H1991" t="s">
        <v>466</v>
      </c>
      <c r="I1991" t="s">
        <v>495</v>
      </c>
      <c r="J1991" s="4">
        <v>1099</v>
      </c>
      <c r="K1991" s="5">
        <v>0.20564149226569609</v>
      </c>
      <c r="L1991" s="5">
        <v>6.369426751592357E-3</v>
      </c>
    </row>
    <row r="1992" spans="7:12">
      <c r="G1992" t="s">
        <v>2579</v>
      </c>
      <c r="H1992" t="s">
        <v>398</v>
      </c>
      <c r="I1992" t="s">
        <v>495</v>
      </c>
      <c r="J1992" s="4">
        <v>3006</v>
      </c>
      <c r="K1992" s="5">
        <v>0.20558882235528941</v>
      </c>
      <c r="L1992" s="5">
        <v>1.5635395874916833E-2</v>
      </c>
    </row>
    <row r="1993" spans="7:12">
      <c r="G1993" t="s">
        <v>2580</v>
      </c>
      <c r="H1993" t="s">
        <v>322</v>
      </c>
      <c r="I1993" t="s">
        <v>384</v>
      </c>
      <c r="J1993" s="4">
        <v>2588</v>
      </c>
      <c r="K1993" s="5">
        <v>0.20556414219474498</v>
      </c>
      <c r="L1993" s="5">
        <v>8.8871715610510053E-3</v>
      </c>
    </row>
    <row r="1994" spans="7:12">
      <c r="G1994" t="s">
        <v>2581</v>
      </c>
      <c r="H1994" t="s">
        <v>344</v>
      </c>
      <c r="I1994" t="s">
        <v>100</v>
      </c>
      <c r="J1994" s="4">
        <v>5911</v>
      </c>
      <c r="K1994" s="5">
        <v>0.20554897648452039</v>
      </c>
      <c r="L1994" s="5">
        <v>1.4887497885298596E-2</v>
      </c>
    </row>
    <row r="1995" spans="7:12">
      <c r="G1995" t="s">
        <v>2582</v>
      </c>
      <c r="H1995" t="s">
        <v>118</v>
      </c>
      <c r="I1995" t="s">
        <v>305</v>
      </c>
      <c r="J1995" s="4">
        <v>5483</v>
      </c>
      <c r="K1995" s="5">
        <v>0.20554440999452855</v>
      </c>
      <c r="L1995" s="5">
        <v>1.0395768739741018E-2</v>
      </c>
    </row>
    <row r="1996" spans="7:12">
      <c r="G1996" t="s">
        <v>2583</v>
      </c>
      <c r="H1996" t="s">
        <v>322</v>
      </c>
      <c r="I1996" t="s">
        <v>224</v>
      </c>
      <c r="J1996" s="4">
        <v>2389</v>
      </c>
      <c r="K1996" s="5">
        <v>0.20552532440351612</v>
      </c>
      <c r="L1996" s="5">
        <v>1.2557555462536627E-2</v>
      </c>
    </row>
    <row r="1997" spans="7:12">
      <c r="G1997" t="s">
        <v>2584</v>
      </c>
      <c r="H1997" t="s">
        <v>336</v>
      </c>
      <c r="I1997" t="s">
        <v>115</v>
      </c>
      <c r="J1997" s="4">
        <v>2754</v>
      </c>
      <c r="K1997" s="5">
        <v>0.20551924473493102</v>
      </c>
      <c r="L1997" s="5">
        <v>9.0777051561365292E-3</v>
      </c>
    </row>
    <row r="1998" spans="7:12">
      <c r="G1998" t="s">
        <v>2585</v>
      </c>
      <c r="H1998" t="s">
        <v>377</v>
      </c>
      <c r="I1998" t="s">
        <v>204</v>
      </c>
      <c r="J1998" s="4">
        <v>7193</v>
      </c>
      <c r="K1998" s="5">
        <v>0.20547754761573753</v>
      </c>
      <c r="L1998" s="5">
        <v>1.8490198804393159E-2</v>
      </c>
    </row>
    <row r="1999" spans="7:12">
      <c r="G1999" t="s">
        <v>2586</v>
      </c>
      <c r="H1999" t="s">
        <v>89</v>
      </c>
      <c r="I1999" t="s">
        <v>303</v>
      </c>
      <c r="J1999" s="4">
        <v>4775</v>
      </c>
      <c r="K1999" s="5">
        <v>0.20544502617801047</v>
      </c>
      <c r="L1999" s="5">
        <v>2.6806282722513088E-2</v>
      </c>
    </row>
    <row r="2000" spans="7:12">
      <c r="G2000" t="s">
        <v>2587</v>
      </c>
      <c r="H2000" t="s">
        <v>134</v>
      </c>
      <c r="I2000" t="s">
        <v>472</v>
      </c>
      <c r="J2000" s="4">
        <v>2278</v>
      </c>
      <c r="K2000" s="5">
        <v>0.2054433713784021</v>
      </c>
      <c r="L2000" s="5">
        <v>1.141352063213345E-2</v>
      </c>
    </row>
    <row r="2001" spans="7:12">
      <c r="G2001" t="s">
        <v>2588</v>
      </c>
      <c r="H2001" t="s">
        <v>118</v>
      </c>
      <c r="I2001" t="s">
        <v>105</v>
      </c>
      <c r="J2001" s="4">
        <v>3428</v>
      </c>
      <c r="K2001" s="5">
        <v>0.20536756126021002</v>
      </c>
      <c r="L2001" s="5">
        <v>3.5005834305717621E-3</v>
      </c>
    </row>
    <row r="2002" spans="7:12">
      <c r="G2002" t="s">
        <v>2589</v>
      </c>
      <c r="H2002" t="s">
        <v>331</v>
      </c>
      <c r="I2002" t="s">
        <v>200</v>
      </c>
      <c r="J2002" s="4">
        <v>1008</v>
      </c>
      <c r="K2002" s="5">
        <v>0.20535714285714285</v>
      </c>
      <c r="L2002" s="5">
        <v>3.968253968253968E-3</v>
      </c>
    </row>
    <row r="2003" spans="7:12">
      <c r="G2003" t="s">
        <v>2590</v>
      </c>
      <c r="H2003" t="s">
        <v>103</v>
      </c>
      <c r="I2003" t="s">
        <v>197</v>
      </c>
      <c r="J2003" s="4">
        <v>5045</v>
      </c>
      <c r="K2003" s="5">
        <v>0.20535183349851338</v>
      </c>
      <c r="L2003" s="5">
        <v>1.0703666997026759E-2</v>
      </c>
    </row>
    <row r="2004" spans="7:12">
      <c r="G2004" t="s">
        <v>2591</v>
      </c>
      <c r="H2004" t="s">
        <v>2592</v>
      </c>
      <c r="I2004" t="s">
        <v>89</v>
      </c>
      <c r="J2004" s="4">
        <v>2177</v>
      </c>
      <c r="K2004" s="5">
        <v>0.20532843362425357</v>
      </c>
      <c r="L2004" s="5">
        <v>2.5264124942581533E-2</v>
      </c>
    </row>
    <row r="2005" spans="7:12">
      <c r="G2005" t="s">
        <v>2593</v>
      </c>
      <c r="H2005" t="s">
        <v>503</v>
      </c>
      <c r="I2005" t="s">
        <v>131</v>
      </c>
      <c r="J2005" s="4">
        <v>6790</v>
      </c>
      <c r="K2005" s="5">
        <v>0.20530191458026509</v>
      </c>
      <c r="L2005" s="5">
        <v>7.5110456553755525E-3</v>
      </c>
    </row>
    <row r="2006" spans="7:12">
      <c r="G2006" t="s">
        <v>2594</v>
      </c>
      <c r="H2006" t="s">
        <v>374</v>
      </c>
      <c r="I2006" t="s">
        <v>215</v>
      </c>
      <c r="J2006" s="4">
        <v>1057</v>
      </c>
      <c r="K2006" s="5">
        <v>0.20529801324503311</v>
      </c>
      <c r="L2006" s="5">
        <v>1.2298959318826869E-2</v>
      </c>
    </row>
    <row r="2007" spans="7:12">
      <c r="G2007" t="s">
        <v>2595</v>
      </c>
      <c r="H2007" t="s">
        <v>160</v>
      </c>
      <c r="I2007" t="s">
        <v>218</v>
      </c>
      <c r="J2007" s="4">
        <v>10541</v>
      </c>
      <c r="K2007" s="5">
        <v>0.20529361540650792</v>
      </c>
      <c r="L2007" s="5">
        <v>1.2807134048003035E-2</v>
      </c>
    </row>
    <row r="2008" spans="7:12">
      <c r="G2008" t="s">
        <v>2596</v>
      </c>
      <c r="H2008" t="s">
        <v>182</v>
      </c>
      <c r="I2008" t="s">
        <v>149</v>
      </c>
      <c r="J2008" s="4">
        <v>7308</v>
      </c>
      <c r="K2008" s="5">
        <v>0.20525451559934318</v>
      </c>
      <c r="L2008" s="5">
        <v>1.3820470717022441E-2</v>
      </c>
    </row>
    <row r="2009" spans="7:12">
      <c r="G2009" t="s">
        <v>2597</v>
      </c>
      <c r="H2009" t="s">
        <v>352</v>
      </c>
      <c r="I2009" t="s">
        <v>162</v>
      </c>
      <c r="J2009" s="4">
        <v>2115</v>
      </c>
      <c r="K2009" s="5">
        <v>0.20520094562647753</v>
      </c>
      <c r="L2009" s="5">
        <v>1.9858156028368795E-2</v>
      </c>
    </row>
    <row r="2010" spans="7:12">
      <c r="G2010" t="s">
        <v>2598</v>
      </c>
      <c r="H2010" t="s">
        <v>236</v>
      </c>
      <c r="I2010" t="s">
        <v>416</v>
      </c>
      <c r="J2010" s="4">
        <v>1540</v>
      </c>
      <c r="K2010" s="5">
        <v>0.20519480519480521</v>
      </c>
      <c r="L2010" s="5">
        <v>4.5454545454545452E-3</v>
      </c>
    </row>
    <row r="2011" spans="7:12">
      <c r="G2011" t="s">
        <v>2599</v>
      </c>
      <c r="H2011" t="s">
        <v>326</v>
      </c>
      <c r="I2011" t="s">
        <v>366</v>
      </c>
      <c r="J2011" s="4">
        <v>1272</v>
      </c>
      <c r="K2011" s="5">
        <v>0.20518867924528303</v>
      </c>
      <c r="L2011" s="5">
        <v>7.8616352201257866E-4</v>
      </c>
    </row>
    <row r="2012" spans="7:12">
      <c r="G2012" t="s">
        <v>2600</v>
      </c>
      <c r="H2012" t="s">
        <v>388</v>
      </c>
      <c r="I2012" t="s">
        <v>85</v>
      </c>
      <c r="J2012" s="4">
        <v>2164</v>
      </c>
      <c r="K2012" s="5">
        <v>0.20517560073937152</v>
      </c>
      <c r="L2012" s="5">
        <v>1.2476894639556377E-2</v>
      </c>
    </row>
    <row r="2013" spans="7:12">
      <c r="G2013" t="s">
        <v>2601</v>
      </c>
      <c r="H2013" t="s">
        <v>129</v>
      </c>
      <c r="I2013" t="s">
        <v>204</v>
      </c>
      <c r="J2013" s="4">
        <v>1550</v>
      </c>
      <c r="K2013" s="5">
        <v>0.20516129032258065</v>
      </c>
      <c r="L2013" s="5">
        <v>1.3548387096774193E-2</v>
      </c>
    </row>
    <row r="2014" spans="7:12">
      <c r="G2014" t="s">
        <v>2602</v>
      </c>
      <c r="H2014" t="s">
        <v>89</v>
      </c>
      <c r="I2014" t="s">
        <v>268</v>
      </c>
      <c r="J2014" s="4">
        <v>6542</v>
      </c>
      <c r="K2014" s="5">
        <v>0.20513604402323449</v>
      </c>
      <c r="L2014" s="5">
        <v>3.2253133598287985E-2</v>
      </c>
    </row>
    <row r="2015" spans="7:12">
      <c r="G2015" t="s">
        <v>2603</v>
      </c>
      <c r="H2015" t="s">
        <v>204</v>
      </c>
      <c r="I2015" t="s">
        <v>366</v>
      </c>
      <c r="J2015" s="4">
        <v>2618</v>
      </c>
      <c r="K2015" s="5">
        <v>0.20511841100076394</v>
      </c>
      <c r="L2015" s="5">
        <v>2.1390374331550801E-2</v>
      </c>
    </row>
    <row r="2016" spans="7:12">
      <c r="G2016" t="s">
        <v>2604</v>
      </c>
      <c r="H2016" t="s">
        <v>103</v>
      </c>
      <c r="I2016" t="s">
        <v>527</v>
      </c>
      <c r="J2016" s="4">
        <v>2189</v>
      </c>
      <c r="K2016" s="5">
        <v>0.20511649154865236</v>
      </c>
      <c r="L2016" s="5">
        <v>4.1114664230242123E-3</v>
      </c>
    </row>
    <row r="2017" spans="7:12">
      <c r="G2017" t="s">
        <v>2605</v>
      </c>
      <c r="H2017" t="s">
        <v>89</v>
      </c>
      <c r="I2017" t="s">
        <v>479</v>
      </c>
      <c r="J2017" s="4">
        <v>5617</v>
      </c>
      <c r="K2017" s="5">
        <v>0.20509168595335589</v>
      </c>
      <c r="L2017" s="5">
        <v>2.3144027060708564E-2</v>
      </c>
    </row>
    <row r="2018" spans="7:12">
      <c r="G2018" t="s">
        <v>2606</v>
      </c>
      <c r="H2018" t="s">
        <v>268</v>
      </c>
      <c r="I2018" t="s">
        <v>131</v>
      </c>
      <c r="J2018" s="4">
        <v>6179</v>
      </c>
      <c r="K2018" s="5">
        <v>0.20504936073798349</v>
      </c>
      <c r="L2018" s="5">
        <v>7.4445703188218155E-3</v>
      </c>
    </row>
    <row r="2019" spans="7:12">
      <c r="G2019" t="s">
        <v>2607</v>
      </c>
      <c r="H2019" t="s">
        <v>374</v>
      </c>
      <c r="I2019" t="s">
        <v>131</v>
      </c>
      <c r="J2019" s="4">
        <v>3307</v>
      </c>
      <c r="K2019" s="5">
        <v>0.20501965527668581</v>
      </c>
      <c r="L2019" s="5">
        <v>5.140610825521621E-3</v>
      </c>
    </row>
    <row r="2020" spans="7:12">
      <c r="G2020" t="s">
        <v>2608</v>
      </c>
      <c r="H2020" t="s">
        <v>2609</v>
      </c>
      <c r="I2020" t="s">
        <v>103</v>
      </c>
      <c r="J2020" s="4">
        <v>1878</v>
      </c>
      <c r="K2020" s="5">
        <v>0.20500532481363151</v>
      </c>
      <c r="L2020" s="5">
        <v>3.8338658146964855E-2</v>
      </c>
    </row>
    <row r="2021" spans="7:12">
      <c r="G2021" t="s">
        <v>2610</v>
      </c>
      <c r="H2021" t="s">
        <v>322</v>
      </c>
      <c r="I2021" t="s">
        <v>140</v>
      </c>
      <c r="J2021" s="4">
        <v>10059</v>
      </c>
      <c r="K2021" s="5">
        <v>0.20499055572124467</v>
      </c>
      <c r="L2021" s="5">
        <v>2.8432249726612985E-2</v>
      </c>
    </row>
    <row r="2022" spans="7:12">
      <c r="G2022" t="s">
        <v>2611</v>
      </c>
      <c r="H2022" t="s">
        <v>103</v>
      </c>
      <c r="I2022" t="s">
        <v>386</v>
      </c>
      <c r="J2022" s="4">
        <v>3162</v>
      </c>
      <c r="K2022" s="5">
        <v>0.2049335863377609</v>
      </c>
      <c r="L2022" s="5">
        <v>5.3763440860215058E-3</v>
      </c>
    </row>
    <row r="2023" spans="7:12">
      <c r="G2023" t="s">
        <v>2612</v>
      </c>
      <c r="H2023" t="s">
        <v>189</v>
      </c>
      <c r="I2023" t="s">
        <v>276</v>
      </c>
      <c r="J2023" s="4">
        <v>1723</v>
      </c>
      <c r="K2023" s="5">
        <v>0.2048752176436448</v>
      </c>
      <c r="L2023" s="5">
        <v>4.6430644225188625E-3</v>
      </c>
    </row>
    <row r="2024" spans="7:12">
      <c r="G2024" t="s">
        <v>2613</v>
      </c>
      <c r="H2024" t="s">
        <v>453</v>
      </c>
      <c r="I2024" t="s">
        <v>204</v>
      </c>
      <c r="J2024" s="4">
        <v>3013</v>
      </c>
      <c r="K2024" s="5">
        <v>0.20477928974444076</v>
      </c>
      <c r="L2024" s="5">
        <v>3.0534351145038167E-2</v>
      </c>
    </row>
    <row r="2025" spans="7:12">
      <c r="G2025" t="s">
        <v>2614</v>
      </c>
      <c r="H2025" t="s">
        <v>254</v>
      </c>
      <c r="I2025" t="s">
        <v>331</v>
      </c>
      <c r="J2025" s="4">
        <v>2266</v>
      </c>
      <c r="K2025" s="5">
        <v>0.20476610767872905</v>
      </c>
      <c r="L2025" s="5">
        <v>2.0741394527802295E-2</v>
      </c>
    </row>
    <row r="2026" spans="7:12">
      <c r="G2026" t="s">
        <v>2615</v>
      </c>
      <c r="H2026" t="s">
        <v>136</v>
      </c>
      <c r="I2026" t="s">
        <v>422</v>
      </c>
      <c r="J2026" s="4">
        <v>3780</v>
      </c>
      <c r="K2026" s="5">
        <v>0.20476190476190476</v>
      </c>
      <c r="L2026" s="5">
        <v>1.3492063492063493E-2</v>
      </c>
    </row>
    <row r="2027" spans="7:12">
      <c r="G2027" t="s">
        <v>2616</v>
      </c>
      <c r="H2027" t="s">
        <v>250</v>
      </c>
      <c r="I2027" t="s">
        <v>100</v>
      </c>
      <c r="J2027" s="4">
        <v>2989</v>
      </c>
      <c r="K2027" s="5">
        <v>0.20475075276012045</v>
      </c>
      <c r="L2027" s="5">
        <v>1.3716962194713951E-2</v>
      </c>
    </row>
    <row r="2028" spans="7:12">
      <c r="G2028" t="s">
        <v>2617</v>
      </c>
      <c r="H2028" t="s">
        <v>288</v>
      </c>
      <c r="I2028" t="s">
        <v>95</v>
      </c>
      <c r="J2028" s="4">
        <v>5109</v>
      </c>
      <c r="K2028" s="5">
        <v>0.20473673908788412</v>
      </c>
      <c r="L2028" s="5">
        <v>1.3701311411235075E-2</v>
      </c>
    </row>
    <row r="2029" spans="7:12">
      <c r="G2029" t="s">
        <v>2618</v>
      </c>
      <c r="H2029" t="s">
        <v>372</v>
      </c>
      <c r="I2029" t="s">
        <v>160</v>
      </c>
      <c r="J2029" s="4">
        <v>1407</v>
      </c>
      <c r="K2029" s="5">
        <v>0.20469083155650319</v>
      </c>
      <c r="L2029" s="5">
        <v>7.818052594171997E-3</v>
      </c>
    </row>
    <row r="2030" spans="7:12">
      <c r="G2030" t="s">
        <v>2619</v>
      </c>
      <c r="H2030" t="s">
        <v>422</v>
      </c>
      <c r="I2030" t="s">
        <v>326</v>
      </c>
      <c r="J2030" s="4">
        <v>2018</v>
      </c>
      <c r="K2030" s="5">
        <v>0.20465807730426164</v>
      </c>
      <c r="L2030" s="5">
        <v>1.4866204162537165E-3</v>
      </c>
    </row>
    <row r="2031" spans="7:12">
      <c r="G2031" t="s">
        <v>2620</v>
      </c>
      <c r="H2031" t="s">
        <v>131</v>
      </c>
      <c r="I2031" t="s">
        <v>118</v>
      </c>
      <c r="J2031" s="4">
        <v>15996</v>
      </c>
      <c r="K2031" s="5">
        <v>0.20461365341335333</v>
      </c>
      <c r="L2031" s="5">
        <v>1.0815203800950237E-2</v>
      </c>
    </row>
    <row r="2032" spans="7:12">
      <c r="G2032" t="s">
        <v>2621</v>
      </c>
      <c r="H2032" t="s">
        <v>455</v>
      </c>
      <c r="I2032" t="s">
        <v>89</v>
      </c>
      <c r="J2032" s="4">
        <v>5188</v>
      </c>
      <c r="K2032" s="5">
        <v>0.20451040863531225</v>
      </c>
      <c r="L2032" s="5">
        <v>2.1010023130300693E-2</v>
      </c>
    </row>
    <row r="2033" spans="7:12">
      <c r="G2033" t="s">
        <v>2622</v>
      </c>
      <c r="H2033" t="s">
        <v>149</v>
      </c>
      <c r="I2033" t="s">
        <v>798</v>
      </c>
      <c r="J2033" s="4">
        <v>1110</v>
      </c>
      <c r="K2033" s="5">
        <v>0.2045045045045045</v>
      </c>
      <c r="L2033" s="5">
        <v>3.8738738738738739E-2</v>
      </c>
    </row>
    <row r="2034" spans="7:12">
      <c r="G2034" t="s">
        <v>2623</v>
      </c>
      <c r="H2034" t="s">
        <v>372</v>
      </c>
      <c r="I2034" t="s">
        <v>118</v>
      </c>
      <c r="J2034" s="4">
        <v>5512</v>
      </c>
      <c r="K2034" s="5">
        <v>0.20446298984034833</v>
      </c>
      <c r="L2034" s="5">
        <v>1.3062409288824383E-2</v>
      </c>
    </row>
    <row r="2035" spans="7:12">
      <c r="G2035" t="s">
        <v>2624</v>
      </c>
      <c r="H2035" t="s">
        <v>414</v>
      </c>
      <c r="I2035" t="s">
        <v>215</v>
      </c>
      <c r="J2035" s="4">
        <v>1394</v>
      </c>
      <c r="K2035" s="5">
        <v>0.20444763271162122</v>
      </c>
      <c r="L2035" s="5">
        <v>7.8909612625538018E-3</v>
      </c>
    </row>
    <row r="2036" spans="7:12">
      <c r="G2036" t="s">
        <v>2625</v>
      </c>
      <c r="H2036" t="s">
        <v>463</v>
      </c>
      <c r="I2036" t="s">
        <v>2626</v>
      </c>
      <c r="J2036" s="4">
        <v>1086</v>
      </c>
      <c r="K2036" s="5">
        <v>0.20441988950276244</v>
      </c>
      <c r="L2036" s="5">
        <v>0</v>
      </c>
    </row>
    <row r="2037" spans="7:12">
      <c r="G2037" t="s">
        <v>2627</v>
      </c>
      <c r="H2037" t="s">
        <v>259</v>
      </c>
      <c r="I2037" t="s">
        <v>342</v>
      </c>
      <c r="J2037" s="4">
        <v>4721</v>
      </c>
      <c r="K2037" s="5">
        <v>0.20440584621902139</v>
      </c>
      <c r="L2037" s="5">
        <v>2.9019275577208219E-2</v>
      </c>
    </row>
    <row r="2038" spans="7:12">
      <c r="G2038" t="s">
        <v>2628</v>
      </c>
      <c r="H2038" t="s">
        <v>322</v>
      </c>
      <c r="I2038" t="s">
        <v>131</v>
      </c>
      <c r="J2038" s="4">
        <v>9550</v>
      </c>
      <c r="K2038" s="5">
        <v>0.20439790575916231</v>
      </c>
      <c r="L2038" s="5">
        <v>6.2827225130890054E-3</v>
      </c>
    </row>
    <row r="2039" spans="7:12">
      <c r="G2039" t="s">
        <v>2629</v>
      </c>
      <c r="H2039" t="s">
        <v>149</v>
      </c>
      <c r="I2039" t="s">
        <v>131</v>
      </c>
      <c r="J2039" s="4">
        <v>10246</v>
      </c>
      <c r="K2039" s="5">
        <v>0.20437243802459495</v>
      </c>
      <c r="L2039" s="5">
        <v>1.1809486628928362E-2</v>
      </c>
    </row>
    <row r="2040" spans="7:12">
      <c r="G2040" t="s">
        <v>2630</v>
      </c>
      <c r="H2040" t="s">
        <v>398</v>
      </c>
      <c r="I2040" t="s">
        <v>215</v>
      </c>
      <c r="J2040" s="4">
        <v>6733</v>
      </c>
      <c r="K2040" s="5">
        <v>0.20436655279964355</v>
      </c>
      <c r="L2040" s="5">
        <v>6.0894103668498439E-3</v>
      </c>
    </row>
    <row r="2041" spans="7:12">
      <c r="G2041" t="s">
        <v>2631</v>
      </c>
      <c r="H2041" t="s">
        <v>204</v>
      </c>
      <c r="I2041" t="s">
        <v>347</v>
      </c>
      <c r="J2041" s="4">
        <v>3254</v>
      </c>
      <c r="K2041" s="5">
        <v>0.20436385986478181</v>
      </c>
      <c r="L2041" s="5">
        <v>3.5648432698217582E-2</v>
      </c>
    </row>
    <row r="2042" spans="7:12">
      <c r="G2042" t="s">
        <v>2632</v>
      </c>
      <c r="H2042" t="s">
        <v>342</v>
      </c>
      <c r="I2042" t="s">
        <v>149</v>
      </c>
      <c r="J2042" s="4">
        <v>4278</v>
      </c>
      <c r="K2042" s="5">
        <v>0.20430107526881722</v>
      </c>
      <c r="L2042" s="5">
        <v>3.2258064516129031E-2</v>
      </c>
    </row>
    <row r="2043" spans="7:12">
      <c r="G2043" t="s">
        <v>2633</v>
      </c>
      <c r="H2043" t="s">
        <v>218</v>
      </c>
      <c r="I2043" t="s">
        <v>288</v>
      </c>
      <c r="J2043" s="4">
        <v>3980</v>
      </c>
      <c r="K2043" s="5">
        <v>0.20427135678391961</v>
      </c>
      <c r="L2043" s="5">
        <v>1.5577889447236181E-2</v>
      </c>
    </row>
    <row r="2044" spans="7:12">
      <c r="G2044" t="s">
        <v>2634</v>
      </c>
      <c r="H2044" t="s">
        <v>136</v>
      </c>
      <c r="I2044" t="s">
        <v>352</v>
      </c>
      <c r="J2044" s="4">
        <v>6742</v>
      </c>
      <c r="K2044" s="5">
        <v>0.20424206466923761</v>
      </c>
      <c r="L2044" s="5">
        <v>1.3200830614061109E-2</v>
      </c>
    </row>
    <row r="2045" spans="7:12">
      <c r="G2045" t="s">
        <v>2635</v>
      </c>
      <c r="H2045" t="s">
        <v>395</v>
      </c>
      <c r="I2045" t="s">
        <v>103</v>
      </c>
      <c r="J2045" s="4">
        <v>3824</v>
      </c>
      <c r="K2045" s="5">
        <v>0.20423640167364016</v>
      </c>
      <c r="L2045" s="5">
        <v>1.2290794979079499E-2</v>
      </c>
    </row>
    <row r="2046" spans="7:12">
      <c r="G2046" t="s">
        <v>2636</v>
      </c>
      <c r="H2046" t="s">
        <v>162</v>
      </c>
      <c r="I2046" t="s">
        <v>137</v>
      </c>
      <c r="J2046" s="4">
        <v>14823</v>
      </c>
      <c r="K2046" s="5">
        <v>0.20414221142818592</v>
      </c>
      <c r="L2046" s="5">
        <v>1.8687175335627065E-2</v>
      </c>
    </row>
    <row r="2047" spans="7:12">
      <c r="G2047" t="s">
        <v>2637</v>
      </c>
      <c r="H2047" t="s">
        <v>131</v>
      </c>
      <c r="I2047" t="s">
        <v>489</v>
      </c>
      <c r="J2047" s="4">
        <v>13222</v>
      </c>
      <c r="K2047" s="5">
        <v>0.20412948116775073</v>
      </c>
      <c r="L2047" s="5">
        <v>7.7144153683255182E-3</v>
      </c>
    </row>
    <row r="2048" spans="7:12">
      <c r="G2048" t="s">
        <v>2638</v>
      </c>
      <c r="H2048" t="s">
        <v>322</v>
      </c>
      <c r="I2048" t="s">
        <v>134</v>
      </c>
      <c r="J2048" s="4">
        <v>7021</v>
      </c>
      <c r="K2048" s="5">
        <v>0.20410197977496083</v>
      </c>
      <c r="L2048" s="5">
        <v>1.2533827090158097E-2</v>
      </c>
    </row>
    <row r="2049" spans="7:12">
      <c r="G2049" t="s">
        <v>2639</v>
      </c>
      <c r="H2049" t="s">
        <v>182</v>
      </c>
      <c r="I2049" t="s">
        <v>115</v>
      </c>
      <c r="J2049" s="4">
        <v>2588</v>
      </c>
      <c r="K2049" s="5">
        <v>0.20401854714064915</v>
      </c>
      <c r="L2049" s="5">
        <v>7.7279752704791345E-3</v>
      </c>
    </row>
    <row r="2050" spans="7:12">
      <c r="G2050" t="s">
        <v>2640</v>
      </c>
      <c r="H2050" t="s">
        <v>202</v>
      </c>
      <c r="I2050" t="s">
        <v>326</v>
      </c>
      <c r="J2050" s="4">
        <v>3387</v>
      </c>
      <c r="K2050" s="5">
        <v>0.20401535281960437</v>
      </c>
      <c r="L2050" s="5">
        <v>1.0333628579864187E-2</v>
      </c>
    </row>
    <row r="2051" spans="7:12">
      <c r="G2051" t="s">
        <v>2641</v>
      </c>
      <c r="H2051" t="s">
        <v>204</v>
      </c>
      <c r="I2051" t="s">
        <v>273</v>
      </c>
      <c r="J2051" s="4">
        <v>3902</v>
      </c>
      <c r="K2051" s="5">
        <v>0.20399794976934904</v>
      </c>
      <c r="L2051" s="5">
        <v>2.7934392619169655E-2</v>
      </c>
    </row>
    <row r="2052" spans="7:12">
      <c r="G2052" t="s">
        <v>2642</v>
      </c>
      <c r="H2052" t="s">
        <v>80</v>
      </c>
      <c r="I2052" t="s">
        <v>172</v>
      </c>
      <c r="J2052" s="4">
        <v>1255</v>
      </c>
      <c r="K2052" s="5">
        <v>0.20398406374501993</v>
      </c>
      <c r="L2052" s="5">
        <v>7.1713147410358566E-3</v>
      </c>
    </row>
    <row r="2053" spans="7:12">
      <c r="G2053" t="s">
        <v>2643</v>
      </c>
      <c r="H2053" t="s">
        <v>136</v>
      </c>
      <c r="I2053" t="s">
        <v>322</v>
      </c>
      <c r="J2053" s="4">
        <v>6178</v>
      </c>
      <c r="K2053" s="5">
        <v>0.20394949821948852</v>
      </c>
      <c r="L2053" s="5">
        <v>1.0359339592101004E-2</v>
      </c>
    </row>
    <row r="2054" spans="7:12">
      <c r="G2054" t="s">
        <v>2644</v>
      </c>
      <c r="H2054" t="s">
        <v>140</v>
      </c>
      <c r="I2054" t="s">
        <v>282</v>
      </c>
      <c r="J2054" s="4">
        <v>3987</v>
      </c>
      <c r="K2054" s="5">
        <v>0.20391271632806621</v>
      </c>
      <c r="L2054" s="5">
        <v>2.0566842237271132E-2</v>
      </c>
    </row>
    <row r="2055" spans="7:12">
      <c r="G2055" t="s">
        <v>2645</v>
      </c>
      <c r="H2055" t="s">
        <v>259</v>
      </c>
      <c r="I2055" t="s">
        <v>352</v>
      </c>
      <c r="J2055" s="4">
        <v>5955</v>
      </c>
      <c r="K2055" s="5">
        <v>0.20386230058774141</v>
      </c>
      <c r="L2055" s="5">
        <v>2.8715365239294709E-2</v>
      </c>
    </row>
    <row r="2056" spans="7:12">
      <c r="G2056" t="s">
        <v>2646</v>
      </c>
      <c r="H2056" t="s">
        <v>331</v>
      </c>
      <c r="I2056" t="s">
        <v>326</v>
      </c>
      <c r="J2056" s="4">
        <v>1570</v>
      </c>
      <c r="K2056" s="5">
        <v>0.20382165605095542</v>
      </c>
      <c r="L2056" s="5">
        <v>5.7324840764331206E-3</v>
      </c>
    </row>
    <row r="2057" spans="7:12">
      <c r="G2057" t="s">
        <v>2647</v>
      </c>
      <c r="H2057" t="s">
        <v>326</v>
      </c>
      <c r="I2057" t="s">
        <v>349</v>
      </c>
      <c r="J2057" s="4">
        <v>1256</v>
      </c>
      <c r="K2057" s="5">
        <v>0.20382165605095542</v>
      </c>
      <c r="L2057" s="5">
        <v>9.5541401273885346E-3</v>
      </c>
    </row>
    <row r="2058" spans="7:12">
      <c r="G2058" t="s">
        <v>2648</v>
      </c>
      <c r="H2058" t="s">
        <v>233</v>
      </c>
      <c r="I2058" t="s">
        <v>282</v>
      </c>
      <c r="J2058" s="4">
        <v>3003</v>
      </c>
      <c r="K2058" s="5">
        <v>0.20379620379620381</v>
      </c>
      <c r="L2058" s="5">
        <v>7.326007326007326E-3</v>
      </c>
    </row>
    <row r="2059" spans="7:12">
      <c r="G2059" t="s">
        <v>2649</v>
      </c>
      <c r="H2059" t="s">
        <v>134</v>
      </c>
      <c r="I2059" t="s">
        <v>182</v>
      </c>
      <c r="J2059" s="4">
        <v>5295</v>
      </c>
      <c r="K2059" s="5">
        <v>0.20377714825306895</v>
      </c>
      <c r="L2059" s="5">
        <v>1.3031161473087818E-2</v>
      </c>
    </row>
    <row r="2060" spans="7:12">
      <c r="G2060" t="s">
        <v>2650</v>
      </c>
      <c r="H2060" t="s">
        <v>103</v>
      </c>
      <c r="I2060" t="s">
        <v>295</v>
      </c>
      <c r="J2060" s="4">
        <v>3412</v>
      </c>
      <c r="K2060" s="5">
        <v>0.20369284876905042</v>
      </c>
      <c r="L2060" s="5">
        <v>8.7924970691676436E-3</v>
      </c>
    </row>
    <row r="2061" spans="7:12">
      <c r="G2061" t="s">
        <v>2651</v>
      </c>
      <c r="H2061" t="s">
        <v>137</v>
      </c>
      <c r="I2061" t="s">
        <v>372</v>
      </c>
      <c r="J2061" s="4">
        <v>1851</v>
      </c>
      <c r="K2061" s="5">
        <v>0.20367368989735279</v>
      </c>
      <c r="L2061" s="5">
        <v>2.4311183144246355E-2</v>
      </c>
    </row>
    <row r="2062" spans="7:12">
      <c r="G2062" t="s">
        <v>2652</v>
      </c>
      <c r="H2062" t="s">
        <v>118</v>
      </c>
      <c r="I2062" t="s">
        <v>410</v>
      </c>
      <c r="J2062" s="4">
        <v>6577</v>
      </c>
      <c r="K2062" s="5">
        <v>0.20358826212558917</v>
      </c>
      <c r="L2062" s="5">
        <v>1.4140185494906492E-2</v>
      </c>
    </row>
    <row r="2063" spans="7:12">
      <c r="G2063" t="s">
        <v>2653</v>
      </c>
      <c r="H2063" t="s">
        <v>236</v>
      </c>
      <c r="I2063" t="s">
        <v>268</v>
      </c>
      <c r="J2063" s="4">
        <v>4519</v>
      </c>
      <c r="K2063" s="5">
        <v>0.20358486390794422</v>
      </c>
      <c r="L2063" s="5">
        <v>7.5237884487718521E-3</v>
      </c>
    </row>
    <row r="2064" spans="7:12">
      <c r="G2064" t="s">
        <v>2654</v>
      </c>
      <c r="H2064" t="s">
        <v>1780</v>
      </c>
      <c r="I2064" t="s">
        <v>118</v>
      </c>
      <c r="J2064" s="4">
        <v>2009</v>
      </c>
      <c r="K2064" s="5">
        <v>0.20358387257341962</v>
      </c>
      <c r="L2064" s="5">
        <v>1.4435042309606769E-2</v>
      </c>
    </row>
    <row r="2065" spans="7:12">
      <c r="G2065" t="s">
        <v>2655</v>
      </c>
      <c r="H2065" t="s">
        <v>233</v>
      </c>
      <c r="I2065" t="s">
        <v>103</v>
      </c>
      <c r="J2065" s="4">
        <v>11711</v>
      </c>
      <c r="K2065" s="5">
        <v>0.20356929382631714</v>
      </c>
      <c r="L2065" s="5">
        <v>8.5389804457347788E-3</v>
      </c>
    </row>
    <row r="2066" spans="7:12">
      <c r="G2066" t="s">
        <v>2656</v>
      </c>
      <c r="H2066" t="s">
        <v>160</v>
      </c>
      <c r="I2066" t="s">
        <v>215</v>
      </c>
      <c r="J2066" s="4">
        <v>1071</v>
      </c>
      <c r="K2066" s="5">
        <v>0.20354808590102708</v>
      </c>
      <c r="L2066" s="5">
        <v>1.5873015873015872E-2</v>
      </c>
    </row>
    <row r="2067" spans="7:12">
      <c r="G2067" t="s">
        <v>2657</v>
      </c>
      <c r="H2067" t="s">
        <v>288</v>
      </c>
      <c r="I2067" t="s">
        <v>218</v>
      </c>
      <c r="J2067" s="4">
        <v>3980</v>
      </c>
      <c r="K2067" s="5">
        <v>0.20351758793969849</v>
      </c>
      <c r="L2067" s="5">
        <v>1.6582914572864323E-2</v>
      </c>
    </row>
    <row r="2068" spans="7:12">
      <c r="G2068" t="s">
        <v>2658</v>
      </c>
      <c r="H2068" t="s">
        <v>136</v>
      </c>
      <c r="I2068" t="s">
        <v>434</v>
      </c>
      <c r="J2068" s="4">
        <v>1430</v>
      </c>
      <c r="K2068" s="5">
        <v>0.2034965034965035</v>
      </c>
      <c r="L2068" s="5">
        <v>6.2937062937062941E-3</v>
      </c>
    </row>
    <row r="2069" spans="7:12">
      <c r="G2069" t="s">
        <v>2659</v>
      </c>
      <c r="H2069" t="s">
        <v>449</v>
      </c>
      <c r="I2069" t="s">
        <v>204</v>
      </c>
      <c r="J2069" s="4">
        <v>1091</v>
      </c>
      <c r="K2069" s="5">
        <v>0.20348304307974335</v>
      </c>
      <c r="L2069" s="5">
        <v>3.6663611365719525E-3</v>
      </c>
    </row>
    <row r="2070" spans="7:12">
      <c r="G2070" t="s">
        <v>2660</v>
      </c>
      <c r="H2070" t="s">
        <v>269</v>
      </c>
      <c r="I2070" t="s">
        <v>259</v>
      </c>
      <c r="J2070" s="4">
        <v>6320</v>
      </c>
      <c r="K2070" s="5">
        <v>0.20348101265822785</v>
      </c>
      <c r="L2070" s="5">
        <v>3.4968354430379746E-2</v>
      </c>
    </row>
    <row r="2071" spans="7:12">
      <c r="G2071" t="s">
        <v>2661</v>
      </c>
      <c r="H2071" t="s">
        <v>245</v>
      </c>
      <c r="I2071" t="s">
        <v>103</v>
      </c>
      <c r="J2071" s="4">
        <v>3111</v>
      </c>
      <c r="K2071" s="5">
        <v>0.20347155255544841</v>
      </c>
      <c r="L2071" s="5">
        <v>1.4143362262937963E-2</v>
      </c>
    </row>
    <row r="2072" spans="7:12">
      <c r="G2072" t="s">
        <v>2662</v>
      </c>
      <c r="H2072" t="s">
        <v>377</v>
      </c>
      <c r="I2072" t="s">
        <v>178</v>
      </c>
      <c r="J2072" s="4">
        <v>1096</v>
      </c>
      <c r="K2072" s="5">
        <v>0.20346715328467152</v>
      </c>
      <c r="L2072" s="5">
        <v>7.2992700729927005E-3</v>
      </c>
    </row>
    <row r="2073" spans="7:12">
      <c r="G2073" t="s">
        <v>2663</v>
      </c>
      <c r="H2073" t="s">
        <v>218</v>
      </c>
      <c r="I2073" t="s">
        <v>346</v>
      </c>
      <c r="J2073" s="4">
        <v>10608</v>
      </c>
      <c r="K2073" s="5">
        <v>0.20343137254901961</v>
      </c>
      <c r="L2073" s="5">
        <v>1.0935143288084464E-2</v>
      </c>
    </row>
    <row r="2074" spans="7:12">
      <c r="G2074" t="s">
        <v>2664</v>
      </c>
      <c r="H2074" t="s">
        <v>89</v>
      </c>
      <c r="I2074" t="s">
        <v>284</v>
      </c>
      <c r="J2074" s="4">
        <v>5191</v>
      </c>
      <c r="K2074" s="5">
        <v>0.2034290117511077</v>
      </c>
      <c r="L2074" s="5">
        <v>2.3694856482373339E-2</v>
      </c>
    </row>
    <row r="2075" spans="7:12">
      <c r="G2075" t="s">
        <v>2665</v>
      </c>
      <c r="H2075" t="s">
        <v>374</v>
      </c>
      <c r="I2075" t="s">
        <v>204</v>
      </c>
      <c r="J2075" s="4">
        <v>2104</v>
      </c>
      <c r="K2075" s="5">
        <v>0.20342205323193915</v>
      </c>
      <c r="L2075" s="5">
        <v>1.758555133079848E-2</v>
      </c>
    </row>
    <row r="2076" spans="7:12">
      <c r="G2076" t="s">
        <v>2666</v>
      </c>
      <c r="H2076" t="s">
        <v>162</v>
      </c>
      <c r="I2076" t="s">
        <v>204</v>
      </c>
      <c r="J2076" s="4">
        <v>28532</v>
      </c>
      <c r="K2076" s="5">
        <v>0.20335062386092809</v>
      </c>
      <c r="L2076" s="5">
        <v>2.1975325949810737E-2</v>
      </c>
    </row>
    <row r="2077" spans="7:12">
      <c r="G2077" t="s">
        <v>2667</v>
      </c>
      <c r="H2077" t="s">
        <v>224</v>
      </c>
      <c r="I2077" t="s">
        <v>322</v>
      </c>
      <c r="J2077" s="4">
        <v>2390</v>
      </c>
      <c r="K2077" s="5">
        <v>0.20334728033472804</v>
      </c>
      <c r="L2077" s="5">
        <v>1.5481171548117154E-2</v>
      </c>
    </row>
    <row r="2078" spans="7:12">
      <c r="G2078" t="s">
        <v>2668</v>
      </c>
      <c r="H2078" t="s">
        <v>276</v>
      </c>
      <c r="I2078" t="s">
        <v>189</v>
      </c>
      <c r="J2078" s="4">
        <v>1722</v>
      </c>
      <c r="K2078" s="5">
        <v>0.2032520325203252</v>
      </c>
      <c r="L2078" s="5">
        <v>5.2264808362369342E-3</v>
      </c>
    </row>
    <row r="2079" spans="7:12">
      <c r="G2079" t="s">
        <v>2669</v>
      </c>
      <c r="H2079" t="s">
        <v>288</v>
      </c>
      <c r="I2079" t="s">
        <v>162</v>
      </c>
      <c r="J2079" s="4">
        <v>3002</v>
      </c>
      <c r="K2079" s="5">
        <v>0.20319786808794138</v>
      </c>
      <c r="L2079" s="5">
        <v>1.765489673550966E-2</v>
      </c>
    </row>
    <row r="2080" spans="7:12">
      <c r="G2080" t="s">
        <v>2670</v>
      </c>
      <c r="H2080" t="s">
        <v>326</v>
      </c>
      <c r="I2080" t="s">
        <v>189</v>
      </c>
      <c r="J2080" s="4">
        <v>10091</v>
      </c>
      <c r="K2080" s="5">
        <v>0.2031513229610544</v>
      </c>
      <c r="L2080" s="5">
        <v>6.1440887919928652E-3</v>
      </c>
    </row>
    <row r="2081" spans="7:12">
      <c r="G2081" t="s">
        <v>2671</v>
      </c>
      <c r="H2081" t="s">
        <v>136</v>
      </c>
      <c r="I2081" t="s">
        <v>414</v>
      </c>
      <c r="J2081" s="4">
        <v>4319</v>
      </c>
      <c r="K2081" s="5">
        <v>0.2030562630238481</v>
      </c>
      <c r="L2081" s="5">
        <v>1.3892104653855059E-2</v>
      </c>
    </row>
    <row r="2082" spans="7:12">
      <c r="G2082" t="s">
        <v>2672</v>
      </c>
      <c r="H2082" t="s">
        <v>189</v>
      </c>
      <c r="I2082" t="s">
        <v>226</v>
      </c>
      <c r="J2082" s="4">
        <v>6684</v>
      </c>
      <c r="K2082" s="5">
        <v>0.20302214242968283</v>
      </c>
      <c r="L2082" s="5">
        <v>1.3315380011968881E-2</v>
      </c>
    </row>
    <row r="2083" spans="7:12">
      <c r="G2083" t="s">
        <v>2673</v>
      </c>
      <c r="H2083" t="s">
        <v>160</v>
      </c>
      <c r="I2083" t="s">
        <v>118</v>
      </c>
      <c r="J2083" s="4">
        <v>3557</v>
      </c>
      <c r="K2083" s="5">
        <v>0.20298003935901041</v>
      </c>
      <c r="L2083" s="5">
        <v>1.6587011526567334E-2</v>
      </c>
    </row>
    <row r="2084" spans="7:12">
      <c r="G2084" t="s">
        <v>2674</v>
      </c>
      <c r="H2084" t="s">
        <v>260</v>
      </c>
      <c r="I2084" t="s">
        <v>100</v>
      </c>
      <c r="J2084" s="4">
        <v>2927</v>
      </c>
      <c r="K2084" s="5">
        <v>0.20293816194055347</v>
      </c>
      <c r="L2084" s="5">
        <v>1.7423983600956611E-2</v>
      </c>
    </row>
    <row r="2085" spans="7:12">
      <c r="G2085" t="s">
        <v>2675</v>
      </c>
      <c r="H2085" t="s">
        <v>189</v>
      </c>
      <c r="I2085" t="s">
        <v>233</v>
      </c>
      <c r="J2085" s="4">
        <v>8772</v>
      </c>
      <c r="K2085" s="5">
        <v>0.20291837665298679</v>
      </c>
      <c r="L2085" s="5">
        <v>7.523939808481532E-3</v>
      </c>
    </row>
    <row r="2086" spans="7:12">
      <c r="G2086" t="s">
        <v>2676</v>
      </c>
      <c r="H2086" t="s">
        <v>160</v>
      </c>
      <c r="I2086" t="s">
        <v>503</v>
      </c>
      <c r="J2086" s="4">
        <v>1853</v>
      </c>
      <c r="K2086" s="5">
        <v>0.20291419320021586</v>
      </c>
      <c r="L2086" s="5">
        <v>9.1743119266055051E-3</v>
      </c>
    </row>
    <row r="2087" spans="7:12">
      <c r="G2087" t="s">
        <v>2677</v>
      </c>
      <c r="H2087" t="s">
        <v>269</v>
      </c>
      <c r="I2087" t="s">
        <v>80</v>
      </c>
      <c r="J2087" s="4">
        <v>2484</v>
      </c>
      <c r="K2087" s="5">
        <v>0.20289855072463769</v>
      </c>
      <c r="L2087" s="5">
        <v>1.3687600644122383E-2</v>
      </c>
    </row>
    <row r="2088" spans="7:12">
      <c r="G2088" t="s">
        <v>2678</v>
      </c>
      <c r="H2088" t="s">
        <v>221</v>
      </c>
      <c r="I2088" t="s">
        <v>103</v>
      </c>
      <c r="J2088" s="4">
        <v>6803</v>
      </c>
      <c r="K2088" s="5">
        <v>0.20285168308099369</v>
      </c>
      <c r="L2088" s="5">
        <v>1.2347493752756136E-2</v>
      </c>
    </row>
    <row r="2089" spans="7:12">
      <c r="G2089" t="s">
        <v>2679</v>
      </c>
      <c r="H2089" t="s">
        <v>89</v>
      </c>
      <c r="I2089" t="s">
        <v>2067</v>
      </c>
      <c r="J2089" s="4">
        <v>3244</v>
      </c>
      <c r="K2089" s="5">
        <v>0.20283600493218248</v>
      </c>
      <c r="L2089" s="5">
        <v>3.1442663378545004E-2</v>
      </c>
    </row>
    <row r="2090" spans="7:12">
      <c r="G2090" t="s">
        <v>2680</v>
      </c>
      <c r="H2090" t="s">
        <v>370</v>
      </c>
      <c r="I2090" t="s">
        <v>140</v>
      </c>
      <c r="J2090" s="4">
        <v>16690</v>
      </c>
      <c r="K2090" s="5">
        <v>0.20281605751947274</v>
      </c>
      <c r="L2090" s="5">
        <v>1.761533852606351E-2</v>
      </c>
    </row>
    <row r="2091" spans="7:12">
      <c r="G2091" t="s">
        <v>2681</v>
      </c>
      <c r="H2091" t="s">
        <v>436</v>
      </c>
      <c r="I2091" t="s">
        <v>103</v>
      </c>
      <c r="J2091" s="4">
        <v>4206</v>
      </c>
      <c r="K2091" s="5">
        <v>0.20280551592962434</v>
      </c>
      <c r="L2091" s="5">
        <v>1.331431288635283E-2</v>
      </c>
    </row>
    <row r="2092" spans="7:12">
      <c r="G2092" t="s">
        <v>2682</v>
      </c>
      <c r="H2092" t="s">
        <v>103</v>
      </c>
      <c r="I2092" t="s">
        <v>438</v>
      </c>
      <c r="J2092" s="4">
        <v>1727</v>
      </c>
      <c r="K2092" s="5">
        <v>0.2026635784597568</v>
      </c>
      <c r="L2092" s="5">
        <v>5.2113491603937466E-3</v>
      </c>
    </row>
    <row r="2093" spans="7:12">
      <c r="G2093" t="s">
        <v>2683</v>
      </c>
      <c r="H2093" t="s">
        <v>484</v>
      </c>
      <c r="I2093" t="s">
        <v>131</v>
      </c>
      <c r="J2093" s="4">
        <v>4728</v>
      </c>
      <c r="K2093" s="5">
        <v>0.20262267343485618</v>
      </c>
      <c r="L2093" s="5">
        <v>8.0372250423011837E-3</v>
      </c>
    </row>
    <row r="2094" spans="7:12">
      <c r="G2094" t="s">
        <v>2684</v>
      </c>
      <c r="H2094" t="s">
        <v>1195</v>
      </c>
      <c r="I2094" t="s">
        <v>103</v>
      </c>
      <c r="J2094" s="4">
        <v>1160</v>
      </c>
      <c r="K2094" s="5">
        <v>0.20258620689655171</v>
      </c>
      <c r="L2094" s="5">
        <v>4.3103448275862068E-3</v>
      </c>
    </row>
    <row r="2095" spans="7:12">
      <c r="G2095" t="s">
        <v>2685</v>
      </c>
      <c r="H2095" t="s">
        <v>175</v>
      </c>
      <c r="I2095" t="s">
        <v>377</v>
      </c>
      <c r="J2095" s="4">
        <v>2256</v>
      </c>
      <c r="K2095" s="5">
        <v>0.20257092198581561</v>
      </c>
      <c r="L2095" s="5">
        <v>1.2411347517730497E-2</v>
      </c>
    </row>
    <row r="2096" spans="7:12">
      <c r="G2096" t="s">
        <v>2686</v>
      </c>
      <c r="H2096" t="s">
        <v>377</v>
      </c>
      <c r="I2096" t="s">
        <v>103</v>
      </c>
      <c r="J2096" s="4">
        <v>18459</v>
      </c>
      <c r="K2096" s="5">
        <v>0.20255701825667696</v>
      </c>
      <c r="L2096" s="5">
        <v>9.968037271791538E-3</v>
      </c>
    </row>
    <row r="2097" spans="7:12">
      <c r="G2097" t="s">
        <v>2687</v>
      </c>
      <c r="H2097" t="s">
        <v>322</v>
      </c>
      <c r="I2097" t="s">
        <v>346</v>
      </c>
      <c r="J2097" s="4">
        <v>3767</v>
      </c>
      <c r="K2097" s="5">
        <v>0.20254844704008496</v>
      </c>
      <c r="L2097" s="5">
        <v>5.8401911335280061E-3</v>
      </c>
    </row>
    <row r="2098" spans="7:12">
      <c r="G2098" t="s">
        <v>2688</v>
      </c>
      <c r="H2098" t="s">
        <v>191</v>
      </c>
      <c r="I2098" t="s">
        <v>103</v>
      </c>
      <c r="J2098" s="4">
        <v>2276</v>
      </c>
      <c r="K2098" s="5">
        <v>0.20254833040421794</v>
      </c>
      <c r="L2098" s="5">
        <v>1.054481546572935E-2</v>
      </c>
    </row>
    <row r="2099" spans="7:12">
      <c r="G2099" t="s">
        <v>2689</v>
      </c>
      <c r="H2099" t="s">
        <v>189</v>
      </c>
      <c r="I2099" t="s">
        <v>331</v>
      </c>
      <c r="J2099" s="4">
        <v>1590</v>
      </c>
      <c r="K2099" s="5">
        <v>0.20251572327044026</v>
      </c>
      <c r="L2099" s="5">
        <v>5.6603773584905656E-3</v>
      </c>
    </row>
    <row r="2100" spans="7:12">
      <c r="G2100" t="s">
        <v>2690</v>
      </c>
      <c r="H2100" t="s">
        <v>100</v>
      </c>
      <c r="I2100" t="s">
        <v>509</v>
      </c>
      <c r="J2100" s="4">
        <v>2716</v>
      </c>
      <c r="K2100" s="5">
        <v>0.20250368188512519</v>
      </c>
      <c r="L2100" s="5">
        <v>2.0250368188512519E-2</v>
      </c>
    </row>
    <row r="2101" spans="7:12">
      <c r="G2101" t="s">
        <v>2691</v>
      </c>
      <c r="H2101" t="s">
        <v>162</v>
      </c>
      <c r="I2101" t="s">
        <v>331</v>
      </c>
      <c r="J2101" s="4">
        <v>5378</v>
      </c>
      <c r="K2101" s="5">
        <v>0.20249163257716624</v>
      </c>
      <c r="L2101" s="5">
        <v>1.5991074748977315E-2</v>
      </c>
    </row>
    <row r="2102" spans="7:12">
      <c r="G2102" t="s">
        <v>2692</v>
      </c>
      <c r="H2102" t="s">
        <v>134</v>
      </c>
      <c r="I2102" t="s">
        <v>221</v>
      </c>
      <c r="J2102" s="4">
        <v>9275</v>
      </c>
      <c r="K2102" s="5">
        <v>0.20247978436657682</v>
      </c>
      <c r="L2102" s="5">
        <v>1.6388140161725066E-2</v>
      </c>
    </row>
    <row r="2103" spans="7:12">
      <c r="G2103" t="s">
        <v>2693</v>
      </c>
      <c r="H2103" t="s">
        <v>129</v>
      </c>
      <c r="I2103" t="s">
        <v>85</v>
      </c>
      <c r="J2103" s="4">
        <v>3631</v>
      </c>
      <c r="K2103" s="5">
        <v>0.20242357477278985</v>
      </c>
      <c r="L2103" s="5">
        <v>1.5422748554117323E-2</v>
      </c>
    </row>
    <row r="2104" spans="7:12">
      <c r="G2104" t="s">
        <v>2694</v>
      </c>
      <c r="H2104" t="s">
        <v>218</v>
      </c>
      <c r="I2104" t="s">
        <v>160</v>
      </c>
      <c r="J2104" s="4">
        <v>10525</v>
      </c>
      <c r="K2104" s="5">
        <v>0.20237529691211401</v>
      </c>
      <c r="L2104" s="5">
        <v>1.1021377672209027E-2</v>
      </c>
    </row>
    <row r="2105" spans="7:12">
      <c r="G2105" t="s">
        <v>2695</v>
      </c>
      <c r="H2105" t="s">
        <v>100</v>
      </c>
      <c r="I2105" t="s">
        <v>178</v>
      </c>
      <c r="J2105" s="4">
        <v>3291</v>
      </c>
      <c r="K2105" s="5">
        <v>0.2023701002734731</v>
      </c>
      <c r="L2105" s="5">
        <v>1.2154360376785172E-2</v>
      </c>
    </row>
    <row r="2106" spans="7:12">
      <c r="G2106" t="s">
        <v>2696</v>
      </c>
      <c r="H2106" t="s">
        <v>326</v>
      </c>
      <c r="I2106" t="s">
        <v>136</v>
      </c>
      <c r="J2106" s="4">
        <v>9068</v>
      </c>
      <c r="K2106" s="5">
        <v>0.20235994706660784</v>
      </c>
      <c r="L2106" s="5">
        <v>8.4913983237759148E-3</v>
      </c>
    </row>
    <row r="2107" spans="7:12">
      <c r="G2107" t="s">
        <v>2697</v>
      </c>
      <c r="H2107" t="s">
        <v>252</v>
      </c>
      <c r="I2107" t="s">
        <v>202</v>
      </c>
      <c r="J2107" s="4">
        <v>3899</v>
      </c>
      <c r="K2107" s="5">
        <v>0.20235957937932803</v>
      </c>
      <c r="L2107" s="5">
        <v>1.5132085150038471E-2</v>
      </c>
    </row>
    <row r="2108" spans="7:12">
      <c r="G2108" t="s">
        <v>2698</v>
      </c>
      <c r="H2108" t="s">
        <v>100</v>
      </c>
      <c r="I2108" t="s">
        <v>459</v>
      </c>
      <c r="J2108" s="4">
        <v>6103</v>
      </c>
      <c r="K2108" s="5">
        <v>0.20235949533016548</v>
      </c>
      <c r="L2108" s="5">
        <v>1.2780599705063084E-2</v>
      </c>
    </row>
    <row r="2109" spans="7:12">
      <c r="G2109" t="s">
        <v>2699</v>
      </c>
      <c r="H2109" t="s">
        <v>519</v>
      </c>
      <c r="I2109" t="s">
        <v>226</v>
      </c>
      <c r="J2109" s="4">
        <v>2847</v>
      </c>
      <c r="K2109" s="5">
        <v>0.20231822971548999</v>
      </c>
      <c r="L2109" s="5">
        <v>9.8349139445029852E-3</v>
      </c>
    </row>
    <row r="2110" spans="7:12">
      <c r="G2110" t="s">
        <v>2700</v>
      </c>
      <c r="H2110" t="s">
        <v>322</v>
      </c>
      <c r="I2110" t="s">
        <v>118</v>
      </c>
      <c r="J2110" s="4">
        <v>16106</v>
      </c>
      <c r="K2110" s="5">
        <v>0.20228486278405564</v>
      </c>
      <c r="L2110" s="5">
        <v>1.5460076989941637E-2</v>
      </c>
    </row>
    <row r="2111" spans="7:12">
      <c r="G2111" t="s">
        <v>2701</v>
      </c>
      <c r="H2111" t="s">
        <v>428</v>
      </c>
      <c r="I2111" t="s">
        <v>89</v>
      </c>
      <c r="J2111" s="4">
        <v>1760</v>
      </c>
      <c r="K2111" s="5">
        <v>0.20227272727272727</v>
      </c>
      <c r="L2111" s="5">
        <v>1.6477272727272726E-2</v>
      </c>
    </row>
    <row r="2112" spans="7:12">
      <c r="G2112" t="s">
        <v>2702</v>
      </c>
      <c r="H2112" t="s">
        <v>368</v>
      </c>
      <c r="I2112" t="s">
        <v>137</v>
      </c>
      <c r="J2112" s="4">
        <v>1419</v>
      </c>
      <c r="K2112" s="5">
        <v>0.20225510923185341</v>
      </c>
      <c r="L2112" s="5">
        <v>3.1712473572938688E-2</v>
      </c>
    </row>
    <row r="2113" spans="7:12">
      <c r="G2113" t="s">
        <v>2703</v>
      </c>
      <c r="H2113" t="s">
        <v>352</v>
      </c>
      <c r="I2113" t="s">
        <v>408</v>
      </c>
      <c r="J2113" s="4">
        <v>1162</v>
      </c>
      <c r="K2113" s="5">
        <v>0.20223752151462995</v>
      </c>
      <c r="L2113" s="5">
        <v>2.5817555938037868E-3</v>
      </c>
    </row>
    <row r="2114" spans="7:12">
      <c r="G2114" t="s">
        <v>2704</v>
      </c>
      <c r="H2114" t="s">
        <v>2705</v>
      </c>
      <c r="I2114" t="s">
        <v>218</v>
      </c>
      <c r="J2114" s="4">
        <v>1523</v>
      </c>
      <c r="K2114" s="5">
        <v>0.20223243598161522</v>
      </c>
      <c r="L2114" s="5">
        <v>3.2829940906106371E-3</v>
      </c>
    </row>
    <row r="2115" spans="7:12">
      <c r="G2115" t="s">
        <v>2706</v>
      </c>
      <c r="H2115" t="s">
        <v>189</v>
      </c>
      <c r="I2115" t="s">
        <v>370</v>
      </c>
      <c r="J2115" s="4">
        <v>12408</v>
      </c>
      <c r="K2115" s="5">
        <v>0.20220825274016763</v>
      </c>
      <c r="L2115" s="5">
        <v>7.7369439071566732E-3</v>
      </c>
    </row>
    <row r="2116" spans="7:12">
      <c r="G2116" t="s">
        <v>2707</v>
      </c>
      <c r="H2116" t="s">
        <v>254</v>
      </c>
      <c r="I2116" t="s">
        <v>140</v>
      </c>
      <c r="J2116" s="4">
        <v>6266</v>
      </c>
      <c r="K2116" s="5">
        <v>0.2022023619533993</v>
      </c>
      <c r="L2116" s="5">
        <v>2.5215448451962975E-2</v>
      </c>
    </row>
    <row r="2117" spans="7:12">
      <c r="G2117" t="s">
        <v>2708</v>
      </c>
      <c r="H2117" t="s">
        <v>149</v>
      </c>
      <c r="I2117" t="s">
        <v>326</v>
      </c>
      <c r="J2117" s="4">
        <v>7958</v>
      </c>
      <c r="K2117" s="5">
        <v>0.20218647901482784</v>
      </c>
      <c r="L2117" s="5">
        <v>1.206333249560191E-2</v>
      </c>
    </row>
    <row r="2118" spans="7:12">
      <c r="G2118" t="s">
        <v>2709</v>
      </c>
      <c r="H2118" t="s">
        <v>149</v>
      </c>
      <c r="I2118" t="s">
        <v>273</v>
      </c>
      <c r="J2118" s="4">
        <v>2399</v>
      </c>
      <c r="K2118" s="5">
        <v>0.20216756982075865</v>
      </c>
      <c r="L2118" s="5">
        <v>3.2096706961233845E-2</v>
      </c>
    </row>
    <row r="2119" spans="7:12">
      <c r="G2119" t="s">
        <v>2710</v>
      </c>
      <c r="H2119" t="s">
        <v>149</v>
      </c>
      <c r="I2119" t="s">
        <v>221</v>
      </c>
      <c r="J2119" s="4">
        <v>3538</v>
      </c>
      <c r="K2119" s="5">
        <v>0.20209157716223855</v>
      </c>
      <c r="L2119" s="5">
        <v>2.1763708309779535E-2</v>
      </c>
    </row>
    <row r="2120" spans="7:12">
      <c r="G2120" t="s">
        <v>2711</v>
      </c>
      <c r="H2120" t="s">
        <v>422</v>
      </c>
      <c r="I2120" t="s">
        <v>131</v>
      </c>
      <c r="J2120" s="4">
        <v>2623</v>
      </c>
      <c r="K2120" s="5">
        <v>0.20205871139916126</v>
      </c>
      <c r="L2120" s="5">
        <v>4.5749142203583681E-3</v>
      </c>
    </row>
    <row r="2121" spans="7:12">
      <c r="G2121" t="s">
        <v>2712</v>
      </c>
      <c r="H2121" t="s">
        <v>268</v>
      </c>
      <c r="I2121" t="s">
        <v>95</v>
      </c>
      <c r="J2121" s="4">
        <v>6028</v>
      </c>
      <c r="K2121" s="5">
        <v>0.20205706702057066</v>
      </c>
      <c r="L2121" s="5">
        <v>1.3105507631055077E-2</v>
      </c>
    </row>
    <row r="2122" spans="7:12">
      <c r="G2122" t="s">
        <v>2713</v>
      </c>
      <c r="H2122" t="s">
        <v>322</v>
      </c>
      <c r="I2122" t="s">
        <v>202</v>
      </c>
      <c r="J2122" s="4">
        <v>7122</v>
      </c>
      <c r="K2122" s="5">
        <v>0.20204998595900028</v>
      </c>
      <c r="L2122" s="5">
        <v>1.5585509688289806E-2</v>
      </c>
    </row>
    <row r="2123" spans="7:12">
      <c r="G2123" t="s">
        <v>2714</v>
      </c>
      <c r="H2123" t="s">
        <v>434</v>
      </c>
      <c r="I2123" t="s">
        <v>131</v>
      </c>
      <c r="J2123" s="4">
        <v>5880</v>
      </c>
      <c r="K2123" s="5">
        <v>0.20204081632653062</v>
      </c>
      <c r="L2123" s="5">
        <v>6.2925170068027208E-3</v>
      </c>
    </row>
    <row r="2124" spans="7:12">
      <c r="G2124" t="s">
        <v>2715</v>
      </c>
      <c r="H2124" t="s">
        <v>408</v>
      </c>
      <c r="I2124" t="s">
        <v>326</v>
      </c>
      <c r="J2124" s="4">
        <v>4544</v>
      </c>
      <c r="K2124" s="5">
        <v>0.20202464788732394</v>
      </c>
      <c r="L2124" s="5">
        <v>2.4207746478873238E-3</v>
      </c>
    </row>
    <row r="2125" spans="7:12">
      <c r="G2125" t="s">
        <v>2716</v>
      </c>
      <c r="H2125" t="s">
        <v>215</v>
      </c>
      <c r="I2125" t="s">
        <v>455</v>
      </c>
      <c r="J2125" s="4">
        <v>12511</v>
      </c>
      <c r="K2125" s="5">
        <v>0.20198225561505875</v>
      </c>
      <c r="L2125" s="5">
        <v>3.8366237710814482E-3</v>
      </c>
    </row>
    <row r="2126" spans="7:12">
      <c r="G2126" t="s">
        <v>2717</v>
      </c>
      <c r="H2126" t="s">
        <v>342</v>
      </c>
      <c r="I2126" t="s">
        <v>85</v>
      </c>
      <c r="J2126" s="4">
        <v>2501</v>
      </c>
      <c r="K2126" s="5">
        <v>0.20191923230707717</v>
      </c>
      <c r="L2126" s="5">
        <v>1.479408236705318E-2</v>
      </c>
    </row>
    <row r="2127" spans="7:12">
      <c r="G2127" t="s">
        <v>2718</v>
      </c>
      <c r="H2127" t="s">
        <v>160</v>
      </c>
      <c r="I2127" t="s">
        <v>432</v>
      </c>
      <c r="J2127" s="4">
        <v>4879</v>
      </c>
      <c r="K2127" s="5">
        <v>0.20188563230170117</v>
      </c>
      <c r="L2127" s="5">
        <v>1.209264193482271E-2</v>
      </c>
    </row>
    <row r="2128" spans="7:12">
      <c r="G2128" t="s">
        <v>2719</v>
      </c>
      <c r="H2128" t="s">
        <v>149</v>
      </c>
      <c r="I2128" t="s">
        <v>252</v>
      </c>
      <c r="J2128" s="4">
        <v>11056</v>
      </c>
      <c r="K2128" s="5">
        <v>0.20188133140376266</v>
      </c>
      <c r="L2128" s="5">
        <v>3.2923299565846602E-2</v>
      </c>
    </row>
    <row r="2129" spans="7:12">
      <c r="G2129" t="s">
        <v>2720</v>
      </c>
      <c r="H2129" t="s">
        <v>412</v>
      </c>
      <c r="I2129" t="s">
        <v>89</v>
      </c>
      <c r="J2129" s="4">
        <v>4290</v>
      </c>
      <c r="K2129" s="5">
        <v>0.20186480186480185</v>
      </c>
      <c r="L2129" s="5">
        <v>1.8881118881118882E-2</v>
      </c>
    </row>
    <row r="2130" spans="7:12">
      <c r="G2130" t="s">
        <v>2721</v>
      </c>
      <c r="H2130" t="s">
        <v>103</v>
      </c>
      <c r="I2130" t="s">
        <v>486</v>
      </c>
      <c r="J2130" s="4">
        <v>1090</v>
      </c>
      <c r="K2130" s="5">
        <v>0.20183486238532111</v>
      </c>
      <c r="L2130" s="5">
        <v>1.3761467889908258E-2</v>
      </c>
    </row>
    <row r="2131" spans="7:12">
      <c r="G2131" t="s">
        <v>2722</v>
      </c>
      <c r="H2131" t="s">
        <v>233</v>
      </c>
      <c r="I2131" t="s">
        <v>503</v>
      </c>
      <c r="J2131" s="4">
        <v>1105</v>
      </c>
      <c r="K2131" s="5">
        <v>0.20180995475113123</v>
      </c>
      <c r="L2131" s="5">
        <v>2.7149321266968325E-3</v>
      </c>
    </row>
    <row r="2132" spans="7:12">
      <c r="G2132" t="s">
        <v>2723</v>
      </c>
      <c r="H2132" t="s">
        <v>340</v>
      </c>
      <c r="I2132" t="s">
        <v>204</v>
      </c>
      <c r="J2132" s="4">
        <v>3216</v>
      </c>
      <c r="K2132" s="5">
        <v>0.20180348258706468</v>
      </c>
      <c r="L2132" s="5">
        <v>2.9228855721393034E-2</v>
      </c>
    </row>
    <row r="2133" spans="7:12">
      <c r="G2133" t="s">
        <v>2724</v>
      </c>
      <c r="H2133" t="s">
        <v>326</v>
      </c>
      <c r="I2133" t="s">
        <v>525</v>
      </c>
      <c r="J2133" s="4">
        <v>1155</v>
      </c>
      <c r="K2133" s="5">
        <v>0.20173160173160173</v>
      </c>
      <c r="L2133" s="5">
        <v>8.658008658008658E-4</v>
      </c>
    </row>
    <row r="2134" spans="7:12">
      <c r="G2134" t="s">
        <v>2725</v>
      </c>
      <c r="H2134" t="s">
        <v>334</v>
      </c>
      <c r="I2134" t="s">
        <v>100</v>
      </c>
      <c r="J2134" s="4">
        <v>5503</v>
      </c>
      <c r="K2134" s="5">
        <v>0.2017081591858986</v>
      </c>
      <c r="L2134" s="5">
        <v>1.889878248228239E-2</v>
      </c>
    </row>
    <row r="2135" spans="7:12">
      <c r="G2135" t="s">
        <v>2726</v>
      </c>
      <c r="H2135" t="s">
        <v>103</v>
      </c>
      <c r="I2135" t="s">
        <v>2727</v>
      </c>
      <c r="J2135" s="4">
        <v>1056</v>
      </c>
      <c r="K2135" s="5">
        <v>0.20170454545454544</v>
      </c>
      <c r="L2135" s="5">
        <v>1.5151515151515152E-2</v>
      </c>
    </row>
    <row r="2136" spans="7:12">
      <c r="G2136" t="s">
        <v>2728</v>
      </c>
      <c r="H2136" t="s">
        <v>455</v>
      </c>
      <c r="I2136" t="s">
        <v>404</v>
      </c>
      <c r="J2136" s="4">
        <v>1414</v>
      </c>
      <c r="K2136" s="5">
        <v>0.20155586987270155</v>
      </c>
      <c r="L2136" s="5">
        <v>3.5360678925035359E-3</v>
      </c>
    </row>
    <row r="2137" spans="7:12">
      <c r="G2137" t="s">
        <v>2729</v>
      </c>
      <c r="H2137" t="s">
        <v>89</v>
      </c>
      <c r="I2137" t="s">
        <v>447</v>
      </c>
      <c r="J2137" s="4">
        <v>3220</v>
      </c>
      <c r="K2137" s="5">
        <v>0.20155279503105589</v>
      </c>
      <c r="L2137" s="5">
        <v>2.888198757763975E-2</v>
      </c>
    </row>
    <row r="2138" spans="7:12">
      <c r="G2138" t="s">
        <v>2730</v>
      </c>
      <c r="H2138" t="s">
        <v>268</v>
      </c>
      <c r="I2138" t="s">
        <v>326</v>
      </c>
      <c r="J2138" s="4">
        <v>6103</v>
      </c>
      <c r="K2138" s="5">
        <v>0.20154022611830247</v>
      </c>
      <c r="L2138" s="5">
        <v>7.2095690643945599E-3</v>
      </c>
    </row>
    <row r="2139" spans="7:12">
      <c r="G2139" t="s">
        <v>2731</v>
      </c>
      <c r="H2139" t="s">
        <v>466</v>
      </c>
      <c r="I2139" t="s">
        <v>89</v>
      </c>
      <c r="J2139" s="4">
        <v>7111</v>
      </c>
      <c r="K2139" s="5">
        <v>0.20151877373083954</v>
      </c>
      <c r="L2139" s="5">
        <v>2.0812825200393757E-2</v>
      </c>
    </row>
    <row r="2140" spans="7:12">
      <c r="G2140" t="s">
        <v>2732</v>
      </c>
      <c r="H2140" t="s">
        <v>240</v>
      </c>
      <c r="I2140" t="s">
        <v>100</v>
      </c>
      <c r="J2140" s="4">
        <v>5246</v>
      </c>
      <c r="K2140" s="5">
        <v>0.20148684712161646</v>
      </c>
      <c r="L2140" s="5">
        <v>9.3404498665650027E-3</v>
      </c>
    </row>
    <row r="2141" spans="7:12">
      <c r="G2141" t="s">
        <v>2733</v>
      </c>
      <c r="H2141" t="s">
        <v>347</v>
      </c>
      <c r="I2141" t="s">
        <v>100</v>
      </c>
      <c r="J2141" s="4">
        <v>3162</v>
      </c>
      <c r="K2141" s="5">
        <v>0.20145477545857052</v>
      </c>
      <c r="L2141" s="5">
        <v>1.0120177103099304E-2</v>
      </c>
    </row>
    <row r="2142" spans="7:12">
      <c r="G2142" t="s">
        <v>2734</v>
      </c>
      <c r="H2142" t="s">
        <v>352</v>
      </c>
      <c r="I2142" t="s">
        <v>131</v>
      </c>
      <c r="J2142" s="4">
        <v>6097</v>
      </c>
      <c r="K2142" s="5">
        <v>0.20141052976873872</v>
      </c>
      <c r="L2142" s="5">
        <v>7.5446941118582911E-3</v>
      </c>
    </row>
    <row r="2143" spans="7:12">
      <c r="G2143" t="s">
        <v>2735</v>
      </c>
      <c r="H2143" t="s">
        <v>259</v>
      </c>
      <c r="I2143" t="s">
        <v>420</v>
      </c>
      <c r="J2143" s="4">
        <v>2011</v>
      </c>
      <c r="K2143" s="5">
        <v>0.20139234211834908</v>
      </c>
      <c r="L2143" s="5">
        <v>3.1327697662854301E-2</v>
      </c>
    </row>
    <row r="2144" spans="7:12">
      <c r="G2144" t="s">
        <v>2736</v>
      </c>
      <c r="H2144" t="s">
        <v>131</v>
      </c>
      <c r="I2144" t="s">
        <v>137</v>
      </c>
      <c r="J2144" s="4">
        <v>4951</v>
      </c>
      <c r="K2144" s="5">
        <v>0.20137345990708946</v>
      </c>
      <c r="L2144" s="5">
        <v>1.2926681478489193E-2</v>
      </c>
    </row>
    <row r="2145" spans="7:12">
      <c r="G2145" t="s">
        <v>2737</v>
      </c>
      <c r="H2145" t="s">
        <v>455</v>
      </c>
      <c r="I2145" t="s">
        <v>131</v>
      </c>
      <c r="J2145" s="4">
        <v>16327</v>
      </c>
      <c r="K2145" s="5">
        <v>0.20132296196484351</v>
      </c>
      <c r="L2145" s="5">
        <v>1.0044711214552582E-2</v>
      </c>
    </row>
    <row r="2146" spans="7:12">
      <c r="G2146" t="s">
        <v>2738</v>
      </c>
      <c r="H2146" t="s">
        <v>140</v>
      </c>
      <c r="I2146" t="s">
        <v>297</v>
      </c>
      <c r="J2146" s="4">
        <v>2782</v>
      </c>
      <c r="K2146" s="5">
        <v>0.20129403306973401</v>
      </c>
      <c r="L2146" s="5">
        <v>4.708842559309849E-2</v>
      </c>
    </row>
    <row r="2147" spans="7:12">
      <c r="G2147" t="s">
        <v>2739</v>
      </c>
      <c r="H2147" t="s">
        <v>347</v>
      </c>
      <c r="I2147" t="s">
        <v>204</v>
      </c>
      <c r="J2147" s="4">
        <v>3254</v>
      </c>
      <c r="K2147" s="5">
        <v>0.20129071911493546</v>
      </c>
      <c r="L2147" s="5">
        <v>2.9194837123540259E-2</v>
      </c>
    </row>
    <row r="2148" spans="7:12">
      <c r="G2148" t="s">
        <v>2740</v>
      </c>
      <c r="H2148" t="s">
        <v>215</v>
      </c>
      <c r="I2148" t="s">
        <v>497</v>
      </c>
      <c r="J2148" s="4">
        <v>3140</v>
      </c>
      <c r="K2148" s="5">
        <v>0.20127388535031848</v>
      </c>
      <c r="L2148" s="5">
        <v>3.5031847133757963E-3</v>
      </c>
    </row>
    <row r="2149" spans="7:12">
      <c r="G2149" t="s">
        <v>2741</v>
      </c>
      <c r="H2149" t="s">
        <v>322</v>
      </c>
      <c r="I2149" t="s">
        <v>2742</v>
      </c>
      <c r="J2149" s="4">
        <v>2271</v>
      </c>
      <c r="K2149" s="5">
        <v>0.20123293703214443</v>
      </c>
      <c r="L2149" s="5">
        <v>5.2840158520475562E-3</v>
      </c>
    </row>
    <row r="2150" spans="7:12">
      <c r="G2150" t="s">
        <v>2743</v>
      </c>
      <c r="H2150" t="s">
        <v>202</v>
      </c>
      <c r="I2150" t="s">
        <v>414</v>
      </c>
      <c r="J2150" s="4">
        <v>2674</v>
      </c>
      <c r="K2150" s="5">
        <v>0.20119670905011219</v>
      </c>
      <c r="L2150" s="5">
        <v>1.4210919970082274E-2</v>
      </c>
    </row>
    <row r="2151" spans="7:12">
      <c r="G2151" t="s">
        <v>2744</v>
      </c>
      <c r="H2151" t="s">
        <v>430</v>
      </c>
      <c r="I2151" t="s">
        <v>118</v>
      </c>
      <c r="J2151" s="4">
        <v>2903</v>
      </c>
      <c r="K2151" s="5">
        <v>0.2011712022046159</v>
      </c>
      <c r="L2151" s="5">
        <v>1.8945918015845678E-2</v>
      </c>
    </row>
    <row r="2152" spans="7:12">
      <c r="G2152" t="s">
        <v>2745</v>
      </c>
      <c r="H2152" t="s">
        <v>449</v>
      </c>
      <c r="I2152" t="s">
        <v>149</v>
      </c>
      <c r="J2152" s="4">
        <v>2918</v>
      </c>
      <c r="K2152" s="5">
        <v>0.2011651816312543</v>
      </c>
      <c r="L2152" s="5">
        <v>1.6792323509252912E-2</v>
      </c>
    </row>
    <row r="2153" spans="7:12">
      <c r="G2153" t="s">
        <v>2746</v>
      </c>
      <c r="H2153" t="s">
        <v>103</v>
      </c>
      <c r="I2153" t="s">
        <v>175</v>
      </c>
      <c r="J2153" s="4">
        <v>3779</v>
      </c>
      <c r="K2153" s="5">
        <v>0.20111140513363324</v>
      </c>
      <c r="L2153" s="5">
        <v>1.5347975654935168E-2</v>
      </c>
    </row>
    <row r="2154" spans="7:12">
      <c r="G2154" t="s">
        <v>2747</v>
      </c>
      <c r="H2154" t="s">
        <v>254</v>
      </c>
      <c r="I2154" t="s">
        <v>118</v>
      </c>
      <c r="J2154" s="4">
        <v>8268</v>
      </c>
      <c r="K2154" s="5">
        <v>0.20101596516690856</v>
      </c>
      <c r="L2154" s="5">
        <v>1.4392839864537977E-2</v>
      </c>
    </row>
    <row r="2155" spans="7:12">
      <c r="G2155" t="s">
        <v>2748</v>
      </c>
      <c r="H2155" t="s">
        <v>362</v>
      </c>
      <c r="I2155" t="s">
        <v>131</v>
      </c>
      <c r="J2155" s="4">
        <v>12577</v>
      </c>
      <c r="K2155" s="5">
        <v>0.20100182873499245</v>
      </c>
      <c r="L2155" s="5">
        <v>1.3914287986006201E-2</v>
      </c>
    </row>
    <row r="2156" spans="7:12">
      <c r="G2156" t="s">
        <v>2749</v>
      </c>
      <c r="H2156" t="s">
        <v>204</v>
      </c>
      <c r="I2156" t="s">
        <v>301</v>
      </c>
      <c r="J2156" s="4">
        <v>3229</v>
      </c>
      <c r="K2156" s="5">
        <v>0.20099101889129761</v>
      </c>
      <c r="L2156" s="5">
        <v>3.2827500774233506E-2</v>
      </c>
    </row>
    <row r="2157" spans="7:12">
      <c r="G2157" t="s">
        <v>2750</v>
      </c>
      <c r="H2157" t="s">
        <v>326</v>
      </c>
      <c r="I2157" t="s">
        <v>245</v>
      </c>
      <c r="J2157" s="4">
        <v>1752</v>
      </c>
      <c r="K2157" s="5">
        <v>0.20091324200913241</v>
      </c>
      <c r="L2157" s="5">
        <v>1.1415525114155251E-2</v>
      </c>
    </row>
    <row r="2158" spans="7:12">
      <c r="G2158" t="s">
        <v>2751</v>
      </c>
      <c r="H2158" t="s">
        <v>315</v>
      </c>
      <c r="I2158" t="s">
        <v>103</v>
      </c>
      <c r="J2158" s="4">
        <v>2429</v>
      </c>
      <c r="K2158" s="5">
        <v>0.20090572251955538</v>
      </c>
      <c r="L2158" s="5">
        <v>1.9349526554137506E-2</v>
      </c>
    </row>
    <row r="2159" spans="7:12">
      <c r="G2159" t="s">
        <v>2752</v>
      </c>
      <c r="H2159" t="s">
        <v>269</v>
      </c>
      <c r="I2159" t="s">
        <v>100</v>
      </c>
      <c r="J2159" s="4">
        <v>7731</v>
      </c>
      <c r="K2159" s="5">
        <v>0.20087957573405768</v>
      </c>
      <c r="L2159" s="5">
        <v>1.3064286638209804E-2</v>
      </c>
    </row>
    <row r="2160" spans="7:12">
      <c r="G2160" t="s">
        <v>2753</v>
      </c>
      <c r="H2160" t="s">
        <v>372</v>
      </c>
      <c r="I2160" t="s">
        <v>103</v>
      </c>
      <c r="J2160" s="4">
        <v>3764</v>
      </c>
      <c r="K2160" s="5">
        <v>0.20085015940488843</v>
      </c>
      <c r="L2160" s="5">
        <v>8.5015940488841653E-3</v>
      </c>
    </row>
    <row r="2161" spans="7:12">
      <c r="G2161" t="s">
        <v>2754</v>
      </c>
      <c r="H2161" t="s">
        <v>329</v>
      </c>
      <c r="I2161" t="s">
        <v>218</v>
      </c>
      <c r="J2161" s="4">
        <v>1668</v>
      </c>
      <c r="K2161" s="5">
        <v>0.20083932853717026</v>
      </c>
      <c r="L2161" s="5">
        <v>1.1990407673860911E-2</v>
      </c>
    </row>
    <row r="2162" spans="7:12">
      <c r="G2162" t="s">
        <v>2755</v>
      </c>
      <c r="H2162" t="s">
        <v>226</v>
      </c>
      <c r="I2162" t="s">
        <v>118</v>
      </c>
      <c r="J2162" s="4">
        <v>15118</v>
      </c>
      <c r="K2162" s="5">
        <v>0.20068792168276228</v>
      </c>
      <c r="L2162" s="5">
        <v>1.0715703135335361E-2</v>
      </c>
    </row>
    <row r="2163" spans="7:12">
      <c r="G2163" t="s">
        <v>2756</v>
      </c>
      <c r="H2163" t="s">
        <v>352</v>
      </c>
      <c r="I2163" t="s">
        <v>189</v>
      </c>
      <c r="J2163" s="4">
        <v>2706</v>
      </c>
      <c r="K2163" s="5">
        <v>0.20066518847006651</v>
      </c>
      <c r="L2163" s="5">
        <v>8.130081300813009E-3</v>
      </c>
    </row>
    <row r="2164" spans="7:12">
      <c r="G2164" t="s">
        <v>2757</v>
      </c>
      <c r="H2164" t="s">
        <v>342</v>
      </c>
      <c r="I2164" t="s">
        <v>204</v>
      </c>
      <c r="J2164" s="4">
        <v>5368</v>
      </c>
      <c r="K2164" s="5">
        <v>0.20063338301043218</v>
      </c>
      <c r="L2164" s="5">
        <v>3.4649776453055142E-2</v>
      </c>
    </row>
    <row r="2165" spans="7:12">
      <c r="G2165" t="s">
        <v>2758</v>
      </c>
      <c r="H2165" t="s">
        <v>204</v>
      </c>
      <c r="I2165" t="s">
        <v>406</v>
      </c>
      <c r="J2165" s="4">
        <v>1934</v>
      </c>
      <c r="K2165" s="5">
        <v>0.20062047569803515</v>
      </c>
      <c r="L2165" s="5">
        <v>1.0341261633919338E-2</v>
      </c>
    </row>
    <row r="2166" spans="7:12">
      <c r="G2166" t="s">
        <v>2759</v>
      </c>
      <c r="H2166" t="s">
        <v>103</v>
      </c>
      <c r="I2166" t="s">
        <v>305</v>
      </c>
      <c r="J2166" s="4">
        <v>3634</v>
      </c>
      <c r="K2166" s="5">
        <v>0.20060539350577875</v>
      </c>
      <c r="L2166" s="5">
        <v>7.980187121629059E-3</v>
      </c>
    </row>
    <row r="2167" spans="7:12">
      <c r="G2167" t="s">
        <v>2760</v>
      </c>
      <c r="H2167" t="s">
        <v>254</v>
      </c>
      <c r="I2167" t="s">
        <v>103</v>
      </c>
      <c r="J2167" s="4">
        <v>2672</v>
      </c>
      <c r="K2167" s="5">
        <v>0.20059880239520958</v>
      </c>
      <c r="L2167" s="5">
        <v>1.4221556886227544E-2</v>
      </c>
    </row>
    <row r="2168" spans="7:12">
      <c r="G2168" t="s">
        <v>2761</v>
      </c>
      <c r="H2168" t="s">
        <v>278</v>
      </c>
      <c r="I2168" t="s">
        <v>215</v>
      </c>
      <c r="J2168" s="4">
        <v>1022</v>
      </c>
      <c r="K2168" s="5">
        <v>0.20058708414872797</v>
      </c>
      <c r="L2168" s="5">
        <v>8.8062622309197647E-3</v>
      </c>
    </row>
    <row r="2169" spans="7:12">
      <c r="G2169" t="s">
        <v>2762</v>
      </c>
      <c r="H2169" t="s">
        <v>202</v>
      </c>
      <c r="I2169" t="s">
        <v>408</v>
      </c>
      <c r="J2169" s="4">
        <v>3565</v>
      </c>
      <c r="K2169" s="5">
        <v>0.2005610098176718</v>
      </c>
      <c r="L2169" s="5">
        <v>1.7110799438990184E-2</v>
      </c>
    </row>
    <row r="2170" spans="7:12">
      <c r="G2170" t="s">
        <v>2763</v>
      </c>
      <c r="H2170" t="s">
        <v>210</v>
      </c>
      <c r="I2170" t="s">
        <v>118</v>
      </c>
      <c r="J2170" s="4">
        <v>3097</v>
      </c>
      <c r="K2170" s="5">
        <v>0.20051662899580239</v>
      </c>
      <c r="L2170" s="5">
        <v>1.2269938650306749E-2</v>
      </c>
    </row>
    <row r="2171" spans="7:12">
      <c r="G2171" t="s">
        <v>2764</v>
      </c>
      <c r="H2171" t="s">
        <v>136</v>
      </c>
      <c r="I2171" t="s">
        <v>291</v>
      </c>
      <c r="J2171" s="4">
        <v>1192</v>
      </c>
      <c r="K2171" s="5">
        <v>0.20050335570469799</v>
      </c>
      <c r="L2171" s="5">
        <v>5.0335570469798654E-3</v>
      </c>
    </row>
    <row r="2172" spans="7:12">
      <c r="G2172" t="s">
        <v>2765</v>
      </c>
      <c r="H2172" t="s">
        <v>118</v>
      </c>
      <c r="I2172" t="s">
        <v>254</v>
      </c>
      <c r="J2172" s="4">
        <v>8276</v>
      </c>
      <c r="K2172" s="5">
        <v>0.20045915901401642</v>
      </c>
      <c r="L2172" s="5">
        <v>1.3412276462058966E-2</v>
      </c>
    </row>
    <row r="2173" spans="7:12">
      <c r="G2173" t="s">
        <v>2766</v>
      </c>
      <c r="H2173" t="s">
        <v>326</v>
      </c>
      <c r="I2173" t="s">
        <v>89</v>
      </c>
      <c r="J2173" s="4">
        <v>15118</v>
      </c>
      <c r="K2173" s="5">
        <v>0.20035719010451117</v>
      </c>
      <c r="L2173" s="5">
        <v>1.5345945230850642E-2</v>
      </c>
    </row>
    <row r="2174" spans="7:12">
      <c r="G2174" t="s">
        <v>2767</v>
      </c>
      <c r="H2174" t="s">
        <v>189</v>
      </c>
      <c r="I2174" t="s">
        <v>103</v>
      </c>
      <c r="J2174" s="4">
        <v>14005</v>
      </c>
      <c r="K2174" s="5">
        <v>0.20035701535166012</v>
      </c>
      <c r="L2174" s="5">
        <v>1.035344519814352E-2</v>
      </c>
    </row>
    <row r="2175" spans="7:12">
      <c r="G2175" t="s">
        <v>2768</v>
      </c>
      <c r="H2175" t="s">
        <v>123</v>
      </c>
      <c r="I2175" t="s">
        <v>89</v>
      </c>
      <c r="J2175" s="4">
        <v>2970</v>
      </c>
      <c r="K2175" s="5">
        <v>0.20033670033670034</v>
      </c>
      <c r="L2175" s="5">
        <v>1.2121212121212121E-2</v>
      </c>
    </row>
    <row r="2176" spans="7:12">
      <c r="G2176" t="s">
        <v>2769</v>
      </c>
      <c r="H2176" t="s">
        <v>172</v>
      </c>
      <c r="I2176" t="s">
        <v>218</v>
      </c>
      <c r="J2176" s="4">
        <v>1847</v>
      </c>
      <c r="K2176" s="5">
        <v>0.20032485110990797</v>
      </c>
      <c r="L2176" s="5">
        <v>9.7455332972387655E-3</v>
      </c>
    </row>
    <row r="2177" spans="7:12">
      <c r="G2177" t="s">
        <v>2770</v>
      </c>
      <c r="H2177" t="s">
        <v>416</v>
      </c>
      <c r="I2177" t="s">
        <v>202</v>
      </c>
      <c r="J2177" s="4">
        <v>1313</v>
      </c>
      <c r="K2177" s="5">
        <v>0.2003046458492003</v>
      </c>
      <c r="L2177" s="5">
        <v>1.2947448591012947E-2</v>
      </c>
    </row>
    <row r="2178" spans="7:12">
      <c r="G2178" t="s">
        <v>2771</v>
      </c>
      <c r="H2178" t="s">
        <v>131</v>
      </c>
      <c r="I2178" t="s">
        <v>461</v>
      </c>
      <c r="J2178" s="4">
        <v>12843</v>
      </c>
      <c r="K2178" s="5">
        <v>0.20018687222611539</v>
      </c>
      <c r="L2178" s="5">
        <v>6.7741181966830179E-3</v>
      </c>
    </row>
    <row r="2179" spans="7:12">
      <c r="G2179" t="s">
        <v>2772</v>
      </c>
      <c r="H2179" t="s">
        <v>233</v>
      </c>
      <c r="I2179" t="s">
        <v>259</v>
      </c>
      <c r="J2179" s="4">
        <v>12995</v>
      </c>
      <c r="K2179" s="5">
        <v>0.20015390534821084</v>
      </c>
      <c r="L2179" s="5">
        <v>2.5163524432474028E-2</v>
      </c>
    </row>
    <row r="2180" spans="7:12">
      <c r="G2180" t="s">
        <v>2773</v>
      </c>
      <c r="H2180" t="s">
        <v>136</v>
      </c>
      <c r="I2180" t="s">
        <v>410</v>
      </c>
      <c r="J2180" s="4">
        <v>3103</v>
      </c>
      <c r="K2180" s="5">
        <v>0.20012890750886239</v>
      </c>
      <c r="L2180" s="5">
        <v>9.6680631646793424E-3</v>
      </c>
    </row>
    <row r="2181" spans="7:12">
      <c r="G2181" t="s">
        <v>2774</v>
      </c>
      <c r="H2181" t="s">
        <v>268</v>
      </c>
      <c r="I2181" t="s">
        <v>499</v>
      </c>
      <c r="J2181" s="4">
        <v>4038</v>
      </c>
      <c r="K2181" s="5">
        <v>0.20009905894006935</v>
      </c>
      <c r="L2181" s="5">
        <v>1.0401188707280832E-2</v>
      </c>
    </row>
    <row r="2182" spans="7:12">
      <c r="G2182" t="s">
        <v>2775</v>
      </c>
      <c r="H2182" t="s">
        <v>440</v>
      </c>
      <c r="I2182" t="s">
        <v>103</v>
      </c>
      <c r="J2182" s="4">
        <v>2189</v>
      </c>
      <c r="K2182" s="5">
        <v>0.20009136592051166</v>
      </c>
      <c r="L2182" s="5">
        <v>1.0963910461397899E-2</v>
      </c>
    </row>
    <row r="2183" spans="7:12">
      <c r="G2183" t="s">
        <v>2776</v>
      </c>
      <c r="H2183" t="s">
        <v>218</v>
      </c>
      <c r="I2183" t="s">
        <v>123</v>
      </c>
      <c r="J2183" s="4">
        <v>2954</v>
      </c>
      <c r="K2183" s="5">
        <v>0.20006770480704131</v>
      </c>
      <c r="L2183" s="5">
        <v>9.4786729857819912E-3</v>
      </c>
    </row>
    <row r="2184" spans="7:12">
      <c r="G2184" t="s">
        <v>2777</v>
      </c>
      <c r="H2184" t="s">
        <v>236</v>
      </c>
      <c r="I2184" t="s">
        <v>100</v>
      </c>
      <c r="J2184" s="4">
        <v>5874</v>
      </c>
      <c r="K2184" s="5">
        <v>0.2000340483486551</v>
      </c>
      <c r="L2184" s="5">
        <v>8.6823289070480075E-3</v>
      </c>
    </row>
    <row r="2185" spans="7:12">
      <c r="G2185" t="s">
        <v>2778</v>
      </c>
      <c r="H2185" t="s">
        <v>218</v>
      </c>
      <c r="I2185" t="s">
        <v>245</v>
      </c>
      <c r="J2185" s="4">
        <v>1100</v>
      </c>
      <c r="K2185" s="5">
        <v>0.2</v>
      </c>
      <c r="L2185" s="5">
        <v>9.0909090909090905E-3</v>
      </c>
    </row>
    <row r="2186" spans="7:12">
      <c r="G2186" t="s">
        <v>2779</v>
      </c>
      <c r="H2186" t="s">
        <v>268</v>
      </c>
      <c r="I2186" t="s">
        <v>352</v>
      </c>
      <c r="J2186" s="4">
        <v>2905</v>
      </c>
      <c r="K2186" s="5">
        <v>0.2</v>
      </c>
      <c r="L2186" s="5">
        <v>5.8519793459552499E-3</v>
      </c>
    </row>
    <row r="2187" spans="7:12">
      <c r="G2187" t="s">
        <v>2780</v>
      </c>
      <c r="H2187" t="s">
        <v>443</v>
      </c>
      <c r="I2187" t="s">
        <v>226</v>
      </c>
      <c r="J2187" s="4">
        <v>2870</v>
      </c>
      <c r="K2187" s="5">
        <v>0.2</v>
      </c>
      <c r="L2187" s="5">
        <v>1.1498257839721254E-2</v>
      </c>
    </row>
    <row r="2188" spans="7:12">
      <c r="G2188" t="s">
        <v>2781</v>
      </c>
      <c r="H2188" t="s">
        <v>268</v>
      </c>
      <c r="I2188" t="s">
        <v>434</v>
      </c>
      <c r="J2188" s="4">
        <v>2865</v>
      </c>
      <c r="K2188" s="5">
        <v>0.2</v>
      </c>
      <c r="L2188" s="5">
        <v>6.9808027923211171E-3</v>
      </c>
    </row>
    <row r="2189" spans="7:12">
      <c r="G2189" t="s">
        <v>2782</v>
      </c>
      <c r="H2189" t="s">
        <v>377</v>
      </c>
      <c r="I2189" t="s">
        <v>149</v>
      </c>
      <c r="J2189" s="4">
        <v>3205</v>
      </c>
      <c r="K2189" s="5">
        <v>0.2</v>
      </c>
      <c r="L2189" s="5">
        <v>1.4664586583463339E-2</v>
      </c>
    </row>
    <row r="2190" spans="7:12">
      <c r="G2190" t="s">
        <v>2783</v>
      </c>
      <c r="H2190" t="s">
        <v>259</v>
      </c>
      <c r="I2190" t="s">
        <v>134</v>
      </c>
      <c r="J2190" s="4">
        <v>12027</v>
      </c>
      <c r="K2190" s="5">
        <v>0.19996674149829549</v>
      </c>
      <c r="L2190" s="5">
        <v>2.0370832294005155E-2</v>
      </c>
    </row>
    <row r="2191" spans="7:12">
      <c r="G2191" t="s">
        <v>2784</v>
      </c>
      <c r="H2191" t="s">
        <v>149</v>
      </c>
      <c r="I2191" t="s">
        <v>461</v>
      </c>
      <c r="J2191" s="4">
        <v>5997</v>
      </c>
      <c r="K2191" s="5">
        <v>0.19993329998332499</v>
      </c>
      <c r="L2191" s="5">
        <v>9.0045022511255624E-3</v>
      </c>
    </row>
    <row r="2192" spans="7:12">
      <c r="G2192" t="s">
        <v>2785</v>
      </c>
      <c r="H2192" t="s">
        <v>204</v>
      </c>
      <c r="I2192" t="s">
        <v>319</v>
      </c>
      <c r="J2192" s="4">
        <v>7555</v>
      </c>
      <c r="K2192" s="5">
        <v>0.19986763732627399</v>
      </c>
      <c r="L2192" s="5">
        <v>2.4884182660489741E-2</v>
      </c>
    </row>
    <row r="2193" spans="7:12">
      <c r="G2193" t="s">
        <v>2786</v>
      </c>
      <c r="H2193" t="s">
        <v>346</v>
      </c>
      <c r="I2193" t="s">
        <v>134</v>
      </c>
      <c r="J2193" s="4">
        <v>5314</v>
      </c>
      <c r="K2193" s="5">
        <v>0.19984945427173503</v>
      </c>
      <c r="L2193" s="5">
        <v>9.0327436958976288E-3</v>
      </c>
    </row>
    <row r="2194" spans="7:12">
      <c r="G2194" t="s">
        <v>2787</v>
      </c>
      <c r="H2194" t="s">
        <v>202</v>
      </c>
      <c r="I2194" t="s">
        <v>240</v>
      </c>
      <c r="J2194" s="4">
        <v>2647</v>
      </c>
      <c r="K2194" s="5">
        <v>0.19984888553078958</v>
      </c>
      <c r="L2194" s="5">
        <v>1.3978088401964487E-2</v>
      </c>
    </row>
    <row r="2195" spans="7:12">
      <c r="G2195" t="s">
        <v>2788</v>
      </c>
      <c r="H2195" t="s">
        <v>202</v>
      </c>
      <c r="I2195" t="s">
        <v>85</v>
      </c>
      <c r="J2195" s="4">
        <v>7821</v>
      </c>
      <c r="K2195" s="5">
        <v>0.19984656693517452</v>
      </c>
      <c r="L2195" s="5">
        <v>1.9179133103183737E-2</v>
      </c>
    </row>
    <row r="2196" spans="7:12">
      <c r="G2196" t="s">
        <v>2789</v>
      </c>
      <c r="H2196" t="s">
        <v>115</v>
      </c>
      <c r="I2196" t="s">
        <v>322</v>
      </c>
      <c r="J2196" s="4">
        <v>6165</v>
      </c>
      <c r="K2196" s="5">
        <v>0.19983779399837795</v>
      </c>
      <c r="L2196" s="5">
        <v>1.0705596107055961E-2</v>
      </c>
    </row>
    <row r="2197" spans="7:12">
      <c r="G2197" t="s">
        <v>2790</v>
      </c>
      <c r="H2197" t="s">
        <v>162</v>
      </c>
      <c r="I2197" t="s">
        <v>236</v>
      </c>
      <c r="J2197" s="4">
        <v>4664</v>
      </c>
      <c r="K2197" s="5">
        <v>0.19982847341337909</v>
      </c>
      <c r="L2197" s="5">
        <v>1.179245283018868E-2</v>
      </c>
    </row>
    <row r="2198" spans="7:12">
      <c r="G2198" t="s">
        <v>2791</v>
      </c>
      <c r="H2198" t="s">
        <v>89</v>
      </c>
      <c r="I2198" t="s">
        <v>309</v>
      </c>
      <c r="J2198" s="4">
        <v>1887</v>
      </c>
      <c r="K2198" s="5">
        <v>0.19978802331743509</v>
      </c>
      <c r="L2198" s="5">
        <v>5.8293587705352413E-3</v>
      </c>
    </row>
    <row r="2199" spans="7:12">
      <c r="G2199" t="s">
        <v>2792</v>
      </c>
      <c r="H2199" t="s">
        <v>268</v>
      </c>
      <c r="I2199" t="s">
        <v>103</v>
      </c>
      <c r="J2199" s="4">
        <v>7821</v>
      </c>
      <c r="K2199" s="5">
        <v>0.19971870604781997</v>
      </c>
      <c r="L2199" s="5">
        <v>1.2018923411328474E-2</v>
      </c>
    </row>
    <row r="2200" spans="7:12">
      <c r="G2200" t="s">
        <v>2793</v>
      </c>
      <c r="H2200" t="s">
        <v>352</v>
      </c>
      <c r="I2200" t="s">
        <v>221</v>
      </c>
      <c r="J2200" s="4">
        <v>1177</v>
      </c>
      <c r="K2200" s="5">
        <v>0.19966015293118097</v>
      </c>
      <c r="L2200" s="5">
        <v>4.248088360237893E-3</v>
      </c>
    </row>
    <row r="2201" spans="7:12">
      <c r="G2201" t="s">
        <v>2794</v>
      </c>
      <c r="H2201" t="s">
        <v>400</v>
      </c>
      <c r="I2201" t="s">
        <v>215</v>
      </c>
      <c r="J2201" s="4">
        <v>1172</v>
      </c>
      <c r="K2201" s="5">
        <v>0.19965870307167236</v>
      </c>
      <c r="L2201" s="5">
        <v>1.0238907849829351E-2</v>
      </c>
    </row>
    <row r="2202" spans="7:12">
      <c r="G2202" t="s">
        <v>2795</v>
      </c>
      <c r="H2202" t="s">
        <v>366</v>
      </c>
      <c r="I2202" t="s">
        <v>204</v>
      </c>
      <c r="J2202" s="4">
        <v>2620</v>
      </c>
      <c r="K2202" s="5">
        <v>0.19961832061068702</v>
      </c>
      <c r="L2202" s="5">
        <v>2.1755725190839695E-2</v>
      </c>
    </row>
    <row r="2203" spans="7:12">
      <c r="G2203" t="s">
        <v>2796</v>
      </c>
      <c r="H2203" t="s">
        <v>149</v>
      </c>
      <c r="I2203" t="s">
        <v>370</v>
      </c>
      <c r="J2203" s="4">
        <v>30228</v>
      </c>
      <c r="K2203" s="5">
        <v>0.19948392219134578</v>
      </c>
      <c r="L2203" s="5">
        <v>6.8148736271007012E-3</v>
      </c>
    </row>
    <row r="2204" spans="7:12">
      <c r="G2204" t="s">
        <v>2797</v>
      </c>
      <c r="H2204" t="s">
        <v>299</v>
      </c>
      <c r="I2204" t="s">
        <v>100</v>
      </c>
      <c r="J2204" s="4">
        <v>2974</v>
      </c>
      <c r="K2204" s="5">
        <v>0.19939475453934097</v>
      </c>
      <c r="L2204" s="5">
        <v>1.0423671822461332E-2</v>
      </c>
    </row>
    <row r="2205" spans="7:12">
      <c r="G2205" t="s">
        <v>2798</v>
      </c>
      <c r="H2205" t="s">
        <v>226</v>
      </c>
      <c r="I2205" t="s">
        <v>278</v>
      </c>
      <c r="J2205" s="4">
        <v>3326</v>
      </c>
      <c r="K2205" s="5">
        <v>0.19933854479855684</v>
      </c>
      <c r="L2205" s="5">
        <v>1.1725796752856284E-2</v>
      </c>
    </row>
    <row r="2206" spans="7:12">
      <c r="G2206" t="s">
        <v>2799</v>
      </c>
      <c r="H2206" t="s">
        <v>346</v>
      </c>
      <c r="I2206" t="s">
        <v>202</v>
      </c>
      <c r="J2206" s="4">
        <v>3753</v>
      </c>
      <c r="K2206" s="5">
        <v>0.1993072208899547</v>
      </c>
      <c r="L2206" s="5">
        <v>1.3056221689315214E-2</v>
      </c>
    </row>
    <row r="2207" spans="7:12">
      <c r="G2207" t="s">
        <v>2800</v>
      </c>
      <c r="H2207" t="s">
        <v>202</v>
      </c>
      <c r="I2207" t="s">
        <v>165</v>
      </c>
      <c r="J2207" s="4">
        <v>1541</v>
      </c>
      <c r="K2207" s="5">
        <v>0.19922128487994809</v>
      </c>
      <c r="L2207" s="5">
        <v>1.6872160934458143E-2</v>
      </c>
    </row>
    <row r="2208" spans="7:12">
      <c r="G2208" t="s">
        <v>2801</v>
      </c>
      <c r="H2208" t="s">
        <v>233</v>
      </c>
      <c r="I2208" t="s">
        <v>204</v>
      </c>
      <c r="J2208" s="4">
        <v>11983</v>
      </c>
      <c r="K2208" s="5">
        <v>0.19919886505883336</v>
      </c>
      <c r="L2208" s="5">
        <v>2.3032629558541268E-2</v>
      </c>
    </row>
    <row r="2209" spans="7:12">
      <c r="G2209" t="s">
        <v>2802</v>
      </c>
      <c r="H2209" t="s">
        <v>215</v>
      </c>
      <c r="I2209" t="s">
        <v>252</v>
      </c>
      <c r="J2209" s="4">
        <v>2616</v>
      </c>
      <c r="K2209" s="5">
        <v>0.19915902140672784</v>
      </c>
      <c r="L2209" s="5">
        <v>7.2629969418960246E-3</v>
      </c>
    </row>
    <row r="2210" spans="7:12">
      <c r="G2210" t="s">
        <v>2803</v>
      </c>
      <c r="H2210" t="s">
        <v>288</v>
      </c>
      <c r="I2210" t="s">
        <v>149</v>
      </c>
      <c r="J2210" s="4">
        <v>7278</v>
      </c>
      <c r="K2210" s="5">
        <v>0.19909315746084089</v>
      </c>
      <c r="L2210" s="5">
        <v>3.2563891178895299E-2</v>
      </c>
    </row>
    <row r="2211" spans="7:12">
      <c r="G2211" t="s">
        <v>2804</v>
      </c>
      <c r="H2211" t="s">
        <v>416</v>
      </c>
      <c r="I2211" t="s">
        <v>182</v>
      </c>
      <c r="J2211" s="4">
        <v>1763</v>
      </c>
      <c r="K2211" s="5">
        <v>0.19909245604083947</v>
      </c>
      <c r="L2211" s="5">
        <v>3.9705048213272828E-3</v>
      </c>
    </row>
    <row r="2212" spans="7:12">
      <c r="G2212" t="s">
        <v>2805</v>
      </c>
      <c r="H2212" t="s">
        <v>121</v>
      </c>
      <c r="I2212" t="s">
        <v>240</v>
      </c>
      <c r="J2212" s="4">
        <v>1532</v>
      </c>
      <c r="K2212" s="5">
        <v>0.19908616187989556</v>
      </c>
      <c r="L2212" s="5">
        <v>1.3054830287206266E-2</v>
      </c>
    </row>
    <row r="2213" spans="7:12">
      <c r="G2213" t="s">
        <v>2806</v>
      </c>
      <c r="H2213" t="s">
        <v>307</v>
      </c>
      <c r="I2213" t="s">
        <v>100</v>
      </c>
      <c r="J2213" s="4">
        <v>1281</v>
      </c>
      <c r="K2213" s="5">
        <v>0.19906323185011709</v>
      </c>
      <c r="L2213" s="5">
        <v>2.3419203747072601E-2</v>
      </c>
    </row>
    <row r="2214" spans="7:12">
      <c r="G2214" t="s">
        <v>2807</v>
      </c>
      <c r="H2214" t="s">
        <v>182</v>
      </c>
      <c r="I2214" t="s">
        <v>486</v>
      </c>
      <c r="J2214" s="4">
        <v>2130</v>
      </c>
      <c r="K2214" s="5">
        <v>0.19906103286384977</v>
      </c>
      <c r="L2214" s="5">
        <v>1.3615023474178404E-2</v>
      </c>
    </row>
    <row r="2215" spans="7:12">
      <c r="G2215" t="s">
        <v>2808</v>
      </c>
      <c r="H2215" t="s">
        <v>149</v>
      </c>
      <c r="I2215" t="s">
        <v>204</v>
      </c>
      <c r="J2215" s="4">
        <v>7802</v>
      </c>
      <c r="K2215" s="5">
        <v>0.19892335298641373</v>
      </c>
      <c r="L2215" s="5">
        <v>3.6657267367341706E-2</v>
      </c>
    </row>
    <row r="2216" spans="7:12">
      <c r="G2216" t="s">
        <v>2809</v>
      </c>
      <c r="H2216" t="s">
        <v>189</v>
      </c>
      <c r="I2216" t="s">
        <v>118</v>
      </c>
      <c r="J2216" s="4">
        <v>9386</v>
      </c>
      <c r="K2216" s="5">
        <v>0.19891327509056042</v>
      </c>
      <c r="L2216" s="5">
        <v>1.0973790752184104E-2</v>
      </c>
    </row>
    <row r="2217" spans="7:12">
      <c r="G2217" t="s">
        <v>2810</v>
      </c>
      <c r="H2217" t="s">
        <v>80</v>
      </c>
      <c r="I2217" t="s">
        <v>461</v>
      </c>
      <c r="J2217" s="4">
        <v>1639</v>
      </c>
      <c r="K2217" s="5">
        <v>0.19890176937156803</v>
      </c>
      <c r="L2217" s="5">
        <v>7.9316656497864547E-3</v>
      </c>
    </row>
    <row r="2218" spans="7:12">
      <c r="G2218" t="s">
        <v>2811</v>
      </c>
      <c r="H2218" t="s">
        <v>233</v>
      </c>
      <c r="I2218" t="s">
        <v>326</v>
      </c>
      <c r="J2218" s="4">
        <v>6770</v>
      </c>
      <c r="K2218" s="5">
        <v>0.19881831610044312</v>
      </c>
      <c r="L2218" s="5">
        <v>5.3175775480059084E-3</v>
      </c>
    </row>
    <row r="2219" spans="7:12">
      <c r="G2219" t="s">
        <v>2812</v>
      </c>
      <c r="H2219" t="s">
        <v>326</v>
      </c>
      <c r="I2219" t="s">
        <v>324</v>
      </c>
      <c r="J2219" s="4">
        <v>2706</v>
      </c>
      <c r="K2219" s="5">
        <v>0.19881744271988175</v>
      </c>
      <c r="L2219" s="5">
        <v>7.7605321507760536E-3</v>
      </c>
    </row>
    <row r="2220" spans="7:12">
      <c r="G2220" t="s">
        <v>2813</v>
      </c>
      <c r="H2220" t="s">
        <v>207</v>
      </c>
      <c r="I2220" t="s">
        <v>377</v>
      </c>
      <c r="J2220" s="4">
        <v>2696</v>
      </c>
      <c r="K2220" s="5">
        <v>0.19881305637982197</v>
      </c>
      <c r="L2220" s="5">
        <v>1.0756676557863502E-2</v>
      </c>
    </row>
    <row r="2221" spans="7:12">
      <c r="G2221" t="s">
        <v>2814</v>
      </c>
      <c r="H2221" t="s">
        <v>140</v>
      </c>
      <c r="I2221" t="s">
        <v>322</v>
      </c>
      <c r="J2221" s="4">
        <v>10070</v>
      </c>
      <c r="K2221" s="5">
        <v>0.19880834160873884</v>
      </c>
      <c r="L2221" s="5">
        <v>2.9592850049652432E-2</v>
      </c>
    </row>
    <row r="2222" spans="7:12">
      <c r="G2222" t="s">
        <v>2815</v>
      </c>
      <c r="H2222" t="s">
        <v>2816</v>
      </c>
      <c r="I2222" t="s">
        <v>89</v>
      </c>
      <c r="J2222" s="4">
        <v>2636</v>
      </c>
      <c r="K2222" s="5">
        <v>0.19878603945371776</v>
      </c>
      <c r="L2222" s="5">
        <v>2.5796661608497723E-2</v>
      </c>
    </row>
    <row r="2223" spans="7:12">
      <c r="G2223" t="s">
        <v>2817</v>
      </c>
      <c r="H2223" t="s">
        <v>252</v>
      </c>
      <c r="I2223" t="s">
        <v>103</v>
      </c>
      <c r="J2223" s="4">
        <v>5765</v>
      </c>
      <c r="K2223" s="5">
        <v>0.19878577623590632</v>
      </c>
      <c r="L2223" s="5">
        <v>8.6730268863833473E-3</v>
      </c>
    </row>
    <row r="2224" spans="7:12">
      <c r="G2224" t="s">
        <v>2818</v>
      </c>
      <c r="H2224" t="s">
        <v>259</v>
      </c>
      <c r="I2224" t="s">
        <v>233</v>
      </c>
      <c r="J2224" s="4">
        <v>12990</v>
      </c>
      <c r="K2224" s="5">
        <v>0.1987682832948422</v>
      </c>
      <c r="L2224" s="5">
        <v>2.771362586605081E-2</v>
      </c>
    </row>
    <row r="2225" spans="7:12">
      <c r="G2225" t="s">
        <v>2819</v>
      </c>
      <c r="H2225" t="s">
        <v>463</v>
      </c>
      <c r="I2225" t="s">
        <v>2820</v>
      </c>
      <c r="J2225" s="4">
        <v>1258</v>
      </c>
      <c r="K2225" s="5">
        <v>0.1987281399046105</v>
      </c>
      <c r="L2225" s="5">
        <v>3.4181240063593007E-2</v>
      </c>
    </row>
    <row r="2226" spans="7:12">
      <c r="G2226" t="s">
        <v>2821</v>
      </c>
      <c r="H2226" t="s">
        <v>137</v>
      </c>
      <c r="I2226" t="s">
        <v>360</v>
      </c>
      <c r="J2226" s="4">
        <v>1223</v>
      </c>
      <c r="K2226" s="5">
        <v>0.19869174161896974</v>
      </c>
      <c r="L2226" s="5">
        <v>1.7988552739165987E-2</v>
      </c>
    </row>
    <row r="2227" spans="7:12">
      <c r="G2227" t="s">
        <v>2822</v>
      </c>
      <c r="H2227" t="s">
        <v>131</v>
      </c>
      <c r="I2227" t="s">
        <v>443</v>
      </c>
      <c r="J2227" s="4">
        <v>1480</v>
      </c>
      <c r="K2227" s="5">
        <v>0.19864864864864865</v>
      </c>
      <c r="L2227" s="5">
        <v>6.0810810810810814E-3</v>
      </c>
    </row>
    <row r="2228" spans="7:12">
      <c r="G2228" t="s">
        <v>2823</v>
      </c>
      <c r="H2228" t="s">
        <v>297</v>
      </c>
      <c r="I2228" t="s">
        <v>103</v>
      </c>
      <c r="J2228" s="4">
        <v>1732</v>
      </c>
      <c r="K2228" s="5">
        <v>0.19861431870669746</v>
      </c>
      <c r="L2228" s="5">
        <v>1.7321016166281754E-2</v>
      </c>
    </row>
    <row r="2229" spans="7:12">
      <c r="G2229" t="s">
        <v>2824</v>
      </c>
      <c r="H2229" t="s">
        <v>134</v>
      </c>
      <c r="I2229" t="s">
        <v>2825</v>
      </c>
      <c r="J2229" s="4">
        <v>1707</v>
      </c>
      <c r="K2229" s="5">
        <v>0.19859402460456943</v>
      </c>
      <c r="L2229" s="5">
        <v>1.5231400117164616E-2</v>
      </c>
    </row>
    <row r="2230" spans="7:12">
      <c r="G2230" t="s">
        <v>2826</v>
      </c>
      <c r="H2230" t="s">
        <v>276</v>
      </c>
      <c r="I2230" t="s">
        <v>131</v>
      </c>
      <c r="J2230" s="4">
        <v>1123</v>
      </c>
      <c r="K2230" s="5">
        <v>0.19857524487978628</v>
      </c>
      <c r="L2230" s="5">
        <v>1.7809439002671415E-3</v>
      </c>
    </row>
    <row r="2231" spans="7:12">
      <c r="G2231" t="s">
        <v>2827</v>
      </c>
      <c r="H2231" t="s">
        <v>410</v>
      </c>
      <c r="I2231" t="s">
        <v>131</v>
      </c>
      <c r="J2231" s="4">
        <v>1451</v>
      </c>
      <c r="K2231" s="5">
        <v>0.19848380427291523</v>
      </c>
      <c r="L2231" s="5">
        <v>6.202618883528601E-3</v>
      </c>
    </row>
    <row r="2232" spans="7:12">
      <c r="G2232" t="s">
        <v>2828</v>
      </c>
      <c r="H2232" t="s">
        <v>218</v>
      </c>
      <c r="I2232" t="s">
        <v>329</v>
      </c>
      <c r="J2232" s="4">
        <v>1668</v>
      </c>
      <c r="K2232" s="5">
        <v>0.19844124700239807</v>
      </c>
      <c r="L2232" s="5">
        <v>1.1390887290167866E-2</v>
      </c>
    </row>
    <row r="2233" spans="7:12">
      <c r="G2233" t="s">
        <v>2829</v>
      </c>
      <c r="H2233" t="s">
        <v>449</v>
      </c>
      <c r="I2233" t="s">
        <v>140</v>
      </c>
      <c r="J2233" s="4">
        <v>2530</v>
      </c>
      <c r="K2233" s="5">
        <v>0.1984189723320158</v>
      </c>
      <c r="L2233" s="5">
        <v>1.383399209486166E-2</v>
      </c>
    </row>
    <row r="2234" spans="7:12">
      <c r="G2234" t="s">
        <v>2830</v>
      </c>
      <c r="H2234" t="s">
        <v>100</v>
      </c>
      <c r="I2234" t="s">
        <v>388</v>
      </c>
      <c r="J2234" s="4">
        <v>6280</v>
      </c>
      <c r="K2234" s="5">
        <v>0.19840764331210192</v>
      </c>
      <c r="L2234" s="5">
        <v>1.4012738853503185E-2</v>
      </c>
    </row>
    <row r="2235" spans="7:12">
      <c r="G2235" t="s">
        <v>2831</v>
      </c>
      <c r="H2235" t="s">
        <v>218</v>
      </c>
      <c r="I2235" t="s">
        <v>146</v>
      </c>
      <c r="J2235" s="4">
        <v>2502</v>
      </c>
      <c r="K2235" s="5">
        <v>0.1982414068745004</v>
      </c>
      <c r="L2235" s="5">
        <v>9.9920063948840919E-3</v>
      </c>
    </row>
    <row r="2236" spans="7:12">
      <c r="G2236" t="s">
        <v>2832</v>
      </c>
      <c r="H2236" t="s">
        <v>233</v>
      </c>
      <c r="I2236" t="s">
        <v>342</v>
      </c>
      <c r="J2236" s="4">
        <v>2433</v>
      </c>
      <c r="K2236" s="5">
        <v>0.19810933004521167</v>
      </c>
      <c r="L2236" s="5">
        <v>7.3982737361282368E-3</v>
      </c>
    </row>
    <row r="2237" spans="7:12">
      <c r="G2237" t="s">
        <v>2833</v>
      </c>
      <c r="H2237" t="s">
        <v>100</v>
      </c>
      <c r="I2237" t="s">
        <v>313</v>
      </c>
      <c r="J2237" s="4">
        <v>3166</v>
      </c>
      <c r="K2237" s="5">
        <v>0.19804169298799748</v>
      </c>
      <c r="L2237" s="5">
        <v>1.3265950726468731E-2</v>
      </c>
    </row>
    <row r="2238" spans="7:12">
      <c r="G2238" t="s">
        <v>2834</v>
      </c>
      <c r="H2238" t="s">
        <v>236</v>
      </c>
      <c r="I2238" t="s">
        <v>140</v>
      </c>
      <c r="J2238" s="4">
        <v>2727</v>
      </c>
      <c r="K2238" s="5">
        <v>0.19801980198019803</v>
      </c>
      <c r="L2238" s="5">
        <v>3.4470113678034472E-2</v>
      </c>
    </row>
    <row r="2239" spans="7:12">
      <c r="G2239" t="s">
        <v>2835</v>
      </c>
      <c r="H2239" t="s">
        <v>226</v>
      </c>
      <c r="I2239" t="s">
        <v>461</v>
      </c>
      <c r="J2239" s="4">
        <v>10572</v>
      </c>
      <c r="K2239" s="5">
        <v>0.1979757850926977</v>
      </c>
      <c r="L2239" s="5">
        <v>6.7158531971244799E-3</v>
      </c>
    </row>
    <row r="2240" spans="7:12">
      <c r="G2240" t="s">
        <v>2836</v>
      </c>
      <c r="H2240" t="s">
        <v>360</v>
      </c>
      <c r="I2240" t="s">
        <v>204</v>
      </c>
      <c r="J2240" s="4">
        <v>3526</v>
      </c>
      <c r="K2240" s="5">
        <v>0.19795802609188884</v>
      </c>
      <c r="L2240" s="5">
        <v>2.0703346568349403E-2</v>
      </c>
    </row>
    <row r="2241" spans="7:12">
      <c r="G2241" t="s">
        <v>2837</v>
      </c>
      <c r="H2241" t="s">
        <v>103</v>
      </c>
      <c r="I2241" t="s">
        <v>2838</v>
      </c>
      <c r="J2241" s="4">
        <v>1996</v>
      </c>
      <c r="K2241" s="5">
        <v>0.19789579158316634</v>
      </c>
      <c r="L2241" s="5">
        <v>3.0060120240480961E-2</v>
      </c>
    </row>
    <row r="2242" spans="7:12">
      <c r="G2242" t="s">
        <v>2839</v>
      </c>
      <c r="H2242" t="s">
        <v>162</v>
      </c>
      <c r="I2242" t="s">
        <v>422</v>
      </c>
      <c r="J2242" s="4">
        <v>6484</v>
      </c>
      <c r="K2242" s="5">
        <v>0.19787168414558914</v>
      </c>
      <c r="L2242" s="5">
        <v>1.6810610734114745E-2</v>
      </c>
    </row>
    <row r="2243" spans="7:12">
      <c r="G2243" t="s">
        <v>2840</v>
      </c>
      <c r="H2243" t="s">
        <v>204</v>
      </c>
      <c r="I2243" t="s">
        <v>149</v>
      </c>
      <c r="J2243" s="4">
        <v>7768</v>
      </c>
      <c r="K2243" s="5">
        <v>0.19786302780638518</v>
      </c>
      <c r="L2243" s="5">
        <v>3.9134912461380018E-2</v>
      </c>
    </row>
    <row r="2244" spans="7:12">
      <c r="G2244" t="s">
        <v>2841</v>
      </c>
      <c r="H2244" t="s">
        <v>489</v>
      </c>
      <c r="I2244" t="s">
        <v>89</v>
      </c>
      <c r="J2244" s="4">
        <v>3897</v>
      </c>
      <c r="K2244" s="5">
        <v>0.19784449576597382</v>
      </c>
      <c r="L2244" s="5">
        <v>1.4626635873749037E-2</v>
      </c>
    </row>
    <row r="2245" spans="7:12">
      <c r="G2245" t="s">
        <v>2842</v>
      </c>
      <c r="H2245" t="s">
        <v>233</v>
      </c>
      <c r="I2245" t="s">
        <v>252</v>
      </c>
      <c r="J2245" s="4">
        <v>6471</v>
      </c>
      <c r="K2245" s="5">
        <v>0.19780559418946067</v>
      </c>
      <c r="L2245" s="5">
        <v>9.8902797094730342E-3</v>
      </c>
    </row>
    <row r="2246" spans="7:12">
      <c r="G2246" t="s">
        <v>2843</v>
      </c>
      <c r="H2246" t="s">
        <v>103</v>
      </c>
      <c r="I2246" t="s">
        <v>2844</v>
      </c>
      <c r="J2246" s="4">
        <v>1876</v>
      </c>
      <c r="K2246" s="5">
        <v>0.19776119402985073</v>
      </c>
      <c r="L2246" s="5">
        <v>3.0383795309168442E-2</v>
      </c>
    </row>
    <row r="2247" spans="7:12">
      <c r="G2247" t="s">
        <v>2845</v>
      </c>
      <c r="H2247" t="s">
        <v>322</v>
      </c>
      <c r="I2247" t="s">
        <v>105</v>
      </c>
      <c r="J2247" s="4">
        <v>1143</v>
      </c>
      <c r="K2247" s="5">
        <v>0.19772528433945757</v>
      </c>
      <c r="L2247" s="5">
        <v>8.7489063867016625E-4</v>
      </c>
    </row>
    <row r="2248" spans="7:12">
      <c r="G2248" t="s">
        <v>2846</v>
      </c>
      <c r="H2248" t="s">
        <v>89</v>
      </c>
      <c r="I2248" t="s">
        <v>382</v>
      </c>
      <c r="J2248" s="4">
        <v>6910</v>
      </c>
      <c r="K2248" s="5">
        <v>0.19768451519536903</v>
      </c>
      <c r="L2248" s="5">
        <v>2.0694645441389291E-2</v>
      </c>
    </row>
    <row r="2249" spans="7:12">
      <c r="G2249" t="s">
        <v>2847</v>
      </c>
      <c r="H2249" t="s">
        <v>233</v>
      </c>
      <c r="I2249" t="s">
        <v>336</v>
      </c>
      <c r="J2249" s="4">
        <v>1973</v>
      </c>
      <c r="K2249" s="5">
        <v>0.19766852508869742</v>
      </c>
      <c r="L2249" s="5">
        <v>6.5889508362899137E-3</v>
      </c>
    </row>
    <row r="2250" spans="7:12">
      <c r="G2250" t="s">
        <v>2848</v>
      </c>
      <c r="H2250" t="s">
        <v>370</v>
      </c>
      <c r="I2250" t="s">
        <v>1195</v>
      </c>
      <c r="J2250" s="4">
        <v>1088</v>
      </c>
      <c r="K2250" s="5">
        <v>0.19761029411764705</v>
      </c>
      <c r="L2250" s="5">
        <v>1.2867647058823529E-2</v>
      </c>
    </row>
    <row r="2251" spans="7:12">
      <c r="G2251" t="s">
        <v>2849</v>
      </c>
      <c r="H2251" t="s">
        <v>299</v>
      </c>
      <c r="I2251" t="s">
        <v>115</v>
      </c>
      <c r="J2251" s="4">
        <v>1154</v>
      </c>
      <c r="K2251" s="5">
        <v>0.1975736568457539</v>
      </c>
      <c r="L2251" s="5">
        <v>6.0658578856152513E-3</v>
      </c>
    </row>
    <row r="2252" spans="7:12">
      <c r="G2252" t="s">
        <v>2850</v>
      </c>
      <c r="H2252" t="s">
        <v>406</v>
      </c>
      <c r="I2252" t="s">
        <v>118</v>
      </c>
      <c r="J2252" s="4">
        <v>7021</v>
      </c>
      <c r="K2252" s="5">
        <v>0.19755020652328728</v>
      </c>
      <c r="L2252" s="5">
        <v>1.7376442102264633E-2</v>
      </c>
    </row>
    <row r="2253" spans="7:12">
      <c r="G2253" t="s">
        <v>2851</v>
      </c>
      <c r="H2253" t="s">
        <v>336</v>
      </c>
      <c r="I2253" t="s">
        <v>204</v>
      </c>
      <c r="J2253" s="4">
        <v>2693</v>
      </c>
      <c r="K2253" s="5">
        <v>0.19754920163386558</v>
      </c>
      <c r="L2253" s="5">
        <v>3.6390642406238398E-2</v>
      </c>
    </row>
    <row r="2254" spans="7:12">
      <c r="G2254" t="s">
        <v>2852</v>
      </c>
      <c r="H2254" t="s">
        <v>204</v>
      </c>
      <c r="I2254" t="s">
        <v>252</v>
      </c>
      <c r="J2254" s="4">
        <v>7543</v>
      </c>
      <c r="K2254" s="5">
        <v>0.19753413761103009</v>
      </c>
      <c r="L2254" s="5">
        <v>2.2007158955322816E-2</v>
      </c>
    </row>
    <row r="2255" spans="7:12">
      <c r="G2255" t="s">
        <v>2853</v>
      </c>
      <c r="H2255" t="s">
        <v>426</v>
      </c>
      <c r="I2255" t="s">
        <v>204</v>
      </c>
      <c r="J2255" s="4">
        <v>3473</v>
      </c>
      <c r="K2255" s="5">
        <v>0.19752375467895192</v>
      </c>
      <c r="L2255" s="5">
        <v>2.6490066225165563E-2</v>
      </c>
    </row>
    <row r="2256" spans="7:12">
      <c r="G2256" t="s">
        <v>2854</v>
      </c>
      <c r="H2256" t="s">
        <v>221</v>
      </c>
      <c r="I2256" t="s">
        <v>268</v>
      </c>
      <c r="J2256" s="4">
        <v>6729</v>
      </c>
      <c r="K2256" s="5">
        <v>0.19750334373606776</v>
      </c>
      <c r="L2256" s="5">
        <v>1.1740228860157527E-2</v>
      </c>
    </row>
    <row r="2257" spans="7:12">
      <c r="G2257" t="s">
        <v>2855</v>
      </c>
      <c r="H2257" t="s">
        <v>259</v>
      </c>
      <c r="I2257" t="s">
        <v>252</v>
      </c>
      <c r="J2257" s="4">
        <v>10942</v>
      </c>
      <c r="K2257" s="5">
        <v>0.19749588740632426</v>
      </c>
      <c r="L2257" s="5">
        <v>3.0707366112228112E-2</v>
      </c>
    </row>
    <row r="2258" spans="7:12">
      <c r="G2258" t="s">
        <v>2856</v>
      </c>
      <c r="H2258" t="s">
        <v>103</v>
      </c>
      <c r="I2258" t="s">
        <v>1102</v>
      </c>
      <c r="J2258" s="4">
        <v>1033</v>
      </c>
      <c r="K2258" s="5">
        <v>0.19748305905130686</v>
      </c>
      <c r="L2258" s="5">
        <v>2.3233301064859633E-2</v>
      </c>
    </row>
    <row r="2259" spans="7:12">
      <c r="G2259" t="s">
        <v>2857</v>
      </c>
      <c r="H2259" t="s">
        <v>326</v>
      </c>
      <c r="I2259" t="s">
        <v>457</v>
      </c>
      <c r="J2259" s="4">
        <v>3170</v>
      </c>
      <c r="K2259" s="5">
        <v>0.1974763406940063</v>
      </c>
      <c r="L2259" s="5">
        <v>1.5772870662460567E-3</v>
      </c>
    </row>
    <row r="2260" spans="7:12">
      <c r="G2260" t="s">
        <v>2858</v>
      </c>
      <c r="H2260" t="s">
        <v>2859</v>
      </c>
      <c r="I2260" t="s">
        <v>89</v>
      </c>
      <c r="J2260" s="4">
        <v>3241</v>
      </c>
      <c r="K2260" s="5">
        <v>0.1974699166923789</v>
      </c>
      <c r="L2260" s="5">
        <v>3.3323048441838941E-2</v>
      </c>
    </row>
    <row r="2261" spans="7:12">
      <c r="G2261" t="s">
        <v>2860</v>
      </c>
      <c r="H2261" t="s">
        <v>377</v>
      </c>
      <c r="I2261" t="s">
        <v>134</v>
      </c>
      <c r="J2261" s="4">
        <v>5591</v>
      </c>
      <c r="K2261" s="5">
        <v>0.19746020389912358</v>
      </c>
      <c r="L2261" s="5">
        <v>1.0731532820604543E-2</v>
      </c>
    </row>
    <row r="2262" spans="7:12">
      <c r="G2262" t="s">
        <v>2861</v>
      </c>
      <c r="H2262" t="s">
        <v>461</v>
      </c>
      <c r="I2262" t="s">
        <v>118</v>
      </c>
      <c r="J2262" s="4">
        <v>8807</v>
      </c>
      <c r="K2262" s="5">
        <v>0.19745656863858294</v>
      </c>
      <c r="L2262" s="5">
        <v>9.9920517769955721E-3</v>
      </c>
    </row>
    <row r="2263" spans="7:12">
      <c r="G2263" t="s">
        <v>2862</v>
      </c>
      <c r="H2263" t="s">
        <v>326</v>
      </c>
      <c r="I2263" t="s">
        <v>233</v>
      </c>
      <c r="J2263" s="4">
        <v>6756</v>
      </c>
      <c r="K2263" s="5">
        <v>0.19745411486086442</v>
      </c>
      <c r="L2263" s="5">
        <v>5.3285968028419185E-3</v>
      </c>
    </row>
    <row r="2264" spans="7:12">
      <c r="G2264" t="s">
        <v>2863</v>
      </c>
      <c r="H2264" t="s">
        <v>149</v>
      </c>
      <c r="I2264" t="s">
        <v>377</v>
      </c>
      <c r="J2264" s="4">
        <v>3202</v>
      </c>
      <c r="K2264" s="5">
        <v>0.19737663960024984</v>
      </c>
      <c r="L2264" s="5">
        <v>1.5302935665209244E-2</v>
      </c>
    </row>
    <row r="2265" spans="7:12">
      <c r="G2265" t="s">
        <v>2864</v>
      </c>
      <c r="H2265" t="s">
        <v>226</v>
      </c>
      <c r="I2265" t="s">
        <v>346</v>
      </c>
      <c r="J2265" s="4">
        <v>8264</v>
      </c>
      <c r="K2265" s="5">
        <v>0.1973620522749274</v>
      </c>
      <c r="L2265" s="5">
        <v>9.1965150048402711E-3</v>
      </c>
    </row>
    <row r="2266" spans="7:12">
      <c r="G2266" t="s">
        <v>2865</v>
      </c>
      <c r="H2266" t="s">
        <v>372</v>
      </c>
      <c r="I2266" t="s">
        <v>100</v>
      </c>
      <c r="J2266" s="4">
        <v>5706</v>
      </c>
      <c r="K2266" s="5">
        <v>0.19733613739922889</v>
      </c>
      <c r="L2266" s="5">
        <v>1.1216263582194182E-2</v>
      </c>
    </row>
    <row r="2267" spans="7:12">
      <c r="G2267" t="s">
        <v>2866</v>
      </c>
      <c r="H2267" t="s">
        <v>215</v>
      </c>
      <c r="I2267" t="s">
        <v>507</v>
      </c>
      <c r="J2267" s="4">
        <v>15488</v>
      </c>
      <c r="K2267" s="5">
        <v>0.19731404958677687</v>
      </c>
      <c r="L2267" s="5">
        <v>5.7463842975206611E-3</v>
      </c>
    </row>
    <row r="2268" spans="7:12">
      <c r="G2268" t="s">
        <v>2867</v>
      </c>
      <c r="H2268" t="s">
        <v>140</v>
      </c>
      <c r="I2268" t="s">
        <v>129</v>
      </c>
      <c r="J2268" s="4">
        <v>1551</v>
      </c>
      <c r="K2268" s="5">
        <v>0.19729206963249515</v>
      </c>
      <c r="L2268" s="5">
        <v>1.5473887814313346E-2</v>
      </c>
    </row>
    <row r="2269" spans="7:12">
      <c r="G2269" t="s">
        <v>2868</v>
      </c>
      <c r="H2269" t="s">
        <v>322</v>
      </c>
      <c r="I2269" t="s">
        <v>103</v>
      </c>
      <c r="J2269" s="4">
        <v>8932</v>
      </c>
      <c r="K2269" s="5">
        <v>0.19726824899238693</v>
      </c>
      <c r="L2269" s="5">
        <v>7.7250335871025524E-3</v>
      </c>
    </row>
    <row r="2270" spans="7:12">
      <c r="G2270" t="s">
        <v>2869</v>
      </c>
      <c r="H2270" t="s">
        <v>414</v>
      </c>
      <c r="I2270" t="s">
        <v>189</v>
      </c>
      <c r="J2270" s="4">
        <v>1080</v>
      </c>
      <c r="K2270" s="5">
        <v>0.19722222222222222</v>
      </c>
      <c r="L2270" s="5">
        <v>2.7777777777777779E-3</v>
      </c>
    </row>
    <row r="2271" spans="7:12">
      <c r="G2271" t="s">
        <v>2870</v>
      </c>
      <c r="H2271" t="s">
        <v>140</v>
      </c>
      <c r="I2271" t="s">
        <v>342</v>
      </c>
      <c r="J2271" s="4">
        <v>4503</v>
      </c>
      <c r="K2271" s="5">
        <v>0.19720186542305129</v>
      </c>
      <c r="L2271" s="5">
        <v>2.8869642460581834E-2</v>
      </c>
    </row>
    <row r="2272" spans="7:12">
      <c r="G2272" t="s">
        <v>2871</v>
      </c>
      <c r="H2272" t="s">
        <v>226</v>
      </c>
      <c r="I2272" t="s">
        <v>466</v>
      </c>
      <c r="J2272" s="4">
        <v>4256</v>
      </c>
      <c r="K2272" s="5">
        <v>0.19713345864661655</v>
      </c>
      <c r="L2272" s="5">
        <v>1.2453007518796992E-2</v>
      </c>
    </row>
    <row r="2273" spans="7:12">
      <c r="G2273" t="s">
        <v>2872</v>
      </c>
      <c r="H2273" t="s">
        <v>398</v>
      </c>
      <c r="I2273" t="s">
        <v>507</v>
      </c>
      <c r="J2273" s="4">
        <v>1806</v>
      </c>
      <c r="K2273" s="5">
        <v>0.19712070874861573</v>
      </c>
      <c r="L2273" s="5">
        <v>5.5370985603543741E-4</v>
      </c>
    </row>
    <row r="2274" spans="7:12">
      <c r="G2274" t="s">
        <v>2873</v>
      </c>
      <c r="H2274" t="s">
        <v>370</v>
      </c>
      <c r="I2274" t="s">
        <v>95</v>
      </c>
      <c r="J2274" s="4">
        <v>9299</v>
      </c>
      <c r="K2274" s="5">
        <v>0.19711796967415851</v>
      </c>
      <c r="L2274" s="5">
        <v>8.9256909345090864E-3</v>
      </c>
    </row>
    <row r="2275" spans="7:12">
      <c r="G2275" t="s">
        <v>2874</v>
      </c>
      <c r="H2275" t="s">
        <v>233</v>
      </c>
      <c r="I2275" t="s">
        <v>313</v>
      </c>
      <c r="J2275" s="4">
        <v>3126</v>
      </c>
      <c r="K2275" s="5">
        <v>0.19705694177863084</v>
      </c>
      <c r="L2275" s="5">
        <v>4.4785668586052466E-3</v>
      </c>
    </row>
    <row r="2276" spans="7:12">
      <c r="G2276" t="s">
        <v>2875</v>
      </c>
      <c r="H2276" t="s">
        <v>455</v>
      </c>
      <c r="I2276" t="s">
        <v>160</v>
      </c>
      <c r="J2276" s="4">
        <v>1675</v>
      </c>
      <c r="K2276" s="5">
        <v>0.19701492537313434</v>
      </c>
      <c r="L2276" s="5">
        <v>8.9552238805970154E-3</v>
      </c>
    </row>
    <row r="2277" spans="7:12">
      <c r="G2277" t="s">
        <v>2876</v>
      </c>
      <c r="H2277" t="s">
        <v>218</v>
      </c>
      <c r="I2277" t="s">
        <v>352</v>
      </c>
      <c r="J2277" s="4">
        <v>9847</v>
      </c>
      <c r="K2277" s="5">
        <v>0.19701431908195388</v>
      </c>
      <c r="L2277" s="5">
        <v>8.8351782268711286E-3</v>
      </c>
    </row>
    <row r="2278" spans="7:12">
      <c r="G2278" t="s">
        <v>2877</v>
      </c>
      <c r="H2278" t="s">
        <v>115</v>
      </c>
      <c r="I2278" t="s">
        <v>118</v>
      </c>
      <c r="J2278" s="4">
        <v>8225</v>
      </c>
      <c r="K2278" s="5">
        <v>0.19696048632218846</v>
      </c>
      <c r="L2278" s="5">
        <v>1.4103343465045593E-2</v>
      </c>
    </row>
    <row r="2279" spans="7:12">
      <c r="G2279" t="s">
        <v>2878</v>
      </c>
      <c r="H2279" t="s">
        <v>233</v>
      </c>
      <c r="I2279" t="s">
        <v>215</v>
      </c>
      <c r="J2279" s="4">
        <v>3946</v>
      </c>
      <c r="K2279" s="5">
        <v>0.19690826153066396</v>
      </c>
      <c r="L2279" s="5">
        <v>8.109477952356817E-3</v>
      </c>
    </row>
    <row r="2280" spans="7:12">
      <c r="G2280" t="s">
        <v>2879</v>
      </c>
      <c r="H2280" t="s">
        <v>218</v>
      </c>
      <c r="I2280" t="s">
        <v>252</v>
      </c>
      <c r="J2280" s="4">
        <v>13836</v>
      </c>
      <c r="K2280" s="5">
        <v>0.19687771032090198</v>
      </c>
      <c r="L2280" s="5">
        <v>7.1552471812662615E-3</v>
      </c>
    </row>
    <row r="2281" spans="7:12">
      <c r="G2281" t="s">
        <v>2880</v>
      </c>
      <c r="H2281" t="s">
        <v>134</v>
      </c>
      <c r="I2281" t="s">
        <v>137</v>
      </c>
      <c r="J2281" s="4">
        <v>5506</v>
      </c>
      <c r="K2281" s="5">
        <v>0.19687613512531785</v>
      </c>
      <c r="L2281" s="5">
        <v>1.6890664729386124E-2</v>
      </c>
    </row>
    <row r="2282" spans="7:12">
      <c r="G2282" t="s">
        <v>2881</v>
      </c>
      <c r="H2282" t="s">
        <v>89</v>
      </c>
      <c r="I2282" t="s">
        <v>152</v>
      </c>
      <c r="J2282" s="4">
        <v>3334</v>
      </c>
      <c r="K2282" s="5">
        <v>0.19676064787042591</v>
      </c>
      <c r="L2282" s="5">
        <v>2.5194961007798441E-2</v>
      </c>
    </row>
    <row r="2283" spans="7:12">
      <c r="G2283" t="s">
        <v>2882</v>
      </c>
      <c r="H2283" t="s">
        <v>202</v>
      </c>
      <c r="I2283" t="s">
        <v>422</v>
      </c>
      <c r="J2283" s="4">
        <v>3014</v>
      </c>
      <c r="K2283" s="5">
        <v>0.19674850696748508</v>
      </c>
      <c r="L2283" s="5">
        <v>1.0617120106171201E-2</v>
      </c>
    </row>
    <row r="2284" spans="7:12">
      <c r="G2284" t="s">
        <v>2883</v>
      </c>
      <c r="H2284" t="s">
        <v>118</v>
      </c>
      <c r="I2284" t="s">
        <v>404</v>
      </c>
      <c r="J2284" s="4">
        <v>1779</v>
      </c>
      <c r="K2284" s="5">
        <v>0.1967397414277684</v>
      </c>
      <c r="L2284" s="5">
        <v>5.0590219224283303E-3</v>
      </c>
    </row>
    <row r="2285" spans="7:12">
      <c r="G2285" t="s">
        <v>2884</v>
      </c>
      <c r="H2285" t="s">
        <v>408</v>
      </c>
      <c r="I2285" t="s">
        <v>160</v>
      </c>
      <c r="J2285" s="4">
        <v>2084</v>
      </c>
      <c r="K2285" s="5">
        <v>0.19673704414587331</v>
      </c>
      <c r="L2285" s="5">
        <v>1.0076775431861805E-2</v>
      </c>
    </row>
    <row r="2286" spans="7:12">
      <c r="G2286" t="s">
        <v>2885</v>
      </c>
      <c r="H2286" t="s">
        <v>2886</v>
      </c>
      <c r="I2286" t="s">
        <v>89</v>
      </c>
      <c r="J2286" s="4">
        <v>3177</v>
      </c>
      <c r="K2286" s="5">
        <v>0.19672647151400693</v>
      </c>
      <c r="L2286" s="5">
        <v>3.6827195467422094E-2</v>
      </c>
    </row>
    <row r="2287" spans="7:12">
      <c r="G2287" t="s">
        <v>2887</v>
      </c>
      <c r="H2287" t="s">
        <v>149</v>
      </c>
      <c r="I2287" t="s">
        <v>182</v>
      </c>
      <c r="J2287" s="4">
        <v>7307</v>
      </c>
      <c r="K2287" s="5">
        <v>0.19666073628027919</v>
      </c>
      <c r="L2287" s="5">
        <v>1.3001231695634323E-2</v>
      </c>
    </row>
    <row r="2288" spans="7:12">
      <c r="G2288" t="s">
        <v>2888</v>
      </c>
      <c r="H2288" t="s">
        <v>233</v>
      </c>
      <c r="I2288" t="s">
        <v>370</v>
      </c>
      <c r="J2288" s="4">
        <v>6382</v>
      </c>
      <c r="K2288" s="5">
        <v>0.19664681917894078</v>
      </c>
      <c r="L2288" s="5">
        <v>7.6778439360701972E-3</v>
      </c>
    </row>
    <row r="2289" spans="7:12">
      <c r="G2289" t="s">
        <v>2889</v>
      </c>
      <c r="H2289" t="s">
        <v>447</v>
      </c>
      <c r="I2289" t="s">
        <v>89</v>
      </c>
      <c r="J2289" s="4">
        <v>3220</v>
      </c>
      <c r="K2289" s="5">
        <v>0.19658385093167702</v>
      </c>
      <c r="L2289" s="5">
        <v>2.9192546583850933E-2</v>
      </c>
    </row>
    <row r="2290" spans="7:12">
      <c r="G2290" t="s">
        <v>2890</v>
      </c>
      <c r="H2290" t="s">
        <v>162</v>
      </c>
      <c r="I2290" t="s">
        <v>368</v>
      </c>
      <c r="J2290" s="4">
        <v>1806</v>
      </c>
      <c r="K2290" s="5">
        <v>0.19656699889258028</v>
      </c>
      <c r="L2290" s="5">
        <v>1.937984496124031E-2</v>
      </c>
    </row>
    <row r="2291" spans="7:12">
      <c r="G2291" t="s">
        <v>2891</v>
      </c>
      <c r="H2291" t="s">
        <v>438</v>
      </c>
      <c r="I2291" t="s">
        <v>182</v>
      </c>
      <c r="J2291" s="4">
        <v>1572</v>
      </c>
      <c r="K2291" s="5">
        <v>0.1965648854961832</v>
      </c>
      <c r="L2291" s="5">
        <v>1.5903307888040712E-2</v>
      </c>
    </row>
    <row r="2292" spans="7:12">
      <c r="G2292" t="s">
        <v>2892</v>
      </c>
      <c r="H2292" t="s">
        <v>221</v>
      </c>
      <c r="I2292" t="s">
        <v>115</v>
      </c>
      <c r="J2292" s="4">
        <v>3308</v>
      </c>
      <c r="K2292" s="5">
        <v>0.19649334945586458</v>
      </c>
      <c r="L2292" s="5">
        <v>1.1789600967351875E-2</v>
      </c>
    </row>
    <row r="2293" spans="7:12">
      <c r="G2293" t="s">
        <v>2893</v>
      </c>
      <c r="H2293" t="s">
        <v>269</v>
      </c>
      <c r="I2293" t="s">
        <v>118</v>
      </c>
      <c r="J2293" s="4">
        <v>3018</v>
      </c>
      <c r="K2293" s="5">
        <v>0.19648774022531479</v>
      </c>
      <c r="L2293" s="5">
        <v>1.8886679920477135E-2</v>
      </c>
    </row>
    <row r="2294" spans="7:12">
      <c r="G2294" t="s">
        <v>2894</v>
      </c>
      <c r="H2294" t="s">
        <v>100</v>
      </c>
      <c r="I2294" t="s">
        <v>218</v>
      </c>
      <c r="J2294" s="4">
        <v>15089</v>
      </c>
      <c r="K2294" s="5">
        <v>0.19643448870037775</v>
      </c>
      <c r="L2294" s="5">
        <v>1.0404930744250779E-2</v>
      </c>
    </row>
    <row r="2295" spans="7:12">
      <c r="G2295" t="s">
        <v>2895</v>
      </c>
      <c r="H2295" t="s">
        <v>523</v>
      </c>
      <c r="I2295" t="s">
        <v>103</v>
      </c>
      <c r="J2295" s="4">
        <v>2404</v>
      </c>
      <c r="K2295" s="5">
        <v>0.19633943427620631</v>
      </c>
      <c r="L2295" s="5">
        <v>4.9916805324459234E-3</v>
      </c>
    </row>
    <row r="2296" spans="7:12">
      <c r="G2296" t="s">
        <v>2896</v>
      </c>
      <c r="H2296" t="s">
        <v>366</v>
      </c>
      <c r="I2296" t="s">
        <v>103</v>
      </c>
      <c r="J2296" s="4">
        <v>3221</v>
      </c>
      <c r="K2296" s="5">
        <v>0.19621235641105247</v>
      </c>
      <c r="L2296" s="5">
        <v>1.1797578391803787E-2</v>
      </c>
    </row>
    <row r="2297" spans="7:12">
      <c r="G2297" t="s">
        <v>2897</v>
      </c>
      <c r="H2297" t="s">
        <v>362</v>
      </c>
      <c r="I2297" t="s">
        <v>89</v>
      </c>
      <c r="J2297" s="4">
        <v>3701</v>
      </c>
      <c r="K2297" s="5">
        <v>0.19616319913536881</v>
      </c>
      <c r="L2297" s="5">
        <v>1.9454201567144017E-2</v>
      </c>
    </row>
    <row r="2298" spans="7:12">
      <c r="G2298" t="s">
        <v>2898</v>
      </c>
      <c r="H2298" t="s">
        <v>226</v>
      </c>
      <c r="I2298" t="s">
        <v>449</v>
      </c>
      <c r="J2298" s="4">
        <v>10471</v>
      </c>
      <c r="K2298" s="5">
        <v>0.19616082513609015</v>
      </c>
      <c r="L2298" s="5">
        <v>8.9771750549135707E-3</v>
      </c>
    </row>
    <row r="2299" spans="7:12">
      <c r="G2299" t="s">
        <v>2899</v>
      </c>
      <c r="H2299" t="s">
        <v>426</v>
      </c>
      <c r="I2299" t="s">
        <v>89</v>
      </c>
      <c r="J2299" s="4">
        <v>3875</v>
      </c>
      <c r="K2299" s="5">
        <v>0.19612903225806452</v>
      </c>
      <c r="L2299" s="5">
        <v>1.3935483870967743E-2</v>
      </c>
    </row>
    <row r="2300" spans="7:12">
      <c r="G2300" t="s">
        <v>2900</v>
      </c>
      <c r="H2300" t="s">
        <v>213</v>
      </c>
      <c r="I2300" t="s">
        <v>259</v>
      </c>
      <c r="J2300" s="4">
        <v>1601</v>
      </c>
      <c r="K2300" s="5">
        <v>0.19612742036227357</v>
      </c>
      <c r="L2300" s="5">
        <v>4.3098063710181135E-2</v>
      </c>
    </row>
    <row r="2301" spans="7:12">
      <c r="G2301" t="s">
        <v>2901</v>
      </c>
      <c r="H2301" t="s">
        <v>162</v>
      </c>
      <c r="I2301" t="s">
        <v>115</v>
      </c>
      <c r="J2301" s="4">
        <v>12218</v>
      </c>
      <c r="K2301" s="5">
        <v>0.19602226223604519</v>
      </c>
      <c r="L2301" s="5">
        <v>1.6860369945981338E-2</v>
      </c>
    </row>
    <row r="2302" spans="7:12">
      <c r="G2302" t="s">
        <v>2902</v>
      </c>
      <c r="H2302" t="s">
        <v>297</v>
      </c>
      <c r="I2302" t="s">
        <v>136</v>
      </c>
      <c r="J2302" s="4">
        <v>1750</v>
      </c>
      <c r="K2302" s="5">
        <v>0.19600000000000001</v>
      </c>
      <c r="L2302" s="5">
        <v>9.1428571428571435E-3</v>
      </c>
    </row>
    <row r="2303" spans="7:12">
      <c r="G2303" t="s">
        <v>2903</v>
      </c>
      <c r="H2303" t="s">
        <v>284</v>
      </c>
      <c r="I2303" t="s">
        <v>89</v>
      </c>
      <c r="J2303" s="4">
        <v>5189</v>
      </c>
      <c r="K2303" s="5">
        <v>0.19599152052418578</v>
      </c>
      <c r="L2303" s="5">
        <v>2.5052996723838889E-2</v>
      </c>
    </row>
    <row r="2304" spans="7:12">
      <c r="G2304" t="s">
        <v>2904</v>
      </c>
      <c r="H2304" t="s">
        <v>515</v>
      </c>
      <c r="I2304" t="s">
        <v>525</v>
      </c>
      <c r="J2304" s="4">
        <v>1097</v>
      </c>
      <c r="K2304" s="5">
        <v>0.19598906107566089</v>
      </c>
      <c r="L2304" s="5">
        <v>3.6463081130355514E-3</v>
      </c>
    </row>
    <row r="2305" spans="7:12">
      <c r="G2305" t="s">
        <v>2905</v>
      </c>
      <c r="H2305" t="s">
        <v>501</v>
      </c>
      <c r="I2305" t="s">
        <v>215</v>
      </c>
      <c r="J2305" s="4">
        <v>2925</v>
      </c>
      <c r="K2305" s="5">
        <v>0.19589743589743588</v>
      </c>
      <c r="L2305" s="5">
        <v>1.2991452991452991E-2</v>
      </c>
    </row>
    <row r="2306" spans="7:12">
      <c r="G2306" t="s">
        <v>2906</v>
      </c>
      <c r="H2306" t="s">
        <v>388</v>
      </c>
      <c r="I2306" t="s">
        <v>202</v>
      </c>
      <c r="J2306" s="4">
        <v>1256</v>
      </c>
      <c r="K2306" s="5">
        <v>0.19585987261146498</v>
      </c>
      <c r="L2306" s="5">
        <v>1.0350318471337579E-2</v>
      </c>
    </row>
    <row r="2307" spans="7:12">
      <c r="G2307" t="s">
        <v>2907</v>
      </c>
      <c r="H2307" t="s">
        <v>89</v>
      </c>
      <c r="I2307" t="s">
        <v>158</v>
      </c>
      <c r="J2307" s="4">
        <v>8640</v>
      </c>
      <c r="K2307" s="5">
        <v>0.19583333333333333</v>
      </c>
      <c r="L2307" s="5">
        <v>1.6319444444444445E-2</v>
      </c>
    </row>
    <row r="2308" spans="7:12">
      <c r="G2308" t="s">
        <v>2908</v>
      </c>
      <c r="H2308" t="s">
        <v>215</v>
      </c>
      <c r="I2308" t="s">
        <v>278</v>
      </c>
      <c r="J2308" s="4">
        <v>1001</v>
      </c>
      <c r="K2308" s="5">
        <v>0.19580419580419581</v>
      </c>
      <c r="L2308" s="5">
        <v>2.997002997002997E-3</v>
      </c>
    </row>
    <row r="2309" spans="7:12">
      <c r="G2309" t="s">
        <v>2909</v>
      </c>
      <c r="H2309" t="s">
        <v>233</v>
      </c>
      <c r="I2309" t="s">
        <v>368</v>
      </c>
      <c r="J2309" s="4">
        <v>1911</v>
      </c>
      <c r="K2309" s="5">
        <v>0.19570905285190998</v>
      </c>
      <c r="L2309" s="5">
        <v>5.2328623757195184E-3</v>
      </c>
    </row>
    <row r="2310" spans="7:12">
      <c r="G2310" t="s">
        <v>2910</v>
      </c>
      <c r="H2310" t="s">
        <v>461</v>
      </c>
      <c r="I2310" t="s">
        <v>495</v>
      </c>
      <c r="J2310" s="4">
        <v>1855</v>
      </c>
      <c r="K2310" s="5">
        <v>0.19568733153638815</v>
      </c>
      <c r="L2310" s="5">
        <v>9.1644204851752016E-3</v>
      </c>
    </row>
    <row r="2311" spans="7:12">
      <c r="G2311" t="s">
        <v>2911</v>
      </c>
      <c r="H2311" t="s">
        <v>414</v>
      </c>
      <c r="I2311" t="s">
        <v>89</v>
      </c>
      <c r="J2311" s="4">
        <v>5233</v>
      </c>
      <c r="K2311" s="5">
        <v>0.19568125358303076</v>
      </c>
      <c r="L2311" s="5">
        <v>1.9300592394420026E-2</v>
      </c>
    </row>
    <row r="2312" spans="7:12">
      <c r="G2312" t="s">
        <v>2912</v>
      </c>
      <c r="H2312" t="s">
        <v>136</v>
      </c>
      <c r="I2312" t="s">
        <v>377</v>
      </c>
      <c r="J2312" s="4">
        <v>8953</v>
      </c>
      <c r="K2312" s="5">
        <v>0.19557690159722999</v>
      </c>
      <c r="L2312" s="5">
        <v>1.072266279459399E-2</v>
      </c>
    </row>
    <row r="2313" spans="7:12">
      <c r="G2313" t="s">
        <v>2913</v>
      </c>
      <c r="H2313" t="s">
        <v>489</v>
      </c>
      <c r="I2313" t="s">
        <v>189</v>
      </c>
      <c r="J2313" s="4">
        <v>3973</v>
      </c>
      <c r="K2313" s="5">
        <v>0.19557009816259754</v>
      </c>
      <c r="L2313" s="5">
        <v>3.7754845205134661E-3</v>
      </c>
    </row>
    <row r="2314" spans="7:12">
      <c r="G2314" t="s">
        <v>2914</v>
      </c>
      <c r="H2314" t="s">
        <v>322</v>
      </c>
      <c r="I2314" t="s">
        <v>288</v>
      </c>
      <c r="J2314" s="4">
        <v>3595</v>
      </c>
      <c r="K2314" s="5">
        <v>0.19554937413073714</v>
      </c>
      <c r="L2314" s="5">
        <v>1.0292072322670376E-2</v>
      </c>
    </row>
    <row r="2315" spans="7:12">
      <c r="G2315" t="s">
        <v>2915</v>
      </c>
      <c r="H2315" t="s">
        <v>245</v>
      </c>
      <c r="I2315" t="s">
        <v>100</v>
      </c>
      <c r="J2315" s="4">
        <v>1478</v>
      </c>
      <c r="K2315" s="5">
        <v>0.19553450608930989</v>
      </c>
      <c r="L2315" s="5">
        <v>1.5561569688768605E-2</v>
      </c>
    </row>
    <row r="2316" spans="7:12">
      <c r="G2316" t="s">
        <v>2916</v>
      </c>
      <c r="H2316" t="s">
        <v>259</v>
      </c>
      <c r="I2316" t="s">
        <v>162</v>
      </c>
      <c r="J2316" s="4">
        <v>23019</v>
      </c>
      <c r="K2316" s="5">
        <v>0.19549068161084321</v>
      </c>
      <c r="L2316" s="5">
        <v>3.0453103957600244E-2</v>
      </c>
    </row>
    <row r="2317" spans="7:12">
      <c r="G2317" t="s">
        <v>2917</v>
      </c>
      <c r="H2317" t="s">
        <v>268</v>
      </c>
      <c r="I2317" t="s">
        <v>416</v>
      </c>
      <c r="J2317" s="4">
        <v>4902</v>
      </c>
      <c r="K2317" s="5">
        <v>0.19543043655650755</v>
      </c>
      <c r="L2317" s="5">
        <v>6.1199510403916772E-3</v>
      </c>
    </row>
    <row r="2318" spans="7:12">
      <c r="G2318" t="s">
        <v>2918</v>
      </c>
      <c r="H2318" t="s">
        <v>89</v>
      </c>
      <c r="I2318" t="s">
        <v>271</v>
      </c>
      <c r="J2318" s="4">
        <v>3362</v>
      </c>
      <c r="K2318" s="5">
        <v>0.19541939321832244</v>
      </c>
      <c r="L2318" s="5">
        <v>1.6954193932183226E-2</v>
      </c>
    </row>
    <row r="2319" spans="7:12">
      <c r="G2319" t="s">
        <v>2919</v>
      </c>
      <c r="H2319" t="s">
        <v>326</v>
      </c>
      <c r="I2319" t="s">
        <v>406</v>
      </c>
      <c r="J2319" s="4">
        <v>5272</v>
      </c>
      <c r="K2319" s="5">
        <v>0.19537177541729894</v>
      </c>
      <c r="L2319" s="5">
        <v>4.552352048558422E-3</v>
      </c>
    </row>
    <row r="2320" spans="7:12">
      <c r="G2320" t="s">
        <v>2920</v>
      </c>
      <c r="H2320" t="s">
        <v>121</v>
      </c>
      <c r="I2320" t="s">
        <v>100</v>
      </c>
      <c r="J2320" s="4">
        <v>5702</v>
      </c>
      <c r="K2320" s="5">
        <v>0.19537004559803578</v>
      </c>
      <c r="L2320" s="5">
        <v>1.1399508944230094E-2</v>
      </c>
    </row>
    <row r="2321" spans="7:12">
      <c r="G2321" t="s">
        <v>2921</v>
      </c>
      <c r="H2321" t="s">
        <v>374</v>
      </c>
      <c r="I2321" t="s">
        <v>134</v>
      </c>
      <c r="J2321" s="4">
        <v>2662</v>
      </c>
      <c r="K2321" s="5">
        <v>0.19534184823441023</v>
      </c>
      <c r="L2321" s="5">
        <v>1.0518407212622089E-2</v>
      </c>
    </row>
    <row r="2322" spans="7:12">
      <c r="G2322" t="s">
        <v>2922</v>
      </c>
      <c r="H2322" t="s">
        <v>451</v>
      </c>
      <c r="I2322" t="s">
        <v>131</v>
      </c>
      <c r="J2322" s="4">
        <v>4034</v>
      </c>
      <c r="K2322" s="5">
        <v>0.19533961328705998</v>
      </c>
      <c r="L2322" s="5">
        <v>6.9410014873574613E-3</v>
      </c>
    </row>
    <row r="2323" spans="7:12">
      <c r="G2323" t="s">
        <v>2923</v>
      </c>
      <c r="H2323" t="s">
        <v>358</v>
      </c>
      <c r="I2323" t="s">
        <v>100</v>
      </c>
      <c r="J2323" s="4">
        <v>5644</v>
      </c>
      <c r="K2323" s="5">
        <v>0.19525159461374911</v>
      </c>
      <c r="L2323" s="5">
        <v>1.2756909992912827E-2</v>
      </c>
    </row>
    <row r="2324" spans="7:12">
      <c r="G2324" t="s">
        <v>2924</v>
      </c>
      <c r="H2324" t="s">
        <v>252</v>
      </c>
      <c r="I2324" t="s">
        <v>118</v>
      </c>
      <c r="J2324" s="4">
        <v>8954</v>
      </c>
      <c r="K2324" s="5">
        <v>0.19522001340183159</v>
      </c>
      <c r="L2324" s="5">
        <v>1.262005807460353E-2</v>
      </c>
    </row>
    <row r="2325" spans="7:12">
      <c r="G2325" t="s">
        <v>2925</v>
      </c>
      <c r="H2325" t="s">
        <v>189</v>
      </c>
      <c r="I2325" t="s">
        <v>434</v>
      </c>
      <c r="J2325" s="4">
        <v>2818</v>
      </c>
      <c r="K2325" s="5">
        <v>0.19517388218594747</v>
      </c>
      <c r="L2325" s="5">
        <v>5.6777856635911996E-3</v>
      </c>
    </row>
    <row r="2326" spans="7:12">
      <c r="G2326" t="s">
        <v>2926</v>
      </c>
      <c r="H2326" t="s">
        <v>370</v>
      </c>
      <c r="I2326" t="s">
        <v>149</v>
      </c>
      <c r="J2326" s="4">
        <v>30221</v>
      </c>
      <c r="K2326" s="5">
        <v>0.19512921478442144</v>
      </c>
      <c r="L2326" s="5">
        <v>7.4451540319645281E-3</v>
      </c>
    </row>
    <row r="2327" spans="7:12">
      <c r="G2327" t="s">
        <v>2927</v>
      </c>
      <c r="H2327" t="s">
        <v>89</v>
      </c>
      <c r="I2327" t="s">
        <v>123</v>
      </c>
      <c r="J2327" s="4">
        <v>2973</v>
      </c>
      <c r="K2327" s="5">
        <v>0.19508913555331314</v>
      </c>
      <c r="L2327" s="5">
        <v>1.2445341405987218E-2</v>
      </c>
    </row>
    <row r="2328" spans="7:12">
      <c r="G2328" t="s">
        <v>2928</v>
      </c>
      <c r="H2328" t="s">
        <v>100</v>
      </c>
      <c r="I2328" t="s">
        <v>260</v>
      </c>
      <c r="J2328" s="4">
        <v>2927</v>
      </c>
      <c r="K2328" s="5">
        <v>0.1950802869832593</v>
      </c>
      <c r="L2328" s="5">
        <v>1.0932695592757089E-2</v>
      </c>
    </row>
    <row r="2329" spans="7:12">
      <c r="G2329" t="s">
        <v>2929</v>
      </c>
      <c r="H2329" t="s">
        <v>202</v>
      </c>
      <c r="I2329" t="s">
        <v>236</v>
      </c>
      <c r="J2329" s="4">
        <v>3379</v>
      </c>
      <c r="K2329" s="5">
        <v>0.19502811482687185</v>
      </c>
      <c r="L2329" s="5">
        <v>1.1245930748742231E-2</v>
      </c>
    </row>
    <row r="2330" spans="7:12">
      <c r="G2330" t="s">
        <v>2930</v>
      </c>
      <c r="H2330" t="s">
        <v>414</v>
      </c>
      <c r="I2330" t="s">
        <v>95</v>
      </c>
      <c r="J2330" s="4">
        <v>6671</v>
      </c>
      <c r="K2330" s="5">
        <v>0.19487333233398291</v>
      </c>
      <c r="L2330" s="5">
        <v>1.3491230700044972E-2</v>
      </c>
    </row>
    <row r="2331" spans="7:12">
      <c r="G2331" t="s">
        <v>2931</v>
      </c>
      <c r="H2331" t="s">
        <v>268</v>
      </c>
      <c r="I2331" t="s">
        <v>457</v>
      </c>
      <c r="J2331" s="4">
        <v>2104</v>
      </c>
      <c r="K2331" s="5">
        <v>0.19486692015209126</v>
      </c>
      <c r="L2331" s="5">
        <v>7.1292775665399242E-3</v>
      </c>
    </row>
    <row r="2332" spans="7:12">
      <c r="G2332" t="s">
        <v>2932</v>
      </c>
      <c r="H2332" t="s">
        <v>432</v>
      </c>
      <c r="I2332" t="s">
        <v>89</v>
      </c>
      <c r="J2332" s="4">
        <v>7617</v>
      </c>
      <c r="K2332" s="5">
        <v>0.19482735985296049</v>
      </c>
      <c r="L2332" s="5">
        <v>2.1924642247604043E-2</v>
      </c>
    </row>
    <row r="2333" spans="7:12">
      <c r="G2333" t="s">
        <v>2933</v>
      </c>
      <c r="H2333" t="s">
        <v>484</v>
      </c>
      <c r="I2333" t="s">
        <v>89</v>
      </c>
      <c r="J2333" s="4">
        <v>2423</v>
      </c>
      <c r="K2333" s="5">
        <v>0.19479983491539413</v>
      </c>
      <c r="L2333" s="5">
        <v>1.6921172100701608E-2</v>
      </c>
    </row>
    <row r="2334" spans="7:12">
      <c r="G2334" t="s">
        <v>2934</v>
      </c>
      <c r="H2334" t="s">
        <v>162</v>
      </c>
      <c r="I2334" t="s">
        <v>352</v>
      </c>
      <c r="J2334" s="4">
        <v>2115</v>
      </c>
      <c r="K2334" s="5">
        <v>0.19479905437352246</v>
      </c>
      <c r="L2334" s="5">
        <v>1.7966903073286054E-2</v>
      </c>
    </row>
    <row r="2335" spans="7:12">
      <c r="G2335" t="s">
        <v>2935</v>
      </c>
      <c r="H2335" t="s">
        <v>322</v>
      </c>
      <c r="I2335" t="s">
        <v>107</v>
      </c>
      <c r="J2335" s="4">
        <v>3409</v>
      </c>
      <c r="K2335" s="5">
        <v>0.19477852742739807</v>
      </c>
      <c r="L2335" s="5">
        <v>7.9202112056321501E-3</v>
      </c>
    </row>
    <row r="2336" spans="7:12">
      <c r="G2336" t="s">
        <v>2936</v>
      </c>
      <c r="H2336" t="s">
        <v>178</v>
      </c>
      <c r="I2336" t="s">
        <v>100</v>
      </c>
      <c r="J2336" s="4">
        <v>3291</v>
      </c>
      <c r="K2336" s="5">
        <v>0.19477362503798237</v>
      </c>
      <c r="L2336" s="5">
        <v>1.4585232452142206E-2</v>
      </c>
    </row>
    <row r="2337" spans="7:12">
      <c r="G2337" t="s">
        <v>2937</v>
      </c>
      <c r="H2337" t="s">
        <v>326</v>
      </c>
      <c r="I2337" t="s">
        <v>236</v>
      </c>
      <c r="J2337" s="4">
        <v>6547</v>
      </c>
      <c r="K2337" s="5">
        <v>0.19474568504658621</v>
      </c>
      <c r="L2337" s="5">
        <v>4.2767679853367956E-3</v>
      </c>
    </row>
    <row r="2338" spans="7:12">
      <c r="G2338" t="s">
        <v>2938</v>
      </c>
      <c r="H2338" t="s">
        <v>268</v>
      </c>
      <c r="I2338" t="s">
        <v>374</v>
      </c>
      <c r="J2338" s="4">
        <v>3985</v>
      </c>
      <c r="K2338" s="5">
        <v>0.19473023839397741</v>
      </c>
      <c r="L2338" s="5">
        <v>7.5282308657465494E-3</v>
      </c>
    </row>
    <row r="2339" spans="7:12">
      <c r="G2339" t="s">
        <v>2939</v>
      </c>
      <c r="H2339" t="s">
        <v>461</v>
      </c>
      <c r="I2339" t="s">
        <v>268</v>
      </c>
      <c r="J2339" s="4">
        <v>1176</v>
      </c>
      <c r="K2339" s="5">
        <v>0.19472789115646258</v>
      </c>
      <c r="L2339" s="5">
        <v>4.2517006802721092E-3</v>
      </c>
    </row>
    <row r="2340" spans="7:12">
      <c r="G2340" t="s">
        <v>2940</v>
      </c>
      <c r="H2340" t="s">
        <v>269</v>
      </c>
      <c r="I2340" t="s">
        <v>136</v>
      </c>
      <c r="J2340" s="4">
        <v>1392</v>
      </c>
      <c r="K2340" s="5">
        <v>0.19468390804597702</v>
      </c>
      <c r="L2340" s="5">
        <v>2.8735632183908046E-3</v>
      </c>
    </row>
    <row r="2341" spans="7:12">
      <c r="G2341" t="s">
        <v>2941</v>
      </c>
      <c r="H2341" t="s">
        <v>268</v>
      </c>
      <c r="I2341" t="s">
        <v>451</v>
      </c>
      <c r="J2341" s="4">
        <v>3144</v>
      </c>
      <c r="K2341" s="5">
        <v>0.19465648854961831</v>
      </c>
      <c r="L2341" s="5">
        <v>6.043256997455471E-3</v>
      </c>
    </row>
    <row r="2342" spans="7:12">
      <c r="G2342" t="s">
        <v>2942</v>
      </c>
      <c r="H2342" t="s">
        <v>2553</v>
      </c>
      <c r="I2342" t="s">
        <v>89</v>
      </c>
      <c r="J2342" s="4">
        <v>2184</v>
      </c>
      <c r="K2342" s="5">
        <v>0.1945970695970696</v>
      </c>
      <c r="L2342" s="5">
        <v>2.976190476190476E-2</v>
      </c>
    </row>
    <row r="2343" spans="7:12">
      <c r="G2343" t="s">
        <v>2943</v>
      </c>
      <c r="H2343" t="s">
        <v>226</v>
      </c>
      <c r="I2343" t="s">
        <v>149</v>
      </c>
      <c r="J2343" s="4">
        <v>20602</v>
      </c>
      <c r="K2343" s="5">
        <v>0.19459275798466169</v>
      </c>
      <c r="L2343" s="5">
        <v>1.0532957965246092E-2</v>
      </c>
    </row>
    <row r="2344" spans="7:12">
      <c r="G2344" t="s">
        <v>2944</v>
      </c>
      <c r="H2344" t="s">
        <v>103</v>
      </c>
      <c r="I2344" t="s">
        <v>395</v>
      </c>
      <c r="J2344" s="4">
        <v>3825</v>
      </c>
      <c r="K2344" s="5">
        <v>0.19450980392156864</v>
      </c>
      <c r="L2344" s="5">
        <v>1.045751633986928E-2</v>
      </c>
    </row>
    <row r="2345" spans="7:12">
      <c r="G2345" t="s">
        <v>2945</v>
      </c>
      <c r="H2345" t="s">
        <v>372</v>
      </c>
      <c r="I2345" t="s">
        <v>140</v>
      </c>
      <c r="J2345" s="4">
        <v>1548</v>
      </c>
      <c r="K2345" s="5">
        <v>0.19444444444444445</v>
      </c>
      <c r="L2345" s="5">
        <v>4.1343669250645997E-2</v>
      </c>
    </row>
    <row r="2346" spans="7:12">
      <c r="G2346" t="s">
        <v>2946</v>
      </c>
      <c r="H2346" t="s">
        <v>360</v>
      </c>
      <c r="I2346" t="s">
        <v>95</v>
      </c>
      <c r="J2346" s="4">
        <v>4794</v>
      </c>
      <c r="K2346" s="5">
        <v>0.19440967876512308</v>
      </c>
      <c r="L2346" s="5">
        <v>1.5227367542761786E-2</v>
      </c>
    </row>
    <row r="2347" spans="7:12">
      <c r="G2347" t="s">
        <v>2947</v>
      </c>
      <c r="H2347" t="s">
        <v>89</v>
      </c>
      <c r="I2347" t="s">
        <v>286</v>
      </c>
      <c r="J2347" s="4">
        <v>4167</v>
      </c>
      <c r="K2347" s="5">
        <v>0.19438444924406048</v>
      </c>
      <c r="L2347" s="5">
        <v>1.6558675305975521E-2</v>
      </c>
    </row>
    <row r="2348" spans="7:12">
      <c r="G2348" t="s">
        <v>2948</v>
      </c>
      <c r="H2348" t="s">
        <v>202</v>
      </c>
      <c r="I2348" t="s">
        <v>402</v>
      </c>
      <c r="J2348" s="4">
        <v>1204</v>
      </c>
      <c r="K2348" s="5">
        <v>0.19435215946843853</v>
      </c>
      <c r="L2348" s="5">
        <v>2.5747508305647839E-2</v>
      </c>
    </row>
    <row r="2349" spans="7:12">
      <c r="G2349" t="s">
        <v>2949</v>
      </c>
      <c r="H2349" t="s">
        <v>268</v>
      </c>
      <c r="I2349" t="s">
        <v>136</v>
      </c>
      <c r="J2349" s="4">
        <v>5372</v>
      </c>
      <c r="K2349" s="5">
        <v>0.19434102755026061</v>
      </c>
      <c r="L2349" s="5">
        <v>1.3961280714817573E-2</v>
      </c>
    </row>
    <row r="2350" spans="7:12">
      <c r="G2350" t="s">
        <v>2950</v>
      </c>
      <c r="H2350" t="s">
        <v>218</v>
      </c>
      <c r="I2350" t="s">
        <v>268</v>
      </c>
      <c r="J2350" s="4">
        <v>9360</v>
      </c>
      <c r="K2350" s="5">
        <v>0.19433760683760684</v>
      </c>
      <c r="L2350" s="5">
        <v>8.2264957264957268E-3</v>
      </c>
    </row>
    <row r="2351" spans="7:12">
      <c r="G2351" t="s">
        <v>2951</v>
      </c>
      <c r="H2351" t="s">
        <v>100</v>
      </c>
      <c r="I2351" t="s">
        <v>420</v>
      </c>
      <c r="J2351" s="4">
        <v>2975</v>
      </c>
      <c r="K2351" s="5">
        <v>0.19428571428571428</v>
      </c>
      <c r="L2351" s="5">
        <v>1.5798319327731094E-2</v>
      </c>
    </row>
    <row r="2352" spans="7:12">
      <c r="G2352" t="s">
        <v>2952</v>
      </c>
      <c r="H2352" t="s">
        <v>149</v>
      </c>
      <c r="I2352" t="s">
        <v>342</v>
      </c>
      <c r="J2352" s="4">
        <v>4279</v>
      </c>
      <c r="K2352" s="5">
        <v>0.19420425333021735</v>
      </c>
      <c r="L2352" s="5">
        <v>3.0147230661369481E-2</v>
      </c>
    </row>
    <row r="2353" spans="7:12">
      <c r="G2353" t="s">
        <v>2953</v>
      </c>
      <c r="H2353" t="s">
        <v>408</v>
      </c>
      <c r="I2353" t="s">
        <v>103</v>
      </c>
      <c r="J2353" s="4">
        <v>7729</v>
      </c>
      <c r="K2353" s="5">
        <v>0.19420364859619615</v>
      </c>
      <c r="L2353" s="5">
        <v>9.0567990684435242E-3</v>
      </c>
    </row>
    <row r="2354" spans="7:12">
      <c r="G2354" t="s">
        <v>2954</v>
      </c>
      <c r="H2354" t="s">
        <v>370</v>
      </c>
      <c r="I2354" t="s">
        <v>372</v>
      </c>
      <c r="J2354" s="4">
        <v>1236</v>
      </c>
      <c r="K2354" s="5">
        <v>0.1941747572815534</v>
      </c>
      <c r="L2354" s="5">
        <v>5.6634304207119745E-3</v>
      </c>
    </row>
    <row r="2355" spans="7:12">
      <c r="G2355" t="s">
        <v>2955</v>
      </c>
      <c r="H2355" t="s">
        <v>184</v>
      </c>
      <c r="I2355" t="s">
        <v>474</v>
      </c>
      <c r="J2355" s="4">
        <v>1983</v>
      </c>
      <c r="K2355" s="5">
        <v>0.19415027735753909</v>
      </c>
      <c r="L2355" s="5">
        <v>7.5642965204236008E-3</v>
      </c>
    </row>
    <row r="2356" spans="7:12">
      <c r="G2356" t="s">
        <v>2956</v>
      </c>
      <c r="H2356" t="s">
        <v>324</v>
      </c>
      <c r="I2356" t="s">
        <v>103</v>
      </c>
      <c r="J2356" s="4">
        <v>6873</v>
      </c>
      <c r="K2356" s="5">
        <v>0.1940928270042194</v>
      </c>
      <c r="L2356" s="5">
        <v>1.0621271642659682E-2</v>
      </c>
    </row>
    <row r="2357" spans="7:12">
      <c r="G2357" t="s">
        <v>2957</v>
      </c>
      <c r="H2357" t="s">
        <v>236</v>
      </c>
      <c r="I2357" t="s">
        <v>349</v>
      </c>
      <c r="J2357" s="4">
        <v>2030</v>
      </c>
      <c r="K2357" s="5">
        <v>0.19408866995073892</v>
      </c>
      <c r="L2357" s="5">
        <v>7.8817733990147777E-3</v>
      </c>
    </row>
    <row r="2358" spans="7:12">
      <c r="G2358" t="s">
        <v>2958</v>
      </c>
      <c r="H2358" t="s">
        <v>346</v>
      </c>
      <c r="I2358" t="s">
        <v>215</v>
      </c>
      <c r="J2358" s="4">
        <v>6451</v>
      </c>
      <c r="K2358" s="5">
        <v>0.19407843745155789</v>
      </c>
      <c r="L2358" s="5">
        <v>1.0696016121531546E-2</v>
      </c>
    </row>
    <row r="2359" spans="7:12">
      <c r="G2359" t="s">
        <v>2959</v>
      </c>
      <c r="H2359" t="s">
        <v>358</v>
      </c>
      <c r="I2359" t="s">
        <v>140</v>
      </c>
      <c r="J2359" s="4">
        <v>6168</v>
      </c>
      <c r="K2359" s="5">
        <v>0.19406614785992218</v>
      </c>
      <c r="L2359" s="5">
        <v>3.0966277561608302E-2</v>
      </c>
    </row>
    <row r="2360" spans="7:12">
      <c r="G2360" t="s">
        <v>2960</v>
      </c>
      <c r="H2360" t="s">
        <v>236</v>
      </c>
      <c r="I2360" t="s">
        <v>85</v>
      </c>
      <c r="J2360" s="4">
        <v>2814</v>
      </c>
      <c r="K2360" s="5">
        <v>0.19402985074626866</v>
      </c>
      <c r="L2360" s="5">
        <v>8.1734186211798159E-3</v>
      </c>
    </row>
    <row r="2361" spans="7:12">
      <c r="G2361" t="s">
        <v>2961</v>
      </c>
      <c r="H2361" t="s">
        <v>202</v>
      </c>
      <c r="I2361" t="s">
        <v>80</v>
      </c>
      <c r="J2361" s="4">
        <v>3837</v>
      </c>
      <c r="K2361" s="5">
        <v>0.19390148553557468</v>
      </c>
      <c r="L2361" s="5">
        <v>1.7461558509252021E-2</v>
      </c>
    </row>
    <row r="2362" spans="7:12">
      <c r="G2362" t="s">
        <v>2962</v>
      </c>
      <c r="H2362" t="s">
        <v>115</v>
      </c>
      <c r="I2362" t="s">
        <v>461</v>
      </c>
      <c r="J2362" s="4">
        <v>2027</v>
      </c>
      <c r="K2362" s="5">
        <v>0.19388258510113468</v>
      </c>
      <c r="L2362" s="5">
        <v>7.4000986679822398E-3</v>
      </c>
    </row>
    <row r="2363" spans="7:12">
      <c r="G2363" t="s">
        <v>2963</v>
      </c>
      <c r="H2363" t="s">
        <v>370</v>
      </c>
      <c r="I2363" t="s">
        <v>189</v>
      </c>
      <c r="J2363" s="4">
        <v>12407</v>
      </c>
      <c r="K2363" s="5">
        <v>0.19384218586281937</v>
      </c>
      <c r="L2363" s="5">
        <v>7.4151688562908036E-3</v>
      </c>
    </row>
    <row r="2364" spans="7:12">
      <c r="G2364" t="s">
        <v>2964</v>
      </c>
      <c r="H2364" t="s">
        <v>221</v>
      </c>
      <c r="I2364" t="s">
        <v>202</v>
      </c>
      <c r="J2364" s="4">
        <v>3654</v>
      </c>
      <c r="K2364" s="5">
        <v>0.19376026272577998</v>
      </c>
      <c r="L2364" s="5">
        <v>1.7788724685276411E-2</v>
      </c>
    </row>
    <row r="2365" spans="7:12">
      <c r="G2365" t="s">
        <v>2965</v>
      </c>
      <c r="H2365" t="s">
        <v>131</v>
      </c>
      <c r="I2365" t="s">
        <v>134</v>
      </c>
      <c r="J2365" s="4">
        <v>12108</v>
      </c>
      <c r="K2365" s="5">
        <v>0.1937561942517344</v>
      </c>
      <c r="L2365" s="5">
        <v>1.0241162867525603E-2</v>
      </c>
    </row>
    <row r="2366" spans="7:12">
      <c r="G2366" t="s">
        <v>2966</v>
      </c>
      <c r="H2366" t="s">
        <v>326</v>
      </c>
      <c r="I2366" t="s">
        <v>412</v>
      </c>
      <c r="J2366" s="4">
        <v>4341</v>
      </c>
      <c r="K2366" s="5">
        <v>0.19373416263533749</v>
      </c>
      <c r="L2366" s="5">
        <v>1.6125316747293251E-3</v>
      </c>
    </row>
    <row r="2367" spans="7:12">
      <c r="G2367" t="s">
        <v>2967</v>
      </c>
      <c r="H2367" t="s">
        <v>491</v>
      </c>
      <c r="I2367" t="s">
        <v>89</v>
      </c>
      <c r="J2367" s="4">
        <v>1456</v>
      </c>
      <c r="K2367" s="5">
        <v>0.19368131868131869</v>
      </c>
      <c r="L2367" s="5">
        <v>1.9917582417582416E-2</v>
      </c>
    </row>
    <row r="2368" spans="7:12">
      <c r="G2368" t="s">
        <v>2968</v>
      </c>
      <c r="H2368" t="s">
        <v>408</v>
      </c>
      <c r="I2368" t="s">
        <v>134</v>
      </c>
      <c r="J2368" s="4">
        <v>2437</v>
      </c>
      <c r="K2368" s="5">
        <v>0.19368075502667215</v>
      </c>
      <c r="L2368" s="5">
        <v>2.0106688551497744E-2</v>
      </c>
    </row>
    <row r="2369" spans="7:12">
      <c r="G2369" t="s">
        <v>2969</v>
      </c>
      <c r="H2369" t="s">
        <v>319</v>
      </c>
      <c r="I2369" t="s">
        <v>204</v>
      </c>
      <c r="J2369" s="4">
        <v>7556</v>
      </c>
      <c r="K2369" s="5">
        <v>0.19362096347273688</v>
      </c>
      <c r="L2369" s="5">
        <v>2.9512969825304394E-2</v>
      </c>
    </row>
    <row r="2370" spans="7:12">
      <c r="G2370" t="s">
        <v>2970</v>
      </c>
      <c r="H2370" t="s">
        <v>182</v>
      </c>
      <c r="I2370" t="s">
        <v>451</v>
      </c>
      <c r="J2370" s="4">
        <v>1002</v>
      </c>
      <c r="K2370" s="5">
        <v>0.19361277445109781</v>
      </c>
      <c r="L2370" s="5">
        <v>6.9860279441117763E-3</v>
      </c>
    </row>
    <row r="2371" spans="7:12">
      <c r="G2371" t="s">
        <v>2971</v>
      </c>
      <c r="H2371" t="s">
        <v>189</v>
      </c>
      <c r="I2371" t="s">
        <v>377</v>
      </c>
      <c r="J2371" s="4">
        <v>4505</v>
      </c>
      <c r="K2371" s="5">
        <v>0.19356270810210877</v>
      </c>
      <c r="L2371" s="5">
        <v>5.3274139844617088E-3</v>
      </c>
    </row>
    <row r="2372" spans="7:12">
      <c r="G2372" t="s">
        <v>2972</v>
      </c>
      <c r="H2372" t="s">
        <v>233</v>
      </c>
      <c r="I2372" t="s">
        <v>189</v>
      </c>
      <c r="J2372" s="4">
        <v>8779</v>
      </c>
      <c r="K2372" s="5">
        <v>0.1935300148080647</v>
      </c>
      <c r="L2372" s="5">
        <v>7.2901241599270987E-3</v>
      </c>
    </row>
    <row r="2373" spans="7:12">
      <c r="G2373" t="s">
        <v>2973</v>
      </c>
      <c r="H2373" t="s">
        <v>169</v>
      </c>
      <c r="I2373" t="s">
        <v>218</v>
      </c>
      <c r="J2373" s="4">
        <v>3494</v>
      </c>
      <c r="K2373" s="5">
        <v>0.19347452776187751</v>
      </c>
      <c r="L2373" s="5">
        <v>8.0137378362907848E-3</v>
      </c>
    </row>
    <row r="2374" spans="7:12">
      <c r="G2374" t="s">
        <v>2974</v>
      </c>
      <c r="H2374" t="s">
        <v>354</v>
      </c>
      <c r="I2374" t="s">
        <v>118</v>
      </c>
      <c r="J2374" s="4">
        <v>3396</v>
      </c>
      <c r="K2374" s="5">
        <v>0.19346289752650175</v>
      </c>
      <c r="L2374" s="5">
        <v>1.5017667844522967E-2</v>
      </c>
    </row>
    <row r="2375" spans="7:12">
      <c r="G2375" t="s">
        <v>2975</v>
      </c>
      <c r="H2375" t="s">
        <v>297</v>
      </c>
      <c r="I2375" t="s">
        <v>118</v>
      </c>
      <c r="J2375" s="4">
        <v>3784</v>
      </c>
      <c r="K2375" s="5">
        <v>0.193446088794926</v>
      </c>
      <c r="L2375" s="5">
        <v>1.4534883720930232E-2</v>
      </c>
    </row>
    <row r="2376" spans="7:12">
      <c r="G2376" t="s">
        <v>2976</v>
      </c>
      <c r="H2376" t="s">
        <v>305</v>
      </c>
      <c r="I2376" t="s">
        <v>118</v>
      </c>
      <c r="J2376" s="4">
        <v>5485</v>
      </c>
      <c r="K2376" s="5">
        <v>0.19343664539653602</v>
      </c>
      <c r="L2376" s="5">
        <v>9.8450319051959882E-3</v>
      </c>
    </row>
    <row r="2377" spans="7:12">
      <c r="G2377" t="s">
        <v>2977</v>
      </c>
      <c r="H2377" t="s">
        <v>259</v>
      </c>
      <c r="I2377" t="s">
        <v>366</v>
      </c>
      <c r="J2377" s="4">
        <v>1701</v>
      </c>
      <c r="K2377" s="5">
        <v>0.19341563786008231</v>
      </c>
      <c r="L2377" s="5">
        <v>3.9976484420928868E-2</v>
      </c>
    </row>
    <row r="2378" spans="7:12">
      <c r="G2378" t="s">
        <v>2978</v>
      </c>
      <c r="H2378" t="s">
        <v>160</v>
      </c>
      <c r="I2378" t="s">
        <v>134</v>
      </c>
      <c r="J2378" s="4">
        <v>2213</v>
      </c>
      <c r="K2378" s="5">
        <v>0.19340262087663804</v>
      </c>
      <c r="L2378" s="5">
        <v>1.7623136014460011E-2</v>
      </c>
    </row>
    <row r="2379" spans="7:12">
      <c r="G2379" t="s">
        <v>2979</v>
      </c>
      <c r="H2379" t="s">
        <v>326</v>
      </c>
      <c r="I2379" t="s">
        <v>352</v>
      </c>
      <c r="J2379" s="4">
        <v>7561</v>
      </c>
      <c r="K2379" s="5">
        <v>0.19336066657849491</v>
      </c>
      <c r="L2379" s="5">
        <v>7.0096548075651369E-3</v>
      </c>
    </row>
    <row r="2380" spans="7:12">
      <c r="G2380" t="s">
        <v>2980</v>
      </c>
      <c r="H2380" t="s">
        <v>273</v>
      </c>
      <c r="I2380" t="s">
        <v>100</v>
      </c>
      <c r="J2380" s="4">
        <v>1857</v>
      </c>
      <c r="K2380" s="5">
        <v>0.193322563274098</v>
      </c>
      <c r="L2380" s="5">
        <v>1.9924609585352721E-2</v>
      </c>
    </row>
    <row r="2381" spans="7:12">
      <c r="G2381" t="s">
        <v>2981</v>
      </c>
      <c r="H2381" t="s">
        <v>103</v>
      </c>
      <c r="I2381" t="s">
        <v>2609</v>
      </c>
      <c r="J2381" s="4">
        <v>1878</v>
      </c>
      <c r="K2381" s="5">
        <v>0.19329073482428116</v>
      </c>
      <c r="L2381" s="5">
        <v>3.6741214057507986E-2</v>
      </c>
    </row>
    <row r="2382" spans="7:12">
      <c r="G2382" t="s">
        <v>2982</v>
      </c>
      <c r="H2382" t="s">
        <v>136</v>
      </c>
      <c r="I2382" t="s">
        <v>457</v>
      </c>
      <c r="J2382" s="4">
        <v>1366</v>
      </c>
      <c r="K2382" s="5">
        <v>0.19326500732064422</v>
      </c>
      <c r="L2382" s="5">
        <v>1.171303074670571E-2</v>
      </c>
    </row>
    <row r="2383" spans="7:12">
      <c r="G2383" t="s">
        <v>2983</v>
      </c>
      <c r="H2383" t="s">
        <v>449</v>
      </c>
      <c r="I2383" t="s">
        <v>131</v>
      </c>
      <c r="J2383" s="4">
        <v>11225</v>
      </c>
      <c r="K2383" s="5">
        <v>0.19322939866369709</v>
      </c>
      <c r="L2383" s="5">
        <v>1.2115812917594655E-2</v>
      </c>
    </row>
    <row r="2384" spans="7:12">
      <c r="G2384" t="s">
        <v>2984</v>
      </c>
      <c r="H2384" t="s">
        <v>204</v>
      </c>
      <c r="I2384" t="s">
        <v>233</v>
      </c>
      <c r="J2384" s="4">
        <v>11986</v>
      </c>
      <c r="K2384" s="5">
        <v>0.19322542966794592</v>
      </c>
      <c r="L2384" s="5">
        <v>1.9939929918237943E-2</v>
      </c>
    </row>
    <row r="2385" spans="7:12">
      <c r="G2385" t="s">
        <v>2985</v>
      </c>
      <c r="H2385" t="s">
        <v>489</v>
      </c>
      <c r="I2385" t="s">
        <v>131</v>
      </c>
      <c r="J2385" s="4">
        <v>13187</v>
      </c>
      <c r="K2385" s="5">
        <v>0.19322059604155609</v>
      </c>
      <c r="L2385" s="5">
        <v>1.0389019488890573E-2</v>
      </c>
    </row>
    <row r="2386" spans="7:12">
      <c r="G2386" t="s">
        <v>2986</v>
      </c>
      <c r="H2386" t="s">
        <v>331</v>
      </c>
      <c r="I2386" t="s">
        <v>189</v>
      </c>
      <c r="J2386" s="4">
        <v>1589</v>
      </c>
      <c r="K2386" s="5">
        <v>0.19320327249842667</v>
      </c>
      <c r="L2386" s="5">
        <v>5.6639395846444307E-3</v>
      </c>
    </row>
    <row r="2387" spans="7:12">
      <c r="G2387" t="s">
        <v>2987</v>
      </c>
      <c r="H2387" t="s">
        <v>352</v>
      </c>
      <c r="I2387" t="s">
        <v>118</v>
      </c>
      <c r="J2387" s="4">
        <v>9721</v>
      </c>
      <c r="K2387" s="5">
        <v>0.19319000102870076</v>
      </c>
      <c r="L2387" s="5">
        <v>1.6150601789939305E-2</v>
      </c>
    </row>
    <row r="2388" spans="7:12">
      <c r="G2388" t="s">
        <v>2988</v>
      </c>
      <c r="H2388" t="s">
        <v>254</v>
      </c>
      <c r="I2388" t="s">
        <v>224</v>
      </c>
      <c r="J2388" s="4">
        <v>1527</v>
      </c>
      <c r="K2388" s="5">
        <v>0.19318925998690242</v>
      </c>
      <c r="L2388" s="5">
        <v>1.1787819253438114E-2</v>
      </c>
    </row>
    <row r="2389" spans="7:12">
      <c r="G2389" t="s">
        <v>2989</v>
      </c>
      <c r="H2389" t="s">
        <v>236</v>
      </c>
      <c r="I2389" t="s">
        <v>215</v>
      </c>
      <c r="J2389" s="4">
        <v>2552</v>
      </c>
      <c r="K2389" s="5">
        <v>0.19318181818181818</v>
      </c>
      <c r="L2389" s="5">
        <v>7.4451410658307208E-3</v>
      </c>
    </row>
    <row r="2390" spans="7:12">
      <c r="G2390" t="s">
        <v>2990</v>
      </c>
      <c r="H2390" t="s">
        <v>233</v>
      </c>
      <c r="I2390" t="s">
        <v>422</v>
      </c>
      <c r="J2390" s="4">
        <v>2904</v>
      </c>
      <c r="K2390" s="5">
        <v>0.19318181818181818</v>
      </c>
      <c r="L2390" s="5">
        <v>4.8209366391184574E-3</v>
      </c>
    </row>
    <row r="2391" spans="7:12">
      <c r="G2391" t="s">
        <v>2991</v>
      </c>
      <c r="H2391" t="s">
        <v>2180</v>
      </c>
      <c r="I2391" t="s">
        <v>100</v>
      </c>
      <c r="J2391" s="4">
        <v>1724</v>
      </c>
      <c r="K2391" s="5">
        <v>0.19315545243619489</v>
      </c>
      <c r="L2391" s="5">
        <v>2.8422273781902551E-2</v>
      </c>
    </row>
    <row r="2392" spans="7:12">
      <c r="G2392" t="s">
        <v>2992</v>
      </c>
      <c r="H2392" t="s">
        <v>233</v>
      </c>
      <c r="I2392" t="s">
        <v>360</v>
      </c>
      <c r="J2392" s="4">
        <v>2506</v>
      </c>
      <c r="K2392" s="5">
        <v>0.1931364724660814</v>
      </c>
      <c r="L2392" s="5">
        <v>7.1827613727055064E-3</v>
      </c>
    </row>
    <row r="2393" spans="7:12">
      <c r="G2393" t="s">
        <v>2993</v>
      </c>
      <c r="H2393" t="s">
        <v>445</v>
      </c>
      <c r="I2393" t="s">
        <v>85</v>
      </c>
      <c r="J2393" s="4">
        <v>3583</v>
      </c>
      <c r="K2393" s="5">
        <v>0.19313424504605078</v>
      </c>
      <c r="L2393" s="5">
        <v>1.7583030979626012E-2</v>
      </c>
    </row>
    <row r="2394" spans="7:12">
      <c r="G2394" t="s">
        <v>2994</v>
      </c>
      <c r="H2394" t="s">
        <v>226</v>
      </c>
      <c r="I2394" t="s">
        <v>110</v>
      </c>
      <c r="J2394" s="4">
        <v>1015</v>
      </c>
      <c r="K2394" s="5">
        <v>0.19310344827586207</v>
      </c>
      <c r="L2394" s="5">
        <v>1.7733990147783252E-2</v>
      </c>
    </row>
    <row r="2395" spans="7:12">
      <c r="G2395" t="s">
        <v>2995</v>
      </c>
      <c r="H2395" t="s">
        <v>204</v>
      </c>
      <c r="I2395" t="s">
        <v>118</v>
      </c>
      <c r="J2395" s="4">
        <v>19258</v>
      </c>
      <c r="K2395" s="5">
        <v>0.19306262332537127</v>
      </c>
      <c r="L2395" s="5">
        <v>1.9680132931768617E-2</v>
      </c>
    </row>
    <row r="2396" spans="7:12">
      <c r="G2396" t="s">
        <v>2996</v>
      </c>
      <c r="H2396" t="s">
        <v>377</v>
      </c>
      <c r="I2396" t="s">
        <v>182</v>
      </c>
      <c r="J2396" s="4">
        <v>3969</v>
      </c>
      <c r="K2396" s="5">
        <v>0.19299571680524061</v>
      </c>
      <c r="L2396" s="5">
        <v>5.039052658100277E-3</v>
      </c>
    </row>
    <row r="2397" spans="7:12">
      <c r="G2397" t="s">
        <v>2997</v>
      </c>
      <c r="H2397" t="s">
        <v>103</v>
      </c>
      <c r="I2397" t="s">
        <v>2998</v>
      </c>
      <c r="J2397" s="4">
        <v>1783</v>
      </c>
      <c r="K2397" s="5">
        <v>0.19293325855300056</v>
      </c>
      <c r="L2397" s="5">
        <v>1.7947279865395401E-2</v>
      </c>
    </row>
    <row r="2398" spans="7:12">
      <c r="G2398" t="s">
        <v>2999</v>
      </c>
      <c r="H2398" t="s">
        <v>408</v>
      </c>
      <c r="I2398" t="s">
        <v>95</v>
      </c>
      <c r="J2398" s="4">
        <v>7141</v>
      </c>
      <c r="K2398" s="5">
        <v>0.19283013583531719</v>
      </c>
      <c r="L2398" s="5">
        <v>1.5964150679176586E-2</v>
      </c>
    </row>
    <row r="2399" spans="7:12">
      <c r="G2399" t="s">
        <v>3000</v>
      </c>
      <c r="H2399" t="s">
        <v>155</v>
      </c>
      <c r="I2399" t="s">
        <v>370</v>
      </c>
      <c r="J2399" s="4">
        <v>1914</v>
      </c>
      <c r="K2399" s="5">
        <v>0.19278996865203762</v>
      </c>
      <c r="L2399" s="5">
        <v>1.2016718913270637E-2</v>
      </c>
    </row>
    <row r="2400" spans="7:12">
      <c r="G2400" t="s">
        <v>3001</v>
      </c>
      <c r="H2400" t="s">
        <v>414</v>
      </c>
      <c r="I2400" t="s">
        <v>137</v>
      </c>
      <c r="J2400" s="4">
        <v>3911</v>
      </c>
      <c r="K2400" s="5">
        <v>0.19278956788545129</v>
      </c>
      <c r="L2400" s="5">
        <v>2.3523395551009973E-2</v>
      </c>
    </row>
    <row r="2401" spans="7:12">
      <c r="G2401" t="s">
        <v>3002</v>
      </c>
      <c r="H2401" t="s">
        <v>233</v>
      </c>
      <c r="I2401" t="s">
        <v>160</v>
      </c>
      <c r="J2401" s="4">
        <v>7118</v>
      </c>
      <c r="K2401" s="5">
        <v>0.19275077268895757</v>
      </c>
      <c r="L2401" s="5">
        <v>1.3767912334925541E-2</v>
      </c>
    </row>
    <row r="2402" spans="7:12">
      <c r="G2402" t="s">
        <v>3003</v>
      </c>
      <c r="H2402" t="s">
        <v>136</v>
      </c>
      <c r="I2402" t="s">
        <v>282</v>
      </c>
      <c r="J2402" s="4">
        <v>1131</v>
      </c>
      <c r="K2402" s="5">
        <v>0.1927497789566755</v>
      </c>
      <c r="L2402" s="5">
        <v>1.237842617152962E-2</v>
      </c>
    </row>
    <row r="2403" spans="7:12">
      <c r="G2403" t="s">
        <v>3004</v>
      </c>
      <c r="H2403" t="s">
        <v>297</v>
      </c>
      <c r="I2403" t="s">
        <v>100</v>
      </c>
      <c r="J2403" s="4">
        <v>7579</v>
      </c>
      <c r="K2403" s="5">
        <v>0.19263755112811717</v>
      </c>
      <c r="L2403" s="5">
        <v>1.2402691647974667E-2</v>
      </c>
    </row>
    <row r="2404" spans="7:12">
      <c r="G2404" t="s">
        <v>3005</v>
      </c>
      <c r="H2404" t="s">
        <v>374</v>
      </c>
      <c r="I2404" t="s">
        <v>100</v>
      </c>
      <c r="J2404" s="4">
        <v>2336</v>
      </c>
      <c r="K2404" s="5">
        <v>0.19263698630136986</v>
      </c>
      <c r="L2404" s="5">
        <v>1.4126712328767123E-2</v>
      </c>
    </row>
    <row r="2405" spans="7:12">
      <c r="G2405" t="s">
        <v>3006</v>
      </c>
      <c r="H2405" t="s">
        <v>226</v>
      </c>
      <c r="I2405" t="s">
        <v>80</v>
      </c>
      <c r="J2405" s="4">
        <v>3894</v>
      </c>
      <c r="K2405" s="5">
        <v>0.19260400616332821</v>
      </c>
      <c r="L2405" s="5">
        <v>1.1813045711350795E-2</v>
      </c>
    </row>
    <row r="2406" spans="7:12">
      <c r="G2406" t="s">
        <v>3007</v>
      </c>
      <c r="H2406" t="s">
        <v>268</v>
      </c>
      <c r="I2406" t="s">
        <v>313</v>
      </c>
      <c r="J2406" s="4">
        <v>1215</v>
      </c>
      <c r="K2406" s="5">
        <v>0.19259259259259259</v>
      </c>
      <c r="L2406" s="5">
        <v>4.11522633744856E-3</v>
      </c>
    </row>
    <row r="2407" spans="7:12">
      <c r="G2407" t="s">
        <v>3008</v>
      </c>
      <c r="H2407" t="s">
        <v>370</v>
      </c>
      <c r="I2407" t="s">
        <v>137</v>
      </c>
      <c r="J2407" s="4">
        <v>7577</v>
      </c>
      <c r="K2407" s="5">
        <v>0.1925564207469975</v>
      </c>
      <c r="L2407" s="5">
        <v>8.0506796885310809E-3</v>
      </c>
    </row>
    <row r="2408" spans="7:12">
      <c r="G2408" t="s">
        <v>3009</v>
      </c>
      <c r="H2408" t="s">
        <v>215</v>
      </c>
      <c r="I2408" t="s">
        <v>80</v>
      </c>
      <c r="J2408" s="4">
        <v>2727</v>
      </c>
      <c r="K2408" s="5">
        <v>0.19251925192519251</v>
      </c>
      <c r="L2408" s="5">
        <v>1.4668133480014669E-2</v>
      </c>
    </row>
    <row r="2409" spans="7:12">
      <c r="G2409" t="s">
        <v>3010</v>
      </c>
      <c r="H2409" t="s">
        <v>484</v>
      </c>
      <c r="I2409" t="s">
        <v>218</v>
      </c>
      <c r="J2409" s="4">
        <v>1434</v>
      </c>
      <c r="K2409" s="5">
        <v>0.19246861924686193</v>
      </c>
      <c r="L2409" s="5">
        <v>1.1854951185495118E-2</v>
      </c>
    </row>
    <row r="2410" spans="7:12">
      <c r="G2410" t="s">
        <v>3011</v>
      </c>
      <c r="H2410" t="s">
        <v>475</v>
      </c>
      <c r="I2410" t="s">
        <v>3012</v>
      </c>
      <c r="J2410" s="4">
        <v>1086</v>
      </c>
      <c r="K2410" s="5">
        <v>0.19244935543278086</v>
      </c>
      <c r="L2410" s="5">
        <v>1.1049723756906077E-2</v>
      </c>
    </row>
    <row r="2411" spans="7:12">
      <c r="G2411" t="s">
        <v>3013</v>
      </c>
      <c r="H2411" t="s">
        <v>326</v>
      </c>
      <c r="I2411" t="s">
        <v>374</v>
      </c>
      <c r="J2411" s="4">
        <v>5360</v>
      </c>
      <c r="K2411" s="5">
        <v>0.19235074626865672</v>
      </c>
      <c r="L2411" s="5">
        <v>2.798507462686567E-3</v>
      </c>
    </row>
    <row r="2412" spans="7:12">
      <c r="G2412" t="s">
        <v>3014</v>
      </c>
      <c r="H2412" t="s">
        <v>134</v>
      </c>
      <c r="I2412" t="s">
        <v>322</v>
      </c>
      <c r="J2412" s="4">
        <v>7024</v>
      </c>
      <c r="K2412" s="5">
        <v>0.19234054669703873</v>
      </c>
      <c r="L2412" s="5">
        <v>1.2670842824601366E-2</v>
      </c>
    </row>
    <row r="2413" spans="7:12">
      <c r="G2413" t="s">
        <v>3015</v>
      </c>
      <c r="H2413" t="s">
        <v>398</v>
      </c>
      <c r="I2413" t="s">
        <v>326</v>
      </c>
      <c r="J2413" s="4">
        <v>6135</v>
      </c>
      <c r="K2413" s="5">
        <v>0.19233903830480847</v>
      </c>
      <c r="L2413" s="5">
        <v>2.6079869600651997E-3</v>
      </c>
    </row>
    <row r="2414" spans="7:12">
      <c r="G2414" t="s">
        <v>3016</v>
      </c>
      <c r="H2414" t="s">
        <v>388</v>
      </c>
      <c r="I2414" t="s">
        <v>115</v>
      </c>
      <c r="J2414" s="4">
        <v>1014</v>
      </c>
      <c r="K2414" s="5">
        <v>0.19230769230769232</v>
      </c>
      <c r="L2414" s="5">
        <v>9.8619329388560158E-3</v>
      </c>
    </row>
    <row r="2415" spans="7:12">
      <c r="G2415" t="s">
        <v>3017</v>
      </c>
      <c r="H2415" t="s">
        <v>89</v>
      </c>
      <c r="I2415" t="s">
        <v>2256</v>
      </c>
      <c r="J2415" s="4">
        <v>3240</v>
      </c>
      <c r="K2415" s="5">
        <v>0.19228395061728396</v>
      </c>
      <c r="L2415" s="5">
        <v>2.9012345679012345E-2</v>
      </c>
    </row>
    <row r="2416" spans="7:12">
      <c r="G2416" t="s">
        <v>3018</v>
      </c>
      <c r="H2416" t="s">
        <v>297</v>
      </c>
      <c r="I2416" t="s">
        <v>137</v>
      </c>
      <c r="J2416" s="4">
        <v>2507</v>
      </c>
      <c r="K2416" s="5">
        <v>0.19226166733147187</v>
      </c>
      <c r="L2416" s="5">
        <v>1.6753091344236137E-2</v>
      </c>
    </row>
    <row r="2417" spans="7:12">
      <c r="G2417" t="s">
        <v>3019</v>
      </c>
      <c r="H2417" t="s">
        <v>297</v>
      </c>
      <c r="I2417" t="s">
        <v>140</v>
      </c>
      <c r="J2417" s="4">
        <v>2747</v>
      </c>
      <c r="K2417" s="5">
        <v>0.19220968329086277</v>
      </c>
      <c r="L2417" s="5">
        <v>4.768838733163451E-2</v>
      </c>
    </row>
    <row r="2418" spans="7:12">
      <c r="G2418" t="s">
        <v>3020</v>
      </c>
      <c r="H2418" t="s">
        <v>395</v>
      </c>
      <c r="I2418" t="s">
        <v>89</v>
      </c>
      <c r="J2418" s="4">
        <v>1613</v>
      </c>
      <c r="K2418" s="5">
        <v>0.1921884686918785</v>
      </c>
      <c r="L2418" s="5">
        <v>1.1779293242405457E-2</v>
      </c>
    </row>
    <row r="2419" spans="7:12">
      <c r="G2419" t="s">
        <v>3021</v>
      </c>
      <c r="H2419" t="s">
        <v>218</v>
      </c>
      <c r="I2419" t="s">
        <v>317</v>
      </c>
      <c r="J2419" s="4">
        <v>7771</v>
      </c>
      <c r="K2419" s="5">
        <v>0.19212456569296102</v>
      </c>
      <c r="L2419" s="5">
        <v>1.544202805301763E-2</v>
      </c>
    </row>
    <row r="2420" spans="7:12">
      <c r="G2420" t="s">
        <v>3022</v>
      </c>
      <c r="H2420" t="s">
        <v>507</v>
      </c>
      <c r="I2420" t="s">
        <v>226</v>
      </c>
      <c r="J2420" s="4">
        <v>2077</v>
      </c>
      <c r="K2420" s="5">
        <v>0.1921039961482908</v>
      </c>
      <c r="L2420" s="5">
        <v>5.7775637939335581E-3</v>
      </c>
    </row>
    <row r="2421" spans="7:12">
      <c r="G2421" t="s">
        <v>3023</v>
      </c>
      <c r="H2421" t="s">
        <v>416</v>
      </c>
      <c r="I2421" t="s">
        <v>131</v>
      </c>
      <c r="J2421" s="4">
        <v>6731</v>
      </c>
      <c r="K2421" s="5">
        <v>0.19209627098499479</v>
      </c>
      <c r="L2421" s="5">
        <v>9.0625464269796473E-3</v>
      </c>
    </row>
    <row r="2422" spans="7:12">
      <c r="G2422" t="s">
        <v>3024</v>
      </c>
      <c r="H2422" t="s">
        <v>486</v>
      </c>
      <c r="I2422" t="s">
        <v>515</v>
      </c>
      <c r="J2422" s="4">
        <v>4441</v>
      </c>
      <c r="K2422" s="5">
        <v>0.19207385723936052</v>
      </c>
      <c r="L2422" s="5">
        <v>2.7020941229452828E-3</v>
      </c>
    </row>
    <row r="2423" spans="7:12">
      <c r="G2423" t="s">
        <v>3025</v>
      </c>
      <c r="H2423" t="s">
        <v>162</v>
      </c>
      <c r="I2423" t="s">
        <v>358</v>
      </c>
      <c r="J2423" s="4">
        <v>5373</v>
      </c>
      <c r="K2423" s="5">
        <v>0.192071468453378</v>
      </c>
      <c r="L2423" s="5">
        <v>1.6378187232458589E-2</v>
      </c>
    </row>
    <row r="2424" spans="7:12">
      <c r="G2424" t="s">
        <v>3026</v>
      </c>
      <c r="H2424" t="s">
        <v>326</v>
      </c>
      <c r="I2424" t="s">
        <v>400</v>
      </c>
      <c r="J2424" s="4">
        <v>3780</v>
      </c>
      <c r="K2424" s="5">
        <v>0.19206349206349208</v>
      </c>
      <c r="L2424" s="5">
        <v>6.3492063492063492E-3</v>
      </c>
    </row>
    <row r="2425" spans="7:12">
      <c r="G2425" t="s">
        <v>3027</v>
      </c>
      <c r="H2425" t="s">
        <v>368</v>
      </c>
      <c r="I2425" t="s">
        <v>80</v>
      </c>
      <c r="J2425" s="4">
        <v>1333</v>
      </c>
      <c r="K2425" s="5">
        <v>0.19204801200300076</v>
      </c>
      <c r="L2425" s="5">
        <v>1.5753938484621154E-2</v>
      </c>
    </row>
    <row r="2426" spans="7:12">
      <c r="G2426" t="s">
        <v>3028</v>
      </c>
      <c r="H2426" t="s">
        <v>453</v>
      </c>
      <c r="I2426" t="s">
        <v>118</v>
      </c>
      <c r="J2426" s="4">
        <v>4068</v>
      </c>
      <c r="K2426" s="5">
        <v>0.19198623402163226</v>
      </c>
      <c r="L2426" s="5">
        <v>1.6470009832841692E-2</v>
      </c>
    </row>
    <row r="2427" spans="7:12">
      <c r="G2427" t="s">
        <v>3029</v>
      </c>
      <c r="H2427" t="s">
        <v>322</v>
      </c>
      <c r="I2427" t="s">
        <v>3030</v>
      </c>
      <c r="J2427" s="4">
        <v>2741</v>
      </c>
      <c r="K2427" s="5">
        <v>0.19190076614374316</v>
      </c>
      <c r="L2427" s="5">
        <v>8.3910981393651943E-3</v>
      </c>
    </row>
    <row r="2428" spans="7:12">
      <c r="G2428" t="s">
        <v>3031</v>
      </c>
      <c r="H2428" t="s">
        <v>189</v>
      </c>
      <c r="I2428" t="s">
        <v>326</v>
      </c>
      <c r="J2428" s="4">
        <v>10123</v>
      </c>
      <c r="K2428" s="5">
        <v>0.19184036352859823</v>
      </c>
      <c r="L2428" s="5">
        <v>8.0015805591227892E-3</v>
      </c>
    </row>
    <row r="2429" spans="7:12">
      <c r="G2429" t="s">
        <v>3032</v>
      </c>
      <c r="H2429" t="s">
        <v>349</v>
      </c>
      <c r="I2429" t="s">
        <v>103</v>
      </c>
      <c r="J2429" s="4">
        <v>5537</v>
      </c>
      <c r="K2429" s="5">
        <v>0.1918006140509301</v>
      </c>
      <c r="L2429" s="5">
        <v>7.7659382337005598E-3</v>
      </c>
    </row>
    <row r="2430" spans="7:12">
      <c r="G2430" t="s">
        <v>3033</v>
      </c>
      <c r="H2430" t="s">
        <v>224</v>
      </c>
      <c r="I2430" t="s">
        <v>100</v>
      </c>
      <c r="J2430" s="4">
        <v>4156</v>
      </c>
      <c r="K2430" s="5">
        <v>0.19177093358999037</v>
      </c>
      <c r="L2430" s="5">
        <v>2.7430221366698749E-2</v>
      </c>
    </row>
    <row r="2431" spans="7:12">
      <c r="G2431" t="s">
        <v>3034</v>
      </c>
      <c r="H2431" t="s">
        <v>146</v>
      </c>
      <c r="I2431" t="s">
        <v>218</v>
      </c>
      <c r="J2431" s="4">
        <v>2503</v>
      </c>
      <c r="K2431" s="5">
        <v>0.19176987614862165</v>
      </c>
      <c r="L2431" s="5">
        <v>1.0787055533359968E-2</v>
      </c>
    </row>
    <row r="2432" spans="7:12">
      <c r="G2432" t="s">
        <v>3035</v>
      </c>
      <c r="H2432" t="s">
        <v>89</v>
      </c>
      <c r="I2432" t="s">
        <v>472</v>
      </c>
      <c r="J2432" s="4">
        <v>8386</v>
      </c>
      <c r="K2432" s="5">
        <v>0.19174815168137371</v>
      </c>
      <c r="L2432" s="5">
        <v>1.8602432625804913E-2</v>
      </c>
    </row>
    <row r="2433" spans="7:12">
      <c r="G2433" t="s">
        <v>3036</v>
      </c>
      <c r="H2433" t="s">
        <v>131</v>
      </c>
      <c r="I2433" t="s">
        <v>100</v>
      </c>
      <c r="J2433" s="4">
        <v>7802</v>
      </c>
      <c r="K2433" s="5">
        <v>0.191745706229172</v>
      </c>
      <c r="L2433" s="5">
        <v>8.7157139195078188E-3</v>
      </c>
    </row>
    <row r="2434" spans="7:12">
      <c r="G2434" t="s">
        <v>3037</v>
      </c>
      <c r="H2434" t="s">
        <v>103</v>
      </c>
      <c r="I2434" t="s">
        <v>3038</v>
      </c>
      <c r="J2434" s="4">
        <v>1785</v>
      </c>
      <c r="K2434" s="5">
        <v>0.1915966386554622</v>
      </c>
      <c r="L2434" s="5">
        <v>1.4005602240896359E-2</v>
      </c>
    </row>
    <row r="2435" spans="7:12">
      <c r="G2435" t="s">
        <v>3039</v>
      </c>
      <c r="H2435" t="s">
        <v>319</v>
      </c>
      <c r="I2435" t="s">
        <v>100</v>
      </c>
      <c r="J2435" s="4">
        <v>4520</v>
      </c>
      <c r="K2435" s="5">
        <v>0.19159292035398229</v>
      </c>
      <c r="L2435" s="5">
        <v>1.1946902654867256E-2</v>
      </c>
    </row>
    <row r="2436" spans="7:12">
      <c r="G2436" t="s">
        <v>3040</v>
      </c>
      <c r="H2436" t="s">
        <v>297</v>
      </c>
      <c r="I2436" t="s">
        <v>259</v>
      </c>
      <c r="J2436" s="4">
        <v>5089</v>
      </c>
      <c r="K2436" s="5">
        <v>0.19158970328158773</v>
      </c>
      <c r="L2436" s="5">
        <v>3.8514442916093537E-2</v>
      </c>
    </row>
    <row r="2437" spans="7:12">
      <c r="G2437" t="s">
        <v>3041</v>
      </c>
      <c r="H2437" t="s">
        <v>455</v>
      </c>
      <c r="I2437" t="s">
        <v>507</v>
      </c>
      <c r="J2437" s="4">
        <v>1947</v>
      </c>
      <c r="K2437" s="5">
        <v>0.19157678479712378</v>
      </c>
      <c r="L2437" s="5">
        <v>0</v>
      </c>
    </row>
    <row r="2438" spans="7:12">
      <c r="G2438" t="s">
        <v>3042</v>
      </c>
      <c r="H2438" t="s">
        <v>495</v>
      </c>
      <c r="I2438" t="s">
        <v>182</v>
      </c>
      <c r="J2438" s="4">
        <v>4735</v>
      </c>
      <c r="K2438" s="5">
        <v>0.19155227032734953</v>
      </c>
      <c r="L2438" s="5">
        <v>7.3917634635691657E-3</v>
      </c>
    </row>
    <row r="2439" spans="7:12">
      <c r="G2439" t="s">
        <v>3043</v>
      </c>
      <c r="H2439" t="s">
        <v>89</v>
      </c>
      <c r="I2439" t="s">
        <v>2592</v>
      </c>
      <c r="J2439" s="4">
        <v>2177</v>
      </c>
      <c r="K2439" s="5">
        <v>0.1915480018373909</v>
      </c>
      <c r="L2439" s="5">
        <v>2.8020211299954065E-2</v>
      </c>
    </row>
    <row r="2440" spans="7:12">
      <c r="G2440" t="s">
        <v>3044</v>
      </c>
      <c r="H2440" t="s">
        <v>160</v>
      </c>
      <c r="I2440" t="s">
        <v>236</v>
      </c>
      <c r="J2440" s="4">
        <v>6187</v>
      </c>
      <c r="K2440" s="5">
        <v>0.19153062873767576</v>
      </c>
      <c r="L2440" s="5">
        <v>1.4061742363019233E-2</v>
      </c>
    </row>
    <row r="2441" spans="7:12">
      <c r="G2441" t="s">
        <v>3045</v>
      </c>
      <c r="H2441" t="s">
        <v>189</v>
      </c>
      <c r="I2441" t="s">
        <v>115</v>
      </c>
      <c r="J2441" s="4">
        <v>4083</v>
      </c>
      <c r="K2441" s="5">
        <v>0.19152583884398727</v>
      </c>
      <c r="L2441" s="5">
        <v>9.0619642419789374E-3</v>
      </c>
    </row>
    <row r="2442" spans="7:12">
      <c r="G2442" t="s">
        <v>3046</v>
      </c>
      <c r="H2442" t="s">
        <v>160</v>
      </c>
      <c r="I2442" t="s">
        <v>382</v>
      </c>
      <c r="J2442" s="4">
        <v>3890</v>
      </c>
      <c r="K2442" s="5">
        <v>0.19151670951156813</v>
      </c>
      <c r="L2442" s="5">
        <v>1.2082262210796915E-2</v>
      </c>
    </row>
    <row r="2443" spans="7:12">
      <c r="G2443" t="s">
        <v>3047</v>
      </c>
      <c r="H2443" t="s">
        <v>149</v>
      </c>
      <c r="I2443" t="s">
        <v>416</v>
      </c>
      <c r="J2443" s="4">
        <v>1624</v>
      </c>
      <c r="K2443" s="5">
        <v>0.19150246305418719</v>
      </c>
      <c r="L2443" s="5">
        <v>1.2931034482758621E-2</v>
      </c>
    </row>
    <row r="2444" spans="7:12">
      <c r="G2444" t="s">
        <v>3048</v>
      </c>
      <c r="H2444" t="s">
        <v>360</v>
      </c>
      <c r="I2444" t="s">
        <v>137</v>
      </c>
      <c r="J2444" s="4">
        <v>1222</v>
      </c>
      <c r="K2444" s="5">
        <v>0.19148936170212766</v>
      </c>
      <c r="L2444" s="5">
        <v>2.3731587561374796E-2</v>
      </c>
    </row>
    <row r="2445" spans="7:12">
      <c r="G2445" t="s">
        <v>3049</v>
      </c>
      <c r="H2445" t="s">
        <v>204</v>
      </c>
      <c r="I2445" t="s">
        <v>137</v>
      </c>
      <c r="J2445" s="4">
        <v>3850</v>
      </c>
      <c r="K2445" s="5">
        <v>0.19142857142857142</v>
      </c>
      <c r="L2445" s="5">
        <v>2.1038961038961038E-2</v>
      </c>
    </row>
    <row r="2446" spans="7:12">
      <c r="G2446" t="s">
        <v>3050</v>
      </c>
      <c r="H2446" t="s">
        <v>137</v>
      </c>
      <c r="I2446" t="s">
        <v>326</v>
      </c>
      <c r="J2446" s="4">
        <v>7324</v>
      </c>
      <c r="K2446" s="5">
        <v>0.19142545057345714</v>
      </c>
      <c r="L2446" s="5">
        <v>9.0114691425450567E-3</v>
      </c>
    </row>
    <row r="2447" spans="7:12">
      <c r="G2447" t="s">
        <v>3051</v>
      </c>
      <c r="H2447" t="s">
        <v>352</v>
      </c>
      <c r="I2447" t="s">
        <v>95</v>
      </c>
      <c r="J2447" s="4">
        <v>4848</v>
      </c>
      <c r="K2447" s="5">
        <v>0.19141914191419143</v>
      </c>
      <c r="L2447" s="5">
        <v>1.0932343234323433E-2</v>
      </c>
    </row>
    <row r="2448" spans="7:12">
      <c r="G2448" t="s">
        <v>3052</v>
      </c>
      <c r="H2448" t="s">
        <v>137</v>
      </c>
      <c r="I2448" t="s">
        <v>414</v>
      </c>
      <c r="J2448" s="4">
        <v>3887</v>
      </c>
      <c r="K2448" s="5">
        <v>0.19140725495240546</v>
      </c>
      <c r="L2448" s="5">
        <v>2.4697710316439414E-2</v>
      </c>
    </row>
    <row r="2449" spans="7:12">
      <c r="G2449" t="s">
        <v>3053</v>
      </c>
      <c r="H2449" t="s">
        <v>377</v>
      </c>
      <c r="I2449" t="s">
        <v>463</v>
      </c>
      <c r="J2449" s="4">
        <v>2001</v>
      </c>
      <c r="K2449" s="5">
        <v>0.19140429785107446</v>
      </c>
      <c r="L2449" s="5">
        <v>5.9970014992503746E-3</v>
      </c>
    </row>
    <row r="2450" spans="7:12">
      <c r="G2450" t="s">
        <v>3054</v>
      </c>
      <c r="H2450" t="s">
        <v>346</v>
      </c>
      <c r="I2450" t="s">
        <v>103</v>
      </c>
      <c r="J2450" s="4">
        <v>9577</v>
      </c>
      <c r="K2450" s="5">
        <v>0.19139605304375065</v>
      </c>
      <c r="L2450" s="5">
        <v>8.8754307194319725E-3</v>
      </c>
    </row>
    <row r="2451" spans="7:12">
      <c r="G2451" t="s">
        <v>3055</v>
      </c>
      <c r="H2451" t="s">
        <v>388</v>
      </c>
      <c r="I2451" t="s">
        <v>160</v>
      </c>
      <c r="J2451" s="4">
        <v>2623</v>
      </c>
      <c r="K2451" s="5">
        <v>0.1913839115516584</v>
      </c>
      <c r="L2451" s="5">
        <v>1.105604269919939E-2</v>
      </c>
    </row>
    <row r="2452" spans="7:12">
      <c r="G2452" t="s">
        <v>3056</v>
      </c>
      <c r="H2452" t="s">
        <v>358</v>
      </c>
      <c r="I2452" t="s">
        <v>162</v>
      </c>
      <c r="J2452" s="4">
        <v>5372</v>
      </c>
      <c r="K2452" s="5">
        <v>0.19136262099776619</v>
      </c>
      <c r="L2452" s="5">
        <v>1.545048399106478E-2</v>
      </c>
    </row>
    <row r="2453" spans="7:12">
      <c r="G2453" t="s">
        <v>3057</v>
      </c>
      <c r="H2453" t="s">
        <v>326</v>
      </c>
      <c r="I2453" t="s">
        <v>472</v>
      </c>
      <c r="J2453" s="4">
        <v>1087</v>
      </c>
      <c r="K2453" s="5">
        <v>0.19135234590616376</v>
      </c>
      <c r="L2453" s="5">
        <v>5.5197792088316471E-3</v>
      </c>
    </row>
    <row r="2454" spans="7:12">
      <c r="G2454" t="s">
        <v>3058</v>
      </c>
      <c r="H2454" t="s">
        <v>322</v>
      </c>
      <c r="I2454" t="s">
        <v>3059</v>
      </c>
      <c r="J2454" s="4">
        <v>1087</v>
      </c>
      <c r="K2454" s="5">
        <v>0.19135234590616376</v>
      </c>
      <c r="L2454" s="5">
        <v>1.4719411223551058E-2</v>
      </c>
    </row>
    <row r="2455" spans="7:12">
      <c r="G2455" t="s">
        <v>3060</v>
      </c>
      <c r="H2455" t="s">
        <v>215</v>
      </c>
      <c r="I2455" t="s">
        <v>218</v>
      </c>
      <c r="J2455" s="4">
        <v>10313</v>
      </c>
      <c r="K2455" s="5">
        <v>0.19121497139532628</v>
      </c>
      <c r="L2455" s="5">
        <v>7.6602346552894409E-3</v>
      </c>
    </row>
    <row r="2456" spans="7:12">
      <c r="G2456" t="s">
        <v>3061</v>
      </c>
      <c r="H2456" t="s">
        <v>115</v>
      </c>
      <c r="I2456" t="s">
        <v>134</v>
      </c>
      <c r="J2456" s="4">
        <v>3358</v>
      </c>
      <c r="K2456" s="5">
        <v>0.19118522930315665</v>
      </c>
      <c r="L2456" s="5">
        <v>1.1316259678379988E-2</v>
      </c>
    </row>
    <row r="2457" spans="7:12">
      <c r="G2457" t="s">
        <v>3062</v>
      </c>
      <c r="H2457" t="s">
        <v>236</v>
      </c>
      <c r="I2457" t="s">
        <v>360</v>
      </c>
      <c r="J2457" s="4">
        <v>2051</v>
      </c>
      <c r="K2457" s="5">
        <v>0.19112627986348124</v>
      </c>
      <c r="L2457" s="5">
        <v>9.2637737688932228E-3</v>
      </c>
    </row>
    <row r="2458" spans="7:12">
      <c r="G2458" t="s">
        <v>3063</v>
      </c>
      <c r="H2458" t="s">
        <v>380</v>
      </c>
      <c r="I2458" t="s">
        <v>100</v>
      </c>
      <c r="J2458" s="4">
        <v>2424</v>
      </c>
      <c r="K2458" s="5">
        <v>0.191006600660066</v>
      </c>
      <c r="L2458" s="5">
        <v>1.2376237623762377E-2</v>
      </c>
    </row>
    <row r="2459" spans="7:12">
      <c r="G2459" t="s">
        <v>3064</v>
      </c>
      <c r="H2459" t="s">
        <v>140</v>
      </c>
      <c r="I2459" t="s">
        <v>273</v>
      </c>
      <c r="J2459" s="4">
        <v>2524</v>
      </c>
      <c r="K2459" s="5">
        <v>0.19096671949286848</v>
      </c>
      <c r="L2459" s="5">
        <v>3.1695721077654518E-2</v>
      </c>
    </row>
    <row r="2460" spans="7:12">
      <c r="G2460" t="s">
        <v>3065</v>
      </c>
      <c r="H2460" t="s">
        <v>85</v>
      </c>
      <c r="I2460" t="s">
        <v>445</v>
      </c>
      <c r="J2460" s="4">
        <v>3583</v>
      </c>
      <c r="K2460" s="5">
        <v>0.19090147920736814</v>
      </c>
      <c r="L2460" s="5">
        <v>1.6187552330449346E-2</v>
      </c>
    </row>
    <row r="2461" spans="7:12">
      <c r="G2461" t="s">
        <v>3066</v>
      </c>
      <c r="H2461" t="s">
        <v>268</v>
      </c>
      <c r="I2461" t="s">
        <v>115</v>
      </c>
      <c r="J2461" s="4">
        <v>4196</v>
      </c>
      <c r="K2461" s="5">
        <v>0.19089609151572925</v>
      </c>
      <c r="L2461" s="5">
        <v>1.215443279313632E-2</v>
      </c>
    </row>
    <row r="2462" spans="7:12">
      <c r="G2462" t="s">
        <v>3067</v>
      </c>
      <c r="H2462" t="s">
        <v>451</v>
      </c>
      <c r="I2462" t="s">
        <v>182</v>
      </c>
      <c r="J2462" s="4">
        <v>1048</v>
      </c>
      <c r="K2462" s="5">
        <v>0.19083969465648856</v>
      </c>
      <c r="L2462" s="5">
        <v>5.7251908396946565E-3</v>
      </c>
    </row>
    <row r="2463" spans="7:12">
      <c r="G2463" t="s">
        <v>3068</v>
      </c>
      <c r="H2463" t="s">
        <v>408</v>
      </c>
      <c r="I2463" t="s">
        <v>202</v>
      </c>
      <c r="J2463" s="4">
        <v>3537</v>
      </c>
      <c r="K2463" s="5">
        <v>0.19083969465648856</v>
      </c>
      <c r="L2463" s="5">
        <v>1.6115351993214587E-2</v>
      </c>
    </row>
    <row r="2464" spans="7:12">
      <c r="G2464" t="s">
        <v>3069</v>
      </c>
      <c r="H2464" t="s">
        <v>100</v>
      </c>
      <c r="I2464" t="s">
        <v>493</v>
      </c>
      <c r="J2464" s="4">
        <v>3449</v>
      </c>
      <c r="K2464" s="5">
        <v>0.19077993621339517</v>
      </c>
      <c r="L2464" s="5">
        <v>1.7686285879965208E-2</v>
      </c>
    </row>
    <row r="2465" spans="7:12">
      <c r="G2465" t="s">
        <v>3070</v>
      </c>
      <c r="H2465" t="s">
        <v>89</v>
      </c>
      <c r="I2465" t="s">
        <v>187</v>
      </c>
      <c r="J2465" s="4">
        <v>1725</v>
      </c>
      <c r="K2465" s="5">
        <v>0.19072463768115941</v>
      </c>
      <c r="L2465" s="5">
        <v>1.1014492753623189E-2</v>
      </c>
    </row>
    <row r="2466" spans="7:12">
      <c r="G2466" t="s">
        <v>3071</v>
      </c>
      <c r="H2466" t="s">
        <v>370</v>
      </c>
      <c r="I2466" t="s">
        <v>162</v>
      </c>
      <c r="J2466" s="4">
        <v>13693</v>
      </c>
      <c r="K2466" s="5">
        <v>0.19068137004308772</v>
      </c>
      <c r="L2466" s="5">
        <v>4.8930110275323159E-3</v>
      </c>
    </row>
    <row r="2467" spans="7:12">
      <c r="G2467" t="s">
        <v>3072</v>
      </c>
      <c r="H2467" t="s">
        <v>215</v>
      </c>
      <c r="I2467" t="s">
        <v>486</v>
      </c>
      <c r="J2467" s="4">
        <v>5282</v>
      </c>
      <c r="K2467" s="5">
        <v>0.1906474820143885</v>
      </c>
      <c r="L2467" s="5">
        <v>1.2305944717909882E-2</v>
      </c>
    </row>
    <row r="2468" spans="7:12">
      <c r="G2468" t="s">
        <v>3073</v>
      </c>
      <c r="H2468" t="s">
        <v>178</v>
      </c>
      <c r="I2468" t="s">
        <v>322</v>
      </c>
      <c r="J2468" s="4">
        <v>1044</v>
      </c>
      <c r="K2468" s="5">
        <v>0.19061302681992337</v>
      </c>
      <c r="L2468" s="5">
        <v>7.6628352490421452E-3</v>
      </c>
    </row>
    <row r="2469" spans="7:12">
      <c r="G2469" t="s">
        <v>3074</v>
      </c>
      <c r="H2469" t="s">
        <v>160</v>
      </c>
      <c r="I2469" t="s">
        <v>189</v>
      </c>
      <c r="J2469" s="4">
        <v>7816</v>
      </c>
      <c r="K2469" s="5">
        <v>0.19050665301944728</v>
      </c>
      <c r="L2469" s="5">
        <v>1.4969293756397134E-2</v>
      </c>
    </row>
    <row r="2470" spans="7:12">
      <c r="G2470" t="s">
        <v>3075</v>
      </c>
      <c r="H2470" t="s">
        <v>324</v>
      </c>
      <c r="I2470" t="s">
        <v>204</v>
      </c>
      <c r="J2470" s="4">
        <v>2252</v>
      </c>
      <c r="K2470" s="5">
        <v>0.19049733570159857</v>
      </c>
      <c r="L2470" s="5">
        <v>3.1971580817051509E-2</v>
      </c>
    </row>
    <row r="2471" spans="7:12">
      <c r="G2471" t="s">
        <v>3076</v>
      </c>
      <c r="H2471" t="s">
        <v>118</v>
      </c>
      <c r="I2471" t="s">
        <v>459</v>
      </c>
      <c r="J2471" s="4">
        <v>3407</v>
      </c>
      <c r="K2471" s="5">
        <v>0.19049016730261226</v>
      </c>
      <c r="L2471" s="5">
        <v>1.1740534194305841E-2</v>
      </c>
    </row>
    <row r="2472" spans="7:12">
      <c r="G2472" t="s">
        <v>3077</v>
      </c>
      <c r="H2472" t="s">
        <v>322</v>
      </c>
      <c r="I2472" t="s">
        <v>297</v>
      </c>
      <c r="J2472" s="4">
        <v>2352</v>
      </c>
      <c r="K2472" s="5">
        <v>0.19047619047619047</v>
      </c>
      <c r="L2472" s="5">
        <v>7.6530612244897957E-3</v>
      </c>
    </row>
    <row r="2473" spans="7:12">
      <c r="G2473" t="s">
        <v>3078</v>
      </c>
      <c r="H2473" t="s">
        <v>89</v>
      </c>
      <c r="I2473" t="s">
        <v>509</v>
      </c>
      <c r="J2473" s="4">
        <v>3124</v>
      </c>
      <c r="K2473" s="5">
        <v>0.19046094750320103</v>
      </c>
      <c r="L2473" s="5">
        <v>2.6248399487836107E-2</v>
      </c>
    </row>
    <row r="2474" spans="7:12">
      <c r="G2474" t="s">
        <v>3079</v>
      </c>
      <c r="H2474" t="s">
        <v>436</v>
      </c>
      <c r="I2474" t="s">
        <v>89</v>
      </c>
      <c r="J2474" s="4">
        <v>1948</v>
      </c>
      <c r="K2474" s="5">
        <v>0.1904517453798768</v>
      </c>
      <c r="L2474" s="5">
        <v>9.2402464065708418E-3</v>
      </c>
    </row>
    <row r="2475" spans="7:12">
      <c r="G2475" t="s">
        <v>3080</v>
      </c>
      <c r="H2475" t="s">
        <v>352</v>
      </c>
      <c r="I2475" t="s">
        <v>268</v>
      </c>
      <c r="J2475" s="4">
        <v>2905</v>
      </c>
      <c r="K2475" s="5">
        <v>0.19036144578313252</v>
      </c>
      <c r="L2475" s="5">
        <v>8.2616179001721163E-3</v>
      </c>
    </row>
    <row r="2476" spans="7:12">
      <c r="G2476" t="s">
        <v>3081</v>
      </c>
      <c r="H2476" t="s">
        <v>238</v>
      </c>
      <c r="I2476" t="s">
        <v>100</v>
      </c>
      <c r="J2476" s="4">
        <v>2396</v>
      </c>
      <c r="K2476" s="5">
        <v>0.19031719532554256</v>
      </c>
      <c r="L2476" s="5">
        <v>1.6694490818030049E-2</v>
      </c>
    </row>
    <row r="2477" spans="7:12">
      <c r="G2477" t="s">
        <v>3082</v>
      </c>
      <c r="H2477" t="s">
        <v>202</v>
      </c>
      <c r="I2477" t="s">
        <v>115</v>
      </c>
      <c r="J2477" s="4">
        <v>9149</v>
      </c>
      <c r="K2477" s="5">
        <v>0.19029402120450323</v>
      </c>
      <c r="L2477" s="5">
        <v>1.814405946005028E-2</v>
      </c>
    </row>
    <row r="2478" spans="7:12">
      <c r="G2478" t="s">
        <v>3083</v>
      </c>
      <c r="H2478" t="s">
        <v>100</v>
      </c>
      <c r="I2478" t="s">
        <v>377</v>
      </c>
      <c r="J2478" s="4">
        <v>7363</v>
      </c>
      <c r="K2478" s="5">
        <v>0.19027570283851691</v>
      </c>
      <c r="L2478" s="5">
        <v>8.4204807822898277E-3</v>
      </c>
    </row>
    <row r="2479" spans="7:12">
      <c r="G2479" t="s">
        <v>3084</v>
      </c>
      <c r="H2479" t="s">
        <v>95</v>
      </c>
      <c r="I2479" t="s">
        <v>297</v>
      </c>
      <c r="J2479" s="4">
        <v>2282</v>
      </c>
      <c r="K2479" s="5">
        <v>0.19018404907975461</v>
      </c>
      <c r="L2479" s="5">
        <v>1.3584574934268186E-2</v>
      </c>
    </row>
    <row r="2480" spans="7:12">
      <c r="G2480" t="s">
        <v>3085</v>
      </c>
      <c r="H2480" t="s">
        <v>252</v>
      </c>
      <c r="I2480" t="s">
        <v>136</v>
      </c>
      <c r="J2480" s="4">
        <v>3272</v>
      </c>
      <c r="K2480" s="5">
        <v>0.19009779951100245</v>
      </c>
      <c r="L2480" s="5">
        <v>1.4058679706601468E-2</v>
      </c>
    </row>
    <row r="2481" spans="7:12">
      <c r="G2481" t="s">
        <v>3086</v>
      </c>
      <c r="H2481" t="s">
        <v>377</v>
      </c>
      <c r="I2481" t="s">
        <v>100</v>
      </c>
      <c r="J2481" s="4">
        <v>7361</v>
      </c>
      <c r="K2481" s="5">
        <v>0.19005569895394647</v>
      </c>
      <c r="L2481" s="5">
        <v>8.5586197527509848E-3</v>
      </c>
    </row>
    <row r="2482" spans="7:12">
      <c r="G2482" t="s">
        <v>3087</v>
      </c>
      <c r="H2482" t="s">
        <v>461</v>
      </c>
      <c r="I2482" t="s">
        <v>137</v>
      </c>
      <c r="J2482" s="4">
        <v>1926</v>
      </c>
      <c r="K2482" s="5">
        <v>0.19003115264797507</v>
      </c>
      <c r="L2482" s="5">
        <v>1.5576323987538941E-2</v>
      </c>
    </row>
    <row r="2483" spans="7:12">
      <c r="G2483" t="s">
        <v>3088</v>
      </c>
      <c r="H2483" t="s">
        <v>259</v>
      </c>
      <c r="I2483" t="s">
        <v>213</v>
      </c>
      <c r="J2483" s="4">
        <v>1600</v>
      </c>
      <c r="K2483" s="5">
        <v>0.19</v>
      </c>
      <c r="L2483" s="5">
        <v>2.9374999999999998E-2</v>
      </c>
    </row>
    <row r="2484" spans="7:12">
      <c r="G2484" t="s">
        <v>3089</v>
      </c>
      <c r="H2484" t="s">
        <v>497</v>
      </c>
      <c r="I2484" t="s">
        <v>182</v>
      </c>
      <c r="J2484" s="4">
        <v>1816</v>
      </c>
      <c r="K2484" s="5">
        <v>0.18997797356828194</v>
      </c>
      <c r="L2484" s="5">
        <v>3.3039647577092512E-3</v>
      </c>
    </row>
    <row r="2485" spans="7:12">
      <c r="G2485" t="s">
        <v>3090</v>
      </c>
      <c r="H2485" t="s">
        <v>3091</v>
      </c>
      <c r="I2485" t="s">
        <v>89</v>
      </c>
      <c r="J2485" s="4">
        <v>3427</v>
      </c>
      <c r="K2485" s="5">
        <v>0.18996206594689233</v>
      </c>
      <c r="L2485" s="5">
        <v>2.8304639626495477E-2</v>
      </c>
    </row>
    <row r="2486" spans="7:12">
      <c r="G2486" t="s">
        <v>3092</v>
      </c>
      <c r="H2486" t="s">
        <v>100</v>
      </c>
      <c r="I2486" t="s">
        <v>322</v>
      </c>
      <c r="J2486" s="4">
        <v>10618</v>
      </c>
      <c r="K2486" s="5">
        <v>0.18996044452815972</v>
      </c>
      <c r="L2486" s="5">
        <v>8.3819928423431913E-3</v>
      </c>
    </row>
    <row r="2487" spans="7:12">
      <c r="G2487" t="s">
        <v>3093</v>
      </c>
      <c r="H2487" t="s">
        <v>336</v>
      </c>
      <c r="I2487" t="s">
        <v>136</v>
      </c>
      <c r="J2487" s="4">
        <v>1411</v>
      </c>
      <c r="K2487" s="5">
        <v>0.18993621545003544</v>
      </c>
      <c r="L2487" s="5">
        <v>6.3784549964564135E-3</v>
      </c>
    </row>
    <row r="2488" spans="7:12">
      <c r="G2488" t="s">
        <v>3094</v>
      </c>
      <c r="H2488" t="s">
        <v>140</v>
      </c>
      <c r="I2488" t="s">
        <v>301</v>
      </c>
      <c r="J2488" s="4">
        <v>1880</v>
      </c>
      <c r="K2488" s="5">
        <v>0.18989361702127661</v>
      </c>
      <c r="L2488" s="5">
        <v>4.9468085106382981E-2</v>
      </c>
    </row>
    <row r="2489" spans="7:12">
      <c r="G2489" t="s">
        <v>3095</v>
      </c>
      <c r="H2489" t="s">
        <v>322</v>
      </c>
      <c r="I2489" t="s">
        <v>254</v>
      </c>
      <c r="J2489" s="4">
        <v>5556</v>
      </c>
      <c r="K2489" s="5">
        <v>0.18988480921526277</v>
      </c>
      <c r="L2489" s="5">
        <v>1.4578833693304536E-2</v>
      </c>
    </row>
    <row r="2490" spans="7:12">
      <c r="G2490" t="s">
        <v>3096</v>
      </c>
      <c r="H2490" t="s">
        <v>221</v>
      </c>
      <c r="I2490" t="s">
        <v>100</v>
      </c>
      <c r="J2490" s="4">
        <v>5572</v>
      </c>
      <c r="K2490" s="5">
        <v>0.18987796123474515</v>
      </c>
      <c r="L2490" s="5">
        <v>1.2742282842785356E-2</v>
      </c>
    </row>
    <row r="2491" spans="7:12">
      <c r="G2491" t="s">
        <v>3097</v>
      </c>
      <c r="H2491" t="s">
        <v>346</v>
      </c>
      <c r="I2491" t="s">
        <v>233</v>
      </c>
      <c r="J2491" s="4">
        <v>3060</v>
      </c>
      <c r="K2491" s="5">
        <v>0.18986928104575163</v>
      </c>
      <c r="L2491" s="5">
        <v>3.9215686274509803E-3</v>
      </c>
    </row>
    <row r="2492" spans="7:12">
      <c r="G2492" t="s">
        <v>3098</v>
      </c>
      <c r="H2492" t="s">
        <v>95</v>
      </c>
      <c r="I2492" t="s">
        <v>392</v>
      </c>
      <c r="J2492" s="4">
        <v>2407</v>
      </c>
      <c r="K2492" s="5">
        <v>0.18986289987536353</v>
      </c>
      <c r="L2492" s="5">
        <v>1.2463647694225177E-2</v>
      </c>
    </row>
    <row r="2493" spans="7:12">
      <c r="G2493" t="s">
        <v>3099</v>
      </c>
      <c r="H2493" t="s">
        <v>377</v>
      </c>
      <c r="I2493" t="s">
        <v>137</v>
      </c>
      <c r="J2493" s="4">
        <v>5404</v>
      </c>
      <c r="K2493" s="5">
        <v>0.18985936343449297</v>
      </c>
      <c r="L2493" s="5">
        <v>1.535899333826795E-2</v>
      </c>
    </row>
    <row r="2494" spans="7:12">
      <c r="G2494" t="s">
        <v>3100</v>
      </c>
      <c r="H2494" t="s">
        <v>346</v>
      </c>
      <c r="I2494" t="s">
        <v>218</v>
      </c>
      <c r="J2494" s="4">
        <v>10626</v>
      </c>
      <c r="K2494" s="5">
        <v>0.18981742894786374</v>
      </c>
      <c r="L2494" s="5">
        <v>1.1951816299642386E-2</v>
      </c>
    </row>
    <row r="2495" spans="7:12">
      <c r="G2495" t="s">
        <v>3101</v>
      </c>
      <c r="H2495" t="s">
        <v>89</v>
      </c>
      <c r="I2495" t="s">
        <v>2886</v>
      </c>
      <c r="J2495" s="4">
        <v>3177</v>
      </c>
      <c r="K2495" s="5">
        <v>0.18980169971671387</v>
      </c>
      <c r="L2495" s="5">
        <v>3.3679571923197989E-2</v>
      </c>
    </row>
    <row r="2496" spans="7:12">
      <c r="G2496" t="s">
        <v>3102</v>
      </c>
      <c r="H2496" t="s">
        <v>202</v>
      </c>
      <c r="I2496" t="s">
        <v>288</v>
      </c>
      <c r="J2496" s="4">
        <v>2450</v>
      </c>
      <c r="K2496" s="5">
        <v>0.18979591836734694</v>
      </c>
      <c r="L2496" s="5">
        <v>1.6326530612244899E-2</v>
      </c>
    </row>
    <row r="2497" spans="7:12">
      <c r="G2497" t="s">
        <v>3103</v>
      </c>
      <c r="H2497" t="s">
        <v>103</v>
      </c>
      <c r="I2497" t="s">
        <v>525</v>
      </c>
      <c r="J2497" s="4">
        <v>1096</v>
      </c>
      <c r="K2497" s="5">
        <v>0.18978102189781021</v>
      </c>
      <c r="L2497" s="5">
        <v>3.6496350364963502E-3</v>
      </c>
    </row>
    <row r="2498" spans="7:12">
      <c r="G2498" t="s">
        <v>3104</v>
      </c>
      <c r="H2498" t="s">
        <v>250</v>
      </c>
      <c r="I2498" t="s">
        <v>103</v>
      </c>
      <c r="J2498" s="4">
        <v>2103</v>
      </c>
      <c r="K2498" s="5">
        <v>0.18972895863052783</v>
      </c>
      <c r="L2498" s="5">
        <v>6.1816452686638138E-3</v>
      </c>
    </row>
    <row r="2499" spans="7:12">
      <c r="G2499" t="s">
        <v>3105</v>
      </c>
      <c r="H2499" t="s">
        <v>349</v>
      </c>
      <c r="I2499" t="s">
        <v>118</v>
      </c>
      <c r="J2499" s="4">
        <v>4987</v>
      </c>
      <c r="K2499" s="5">
        <v>0.18969320232604772</v>
      </c>
      <c r="L2499" s="5">
        <v>1.9049528774814518E-2</v>
      </c>
    </row>
    <row r="2500" spans="7:12">
      <c r="G2500" t="s">
        <v>3106</v>
      </c>
      <c r="H2500" t="s">
        <v>254</v>
      </c>
      <c r="I2500" t="s">
        <v>134</v>
      </c>
      <c r="J2500" s="4">
        <v>2289</v>
      </c>
      <c r="K2500" s="5">
        <v>0.18960244648318042</v>
      </c>
      <c r="L2500" s="5">
        <v>1.3979903888160769E-2</v>
      </c>
    </row>
    <row r="2501" spans="7:12">
      <c r="G2501" t="s">
        <v>3107</v>
      </c>
      <c r="H2501" t="s">
        <v>134</v>
      </c>
      <c r="I2501" t="s">
        <v>461</v>
      </c>
      <c r="J2501" s="4">
        <v>5981</v>
      </c>
      <c r="K2501" s="5">
        <v>0.18960040127069053</v>
      </c>
      <c r="L2501" s="5">
        <v>8.1926099314495911E-3</v>
      </c>
    </row>
    <row r="2502" spans="7:12">
      <c r="G2502" t="s">
        <v>3108</v>
      </c>
      <c r="H2502" t="s">
        <v>322</v>
      </c>
      <c r="I2502" t="s">
        <v>360</v>
      </c>
      <c r="J2502" s="4">
        <v>4304</v>
      </c>
      <c r="K2502" s="5">
        <v>0.1895910780669145</v>
      </c>
      <c r="L2502" s="5">
        <v>6.970260223048327E-3</v>
      </c>
    </row>
    <row r="2503" spans="7:12">
      <c r="G2503" t="s">
        <v>3109</v>
      </c>
      <c r="H2503" t="s">
        <v>136</v>
      </c>
      <c r="I2503" t="s">
        <v>218</v>
      </c>
      <c r="J2503" s="4">
        <v>10946</v>
      </c>
      <c r="K2503" s="5">
        <v>0.18956696510140691</v>
      </c>
      <c r="L2503" s="5">
        <v>1.3886351178512699E-2</v>
      </c>
    </row>
    <row r="2504" spans="7:12">
      <c r="G2504" t="s">
        <v>3110</v>
      </c>
      <c r="H2504" t="s">
        <v>269</v>
      </c>
      <c r="I2504" t="s">
        <v>162</v>
      </c>
      <c r="J2504" s="4">
        <v>5297</v>
      </c>
      <c r="K2504" s="5">
        <v>0.18954124976401737</v>
      </c>
      <c r="L2504" s="5">
        <v>1.8878610534264678E-2</v>
      </c>
    </row>
    <row r="2505" spans="7:12">
      <c r="G2505" t="s">
        <v>3111</v>
      </c>
      <c r="H2505" t="s">
        <v>322</v>
      </c>
      <c r="I2505" t="s">
        <v>293</v>
      </c>
      <c r="J2505" s="4">
        <v>3758</v>
      </c>
      <c r="K2505" s="5">
        <v>0.18946248004257585</v>
      </c>
      <c r="L2505" s="5">
        <v>7.716870675891432E-3</v>
      </c>
    </row>
    <row r="2506" spans="7:12">
      <c r="G2506" t="s">
        <v>3112</v>
      </c>
      <c r="H2506" t="s">
        <v>137</v>
      </c>
      <c r="I2506" t="s">
        <v>377</v>
      </c>
      <c r="J2506" s="4">
        <v>5405</v>
      </c>
      <c r="K2506" s="5">
        <v>0.18945420906567992</v>
      </c>
      <c r="L2506" s="5">
        <v>1.6281221091581869E-2</v>
      </c>
    </row>
    <row r="2507" spans="7:12">
      <c r="G2507" t="s">
        <v>3113</v>
      </c>
      <c r="H2507" t="s">
        <v>477</v>
      </c>
      <c r="I2507" t="s">
        <v>89</v>
      </c>
      <c r="J2507" s="4">
        <v>1288</v>
      </c>
      <c r="K2507" s="5">
        <v>0.18944099378881987</v>
      </c>
      <c r="L2507" s="5">
        <v>2.096273291925466E-2</v>
      </c>
    </row>
    <row r="2508" spans="7:12">
      <c r="G2508" t="s">
        <v>3114</v>
      </c>
      <c r="H2508" t="s">
        <v>374</v>
      </c>
      <c r="I2508" t="s">
        <v>118</v>
      </c>
      <c r="J2508" s="4">
        <v>6282</v>
      </c>
      <c r="K2508" s="5">
        <v>0.18943011779687999</v>
      </c>
      <c r="L2508" s="5">
        <v>1.0983763132760267E-2</v>
      </c>
    </row>
    <row r="2509" spans="7:12">
      <c r="G2509" t="s">
        <v>3115</v>
      </c>
      <c r="H2509" t="s">
        <v>172</v>
      </c>
      <c r="I2509" t="s">
        <v>100</v>
      </c>
      <c r="J2509" s="4">
        <v>1679</v>
      </c>
      <c r="K2509" s="5">
        <v>0.18939845145920189</v>
      </c>
      <c r="L2509" s="5">
        <v>7.7427039904705182E-3</v>
      </c>
    </row>
    <row r="2510" spans="7:12">
      <c r="G2510" t="s">
        <v>3116</v>
      </c>
      <c r="H2510" t="s">
        <v>386</v>
      </c>
      <c r="I2510" t="s">
        <v>103</v>
      </c>
      <c r="J2510" s="4">
        <v>3163</v>
      </c>
      <c r="K2510" s="5">
        <v>0.18937717356939615</v>
      </c>
      <c r="L2510" s="5">
        <v>6.6392665191274108E-3</v>
      </c>
    </row>
    <row r="2511" spans="7:12">
      <c r="G2511" t="s">
        <v>3117</v>
      </c>
      <c r="H2511" t="s">
        <v>299</v>
      </c>
      <c r="I2511" t="s">
        <v>103</v>
      </c>
      <c r="J2511" s="4">
        <v>3782</v>
      </c>
      <c r="K2511" s="5">
        <v>0.18931782125859334</v>
      </c>
      <c r="L2511" s="5">
        <v>5.5526176626123748E-3</v>
      </c>
    </row>
    <row r="2512" spans="7:12">
      <c r="G2512" t="s">
        <v>3118</v>
      </c>
      <c r="H2512" t="s">
        <v>215</v>
      </c>
      <c r="I2512" t="s">
        <v>346</v>
      </c>
      <c r="J2512" s="4">
        <v>6452</v>
      </c>
      <c r="K2512" s="5">
        <v>0.18924364538127714</v>
      </c>
      <c r="L2512" s="5">
        <v>1.1469311841289522E-2</v>
      </c>
    </row>
    <row r="2513" spans="7:12">
      <c r="G2513" t="s">
        <v>3119</v>
      </c>
      <c r="H2513" t="s">
        <v>236</v>
      </c>
      <c r="I2513" t="s">
        <v>457</v>
      </c>
      <c r="J2513" s="4">
        <v>2040</v>
      </c>
      <c r="K2513" s="5">
        <v>0.1892156862745098</v>
      </c>
      <c r="L2513" s="5">
        <v>7.8431372549019607E-3</v>
      </c>
    </row>
    <row r="2514" spans="7:12">
      <c r="G2514" t="s">
        <v>3120</v>
      </c>
      <c r="H2514" t="s">
        <v>331</v>
      </c>
      <c r="I2514" t="s">
        <v>103</v>
      </c>
      <c r="J2514" s="4">
        <v>5275</v>
      </c>
      <c r="K2514" s="5">
        <v>0.18919431279620852</v>
      </c>
      <c r="L2514" s="5">
        <v>8.3412322274881521E-3</v>
      </c>
    </row>
    <row r="2515" spans="7:12">
      <c r="G2515" t="s">
        <v>3121</v>
      </c>
      <c r="H2515" t="s">
        <v>103</v>
      </c>
      <c r="I2515" t="s">
        <v>3122</v>
      </c>
      <c r="J2515" s="4">
        <v>1406</v>
      </c>
      <c r="K2515" s="5">
        <v>0.1891891891891892</v>
      </c>
      <c r="L2515" s="5">
        <v>2.1337126600284494E-2</v>
      </c>
    </row>
    <row r="2516" spans="7:12">
      <c r="G2516" t="s">
        <v>3123</v>
      </c>
      <c r="H2516" t="s">
        <v>461</v>
      </c>
      <c r="I2516" t="s">
        <v>215</v>
      </c>
      <c r="J2516" s="4">
        <v>11782</v>
      </c>
      <c r="K2516" s="5">
        <v>0.18918689526396198</v>
      </c>
      <c r="L2516" s="5">
        <v>7.2992700729927005E-3</v>
      </c>
    </row>
    <row r="2517" spans="7:12">
      <c r="G2517" t="s">
        <v>3124</v>
      </c>
      <c r="H2517" t="s">
        <v>226</v>
      </c>
      <c r="I2517" t="s">
        <v>3125</v>
      </c>
      <c r="J2517" s="4">
        <v>2791</v>
      </c>
      <c r="K2517" s="5">
        <v>0.18917950555356502</v>
      </c>
      <c r="L2517" s="5">
        <v>1.3973486205661053E-2</v>
      </c>
    </row>
    <row r="2518" spans="7:12">
      <c r="G2518" t="s">
        <v>3126</v>
      </c>
      <c r="H2518" t="s">
        <v>412</v>
      </c>
      <c r="I2518" t="s">
        <v>326</v>
      </c>
      <c r="J2518" s="4">
        <v>4340</v>
      </c>
      <c r="K2518" s="5">
        <v>0.18917050691244239</v>
      </c>
      <c r="L2518" s="5">
        <v>1.6129032258064516E-3</v>
      </c>
    </row>
    <row r="2519" spans="7:12">
      <c r="G2519" t="s">
        <v>3127</v>
      </c>
      <c r="H2519" t="s">
        <v>118</v>
      </c>
      <c r="I2519" t="s">
        <v>2007</v>
      </c>
      <c r="J2519" s="4">
        <v>1401</v>
      </c>
      <c r="K2519" s="5">
        <v>0.18915060670949321</v>
      </c>
      <c r="L2519" s="5">
        <v>2.9978586723768737E-2</v>
      </c>
    </row>
    <row r="2520" spans="7:12">
      <c r="G2520" t="s">
        <v>3128</v>
      </c>
      <c r="H2520" t="s">
        <v>495</v>
      </c>
      <c r="I2520" t="s">
        <v>226</v>
      </c>
      <c r="J2520" s="4">
        <v>7473</v>
      </c>
      <c r="K2520" s="5">
        <v>0.18908069048574869</v>
      </c>
      <c r="L2520" s="5">
        <v>1.4987287568580221E-2</v>
      </c>
    </row>
    <row r="2521" spans="7:12">
      <c r="G2521" t="s">
        <v>3129</v>
      </c>
      <c r="H2521" t="s">
        <v>228</v>
      </c>
      <c r="I2521" t="s">
        <v>215</v>
      </c>
      <c r="J2521" s="4">
        <v>2555</v>
      </c>
      <c r="K2521" s="5">
        <v>0.18904109589041096</v>
      </c>
      <c r="L2521" s="5">
        <v>9.0019569471624268E-3</v>
      </c>
    </row>
    <row r="2522" spans="7:12">
      <c r="G2522" t="s">
        <v>3130</v>
      </c>
      <c r="H2522" t="s">
        <v>360</v>
      </c>
      <c r="I2522" t="s">
        <v>160</v>
      </c>
      <c r="J2522" s="4">
        <v>1185</v>
      </c>
      <c r="K2522" s="5">
        <v>0.18902953586497889</v>
      </c>
      <c r="L2522" s="5">
        <v>1.1814345991561181E-2</v>
      </c>
    </row>
    <row r="2523" spans="7:12">
      <c r="G2523" t="s">
        <v>3131</v>
      </c>
      <c r="H2523" t="s">
        <v>172</v>
      </c>
      <c r="I2523" t="s">
        <v>85</v>
      </c>
      <c r="J2523" s="4">
        <v>2598</v>
      </c>
      <c r="K2523" s="5">
        <v>0.18899153194765203</v>
      </c>
      <c r="L2523" s="5">
        <v>4.6189376443418013E-3</v>
      </c>
    </row>
    <row r="2524" spans="7:12">
      <c r="G2524" t="s">
        <v>3132</v>
      </c>
      <c r="H2524" t="s">
        <v>352</v>
      </c>
      <c r="I2524" t="s">
        <v>115</v>
      </c>
      <c r="J2524" s="4">
        <v>2487</v>
      </c>
      <c r="K2524" s="5">
        <v>0.18898271009248091</v>
      </c>
      <c r="L2524" s="5">
        <v>1.2464817048652996E-2</v>
      </c>
    </row>
    <row r="2525" spans="7:12">
      <c r="G2525" t="s">
        <v>3133</v>
      </c>
      <c r="H2525" t="s">
        <v>451</v>
      </c>
      <c r="I2525" t="s">
        <v>103</v>
      </c>
      <c r="J2525" s="4">
        <v>5293</v>
      </c>
      <c r="K2525" s="5">
        <v>0.1889287738522577</v>
      </c>
      <c r="L2525" s="5">
        <v>8.501794823351597E-3</v>
      </c>
    </row>
    <row r="2526" spans="7:12">
      <c r="G2526" t="s">
        <v>3134</v>
      </c>
      <c r="H2526" t="s">
        <v>218</v>
      </c>
      <c r="I2526" t="s">
        <v>240</v>
      </c>
      <c r="J2526" s="4">
        <v>6463</v>
      </c>
      <c r="K2526" s="5">
        <v>0.18892155345814637</v>
      </c>
      <c r="L2526" s="5">
        <v>8.8194336995203459E-3</v>
      </c>
    </row>
    <row r="2527" spans="7:12">
      <c r="G2527" t="s">
        <v>3135</v>
      </c>
      <c r="H2527" t="s">
        <v>301</v>
      </c>
      <c r="I2527" t="s">
        <v>204</v>
      </c>
      <c r="J2527" s="4">
        <v>3229</v>
      </c>
      <c r="K2527" s="5">
        <v>0.18891297615360791</v>
      </c>
      <c r="L2527" s="5">
        <v>3.0969340353050479E-2</v>
      </c>
    </row>
    <row r="2528" spans="7:12">
      <c r="G2528" t="s">
        <v>3136</v>
      </c>
      <c r="H2528" t="s">
        <v>347</v>
      </c>
      <c r="I2528" t="s">
        <v>149</v>
      </c>
      <c r="J2528" s="4">
        <v>4489</v>
      </c>
      <c r="K2528" s="5">
        <v>0.18890621519269324</v>
      </c>
      <c r="L2528" s="5">
        <v>3.3415014479839605E-2</v>
      </c>
    </row>
    <row r="2529" spans="7:12">
      <c r="G2529" t="s">
        <v>3137</v>
      </c>
      <c r="H2529" t="s">
        <v>233</v>
      </c>
      <c r="I2529" t="s">
        <v>221</v>
      </c>
      <c r="J2529" s="4">
        <v>4035</v>
      </c>
      <c r="K2529" s="5">
        <v>0.18884758364312268</v>
      </c>
      <c r="L2529" s="5">
        <v>9.4175960346964058E-3</v>
      </c>
    </row>
    <row r="2530" spans="7:12">
      <c r="G2530" t="s">
        <v>3138</v>
      </c>
      <c r="H2530" t="s">
        <v>252</v>
      </c>
      <c r="I2530" t="s">
        <v>131</v>
      </c>
      <c r="J2530" s="4">
        <v>1806</v>
      </c>
      <c r="K2530" s="5">
        <v>0.18881506090808417</v>
      </c>
      <c r="L2530" s="5">
        <v>7.1982281284606866E-3</v>
      </c>
    </row>
    <row r="2531" spans="7:12">
      <c r="G2531" t="s">
        <v>3139</v>
      </c>
      <c r="H2531" t="s">
        <v>326</v>
      </c>
      <c r="I2531" t="s">
        <v>455</v>
      </c>
      <c r="J2531" s="4">
        <v>10646</v>
      </c>
      <c r="K2531" s="5">
        <v>0.18880330640616194</v>
      </c>
      <c r="L2531" s="5">
        <v>1.8786398647379298E-3</v>
      </c>
    </row>
    <row r="2532" spans="7:12">
      <c r="G2532" t="s">
        <v>3140</v>
      </c>
      <c r="H2532" t="s">
        <v>218</v>
      </c>
      <c r="I2532" t="s">
        <v>215</v>
      </c>
      <c r="J2532" s="4">
        <v>10313</v>
      </c>
      <c r="K2532" s="5">
        <v>0.18879084650441191</v>
      </c>
      <c r="L2532" s="5">
        <v>8.2420246291088923E-3</v>
      </c>
    </row>
    <row r="2533" spans="7:12">
      <c r="G2533" t="s">
        <v>3141</v>
      </c>
      <c r="H2533" t="s">
        <v>218</v>
      </c>
      <c r="I2533" t="s">
        <v>100</v>
      </c>
      <c r="J2533" s="4">
        <v>15102</v>
      </c>
      <c r="K2533" s="5">
        <v>0.18878294265660178</v>
      </c>
      <c r="L2533" s="5">
        <v>1.0859488809429215E-2</v>
      </c>
    </row>
    <row r="2534" spans="7:12">
      <c r="G2534" t="s">
        <v>3142</v>
      </c>
      <c r="H2534" t="s">
        <v>226</v>
      </c>
      <c r="I2534" t="s">
        <v>221</v>
      </c>
      <c r="J2534" s="4">
        <v>1515</v>
      </c>
      <c r="K2534" s="5">
        <v>0.18877887788778877</v>
      </c>
      <c r="L2534" s="5">
        <v>9.240924092409241E-3</v>
      </c>
    </row>
    <row r="2535" spans="7:12">
      <c r="G2535" t="s">
        <v>3143</v>
      </c>
      <c r="H2535" t="s">
        <v>118</v>
      </c>
      <c r="I2535" t="s">
        <v>408</v>
      </c>
      <c r="J2535" s="4">
        <v>12068</v>
      </c>
      <c r="K2535" s="5">
        <v>0.18876367252237322</v>
      </c>
      <c r="L2535" s="5">
        <v>1.6241299303944315E-2</v>
      </c>
    </row>
    <row r="2536" spans="7:12">
      <c r="G2536" t="s">
        <v>3144</v>
      </c>
      <c r="H2536" t="s">
        <v>226</v>
      </c>
      <c r="I2536" t="s">
        <v>408</v>
      </c>
      <c r="J2536" s="4">
        <v>1314</v>
      </c>
      <c r="K2536" s="5">
        <v>0.18873668188736681</v>
      </c>
      <c r="L2536" s="5">
        <v>9.1324200913242004E-3</v>
      </c>
    </row>
    <row r="2537" spans="7:12">
      <c r="G2537" t="s">
        <v>3145</v>
      </c>
      <c r="H2537" t="s">
        <v>137</v>
      </c>
      <c r="I2537" t="s">
        <v>129</v>
      </c>
      <c r="J2537" s="4">
        <v>1293</v>
      </c>
      <c r="K2537" s="5">
        <v>0.18870843000773396</v>
      </c>
      <c r="L2537" s="5">
        <v>1.3921113689095127E-2</v>
      </c>
    </row>
    <row r="2538" spans="7:12">
      <c r="G2538" t="s">
        <v>3146</v>
      </c>
      <c r="H2538" t="s">
        <v>140</v>
      </c>
      <c r="I2538" t="s">
        <v>368</v>
      </c>
      <c r="J2538" s="4">
        <v>3297</v>
      </c>
      <c r="K2538" s="5">
        <v>0.1886563542614498</v>
      </c>
      <c r="L2538" s="5">
        <v>3.4880194115862906E-2</v>
      </c>
    </row>
    <row r="2539" spans="7:12">
      <c r="G2539" t="s">
        <v>3147</v>
      </c>
      <c r="H2539" t="s">
        <v>305</v>
      </c>
      <c r="I2539" t="s">
        <v>100</v>
      </c>
      <c r="J2539" s="4">
        <v>4628</v>
      </c>
      <c r="K2539" s="5">
        <v>0.18863439930855661</v>
      </c>
      <c r="L2539" s="5">
        <v>9.9394987035436467E-3</v>
      </c>
    </row>
    <row r="2540" spans="7:12">
      <c r="G2540" t="s">
        <v>3148</v>
      </c>
      <c r="H2540" t="s">
        <v>118</v>
      </c>
      <c r="I2540" t="s">
        <v>388</v>
      </c>
      <c r="J2540" s="4">
        <v>2094</v>
      </c>
      <c r="K2540" s="5">
        <v>0.18863419293218719</v>
      </c>
      <c r="L2540" s="5">
        <v>1.0028653295128941E-2</v>
      </c>
    </row>
    <row r="2541" spans="7:12">
      <c r="G2541" t="s">
        <v>3149</v>
      </c>
      <c r="H2541" t="s">
        <v>414</v>
      </c>
      <c r="I2541" t="s">
        <v>204</v>
      </c>
      <c r="J2541" s="4">
        <v>5982</v>
      </c>
      <c r="K2541" s="5">
        <v>0.18856569709127383</v>
      </c>
      <c r="L2541" s="5">
        <v>1.9391507856904047E-2</v>
      </c>
    </row>
    <row r="2542" spans="7:12">
      <c r="G2542" t="s">
        <v>3150</v>
      </c>
      <c r="H2542" t="s">
        <v>326</v>
      </c>
      <c r="I2542" t="s">
        <v>466</v>
      </c>
      <c r="J2542" s="4">
        <v>9287</v>
      </c>
      <c r="K2542" s="5">
        <v>0.18854312479810487</v>
      </c>
      <c r="L2542" s="5">
        <v>4.3070959405620756E-3</v>
      </c>
    </row>
    <row r="2543" spans="7:12">
      <c r="G2543" t="s">
        <v>3151</v>
      </c>
      <c r="H2543" t="s">
        <v>346</v>
      </c>
      <c r="I2543" t="s">
        <v>80</v>
      </c>
      <c r="J2543" s="4">
        <v>2335</v>
      </c>
      <c r="K2543" s="5">
        <v>0.18843683083511778</v>
      </c>
      <c r="L2543" s="5">
        <v>8.9935760171306212E-3</v>
      </c>
    </row>
    <row r="2544" spans="7:12">
      <c r="G2544" t="s">
        <v>3152</v>
      </c>
      <c r="H2544" t="s">
        <v>410</v>
      </c>
      <c r="I2544" t="s">
        <v>118</v>
      </c>
      <c r="J2544" s="4">
        <v>6581</v>
      </c>
      <c r="K2544" s="5">
        <v>0.18842121258167452</v>
      </c>
      <c r="L2544" s="5">
        <v>1.3219875398875551E-2</v>
      </c>
    </row>
    <row r="2545" spans="7:12">
      <c r="G2545" t="s">
        <v>3153</v>
      </c>
      <c r="H2545" t="s">
        <v>406</v>
      </c>
      <c r="I2545" t="s">
        <v>100</v>
      </c>
      <c r="J2545" s="4">
        <v>2553</v>
      </c>
      <c r="K2545" s="5">
        <v>0.18840579710144928</v>
      </c>
      <c r="L2545" s="5">
        <v>1.1359185272228751E-2</v>
      </c>
    </row>
    <row r="2546" spans="7:12">
      <c r="G2546" t="s">
        <v>3154</v>
      </c>
      <c r="H2546" t="s">
        <v>118</v>
      </c>
      <c r="I2546" t="s">
        <v>248</v>
      </c>
      <c r="J2546" s="4">
        <v>1343</v>
      </c>
      <c r="K2546" s="5">
        <v>0.18838421444527179</v>
      </c>
      <c r="L2546" s="5">
        <v>1.1169024571854059E-2</v>
      </c>
    </row>
    <row r="2547" spans="7:12">
      <c r="G2547" t="s">
        <v>3155</v>
      </c>
      <c r="H2547" t="s">
        <v>259</v>
      </c>
      <c r="I2547" t="s">
        <v>282</v>
      </c>
      <c r="J2547" s="4">
        <v>3122</v>
      </c>
      <c r="K2547" s="5">
        <v>0.18834080717488788</v>
      </c>
      <c r="L2547" s="5">
        <v>2.4023062139654067E-2</v>
      </c>
    </row>
    <row r="2548" spans="7:12">
      <c r="G2548" t="s">
        <v>3156</v>
      </c>
      <c r="H2548" t="s">
        <v>204</v>
      </c>
      <c r="I2548" t="s">
        <v>410</v>
      </c>
      <c r="J2548" s="4">
        <v>3197</v>
      </c>
      <c r="K2548" s="5">
        <v>0.18830153268689395</v>
      </c>
      <c r="L2548" s="5">
        <v>3.5345636534250859E-2</v>
      </c>
    </row>
    <row r="2549" spans="7:12">
      <c r="G2549" t="s">
        <v>3157</v>
      </c>
      <c r="H2549" t="s">
        <v>103</v>
      </c>
      <c r="I2549" t="s">
        <v>3158</v>
      </c>
      <c r="J2549" s="4">
        <v>1859</v>
      </c>
      <c r="K2549" s="5">
        <v>0.18827326519634213</v>
      </c>
      <c r="L2549" s="5">
        <v>2.3130715438407747E-2</v>
      </c>
    </row>
    <row r="2550" spans="7:12">
      <c r="G2550" t="s">
        <v>3159</v>
      </c>
      <c r="H2550" t="s">
        <v>326</v>
      </c>
      <c r="I2550" t="s">
        <v>160</v>
      </c>
      <c r="J2550" s="4">
        <v>9047</v>
      </c>
      <c r="K2550" s="5">
        <v>0.18823919531336356</v>
      </c>
      <c r="L2550" s="5">
        <v>1.5364209130098375E-2</v>
      </c>
    </row>
    <row r="2551" spans="7:12">
      <c r="G2551" t="s">
        <v>3160</v>
      </c>
      <c r="H2551" t="s">
        <v>123</v>
      </c>
      <c r="I2551" t="s">
        <v>218</v>
      </c>
      <c r="J2551" s="4">
        <v>2954</v>
      </c>
      <c r="K2551" s="5">
        <v>0.18821936357481381</v>
      </c>
      <c r="L2551" s="5">
        <v>9.4786729857819912E-3</v>
      </c>
    </row>
    <row r="2552" spans="7:12">
      <c r="G2552" t="s">
        <v>3161</v>
      </c>
      <c r="H2552" t="s">
        <v>322</v>
      </c>
      <c r="I2552" t="s">
        <v>453</v>
      </c>
      <c r="J2552" s="4">
        <v>1695</v>
      </c>
      <c r="K2552" s="5">
        <v>0.18820058997050149</v>
      </c>
      <c r="L2552" s="5">
        <v>8.8495575221238937E-3</v>
      </c>
    </row>
    <row r="2553" spans="7:12">
      <c r="G2553" t="s">
        <v>3162</v>
      </c>
      <c r="H2553" t="s">
        <v>226</v>
      </c>
      <c r="I2553" t="s">
        <v>412</v>
      </c>
      <c r="J2553" s="4">
        <v>3651</v>
      </c>
      <c r="K2553" s="5">
        <v>0.18816762530813474</v>
      </c>
      <c r="L2553" s="5">
        <v>1.1503697617091208E-2</v>
      </c>
    </row>
    <row r="2554" spans="7:12">
      <c r="G2554" t="s">
        <v>3163</v>
      </c>
      <c r="H2554" t="s">
        <v>322</v>
      </c>
      <c r="I2554" t="s">
        <v>319</v>
      </c>
      <c r="J2554" s="4">
        <v>2185</v>
      </c>
      <c r="K2554" s="5">
        <v>0.18810068649885583</v>
      </c>
      <c r="L2554" s="5">
        <v>1.2356979405034324E-2</v>
      </c>
    </row>
    <row r="2555" spans="7:12">
      <c r="G2555" t="s">
        <v>3164</v>
      </c>
      <c r="H2555" t="s">
        <v>259</v>
      </c>
      <c r="I2555" t="s">
        <v>324</v>
      </c>
      <c r="J2555" s="4">
        <v>1898</v>
      </c>
      <c r="K2555" s="5">
        <v>0.18809272918861961</v>
      </c>
      <c r="L2555" s="5">
        <v>4.0042149631190724E-2</v>
      </c>
    </row>
    <row r="2556" spans="7:12">
      <c r="G2556" t="s">
        <v>3165</v>
      </c>
      <c r="H2556" t="s">
        <v>215</v>
      </c>
      <c r="I2556" t="s">
        <v>449</v>
      </c>
      <c r="J2556" s="4">
        <v>16254</v>
      </c>
      <c r="K2556" s="5">
        <v>0.18807678110003692</v>
      </c>
      <c r="L2556" s="5">
        <v>7.0751814937861446E-3</v>
      </c>
    </row>
    <row r="2557" spans="7:12">
      <c r="G2557" t="s">
        <v>3166</v>
      </c>
      <c r="H2557" t="s">
        <v>89</v>
      </c>
      <c r="I2557" t="s">
        <v>3167</v>
      </c>
      <c r="J2557" s="4">
        <v>2180</v>
      </c>
      <c r="K2557" s="5">
        <v>0.18807339449541285</v>
      </c>
      <c r="L2557" s="5">
        <v>2.614678899082569E-2</v>
      </c>
    </row>
    <row r="2558" spans="7:12">
      <c r="G2558" t="s">
        <v>3168</v>
      </c>
      <c r="H2558" t="s">
        <v>268</v>
      </c>
      <c r="I2558" t="s">
        <v>489</v>
      </c>
      <c r="J2558" s="4">
        <v>1085</v>
      </c>
      <c r="K2558" s="5">
        <v>0.1880184331797235</v>
      </c>
      <c r="L2558" s="5">
        <v>4.608294930875576E-3</v>
      </c>
    </row>
    <row r="2559" spans="7:12">
      <c r="G2559" t="s">
        <v>3169</v>
      </c>
      <c r="H2559" t="s">
        <v>377</v>
      </c>
      <c r="I2559" t="s">
        <v>331</v>
      </c>
      <c r="J2559" s="4">
        <v>3772</v>
      </c>
      <c r="K2559" s="5">
        <v>0.18796394485683987</v>
      </c>
      <c r="L2559" s="5">
        <v>9.0137857900318141E-3</v>
      </c>
    </row>
    <row r="2560" spans="7:12">
      <c r="G2560" t="s">
        <v>3170</v>
      </c>
      <c r="H2560" t="s">
        <v>497</v>
      </c>
      <c r="I2560" t="s">
        <v>89</v>
      </c>
      <c r="J2560" s="4">
        <v>6694</v>
      </c>
      <c r="K2560" s="5">
        <v>0.18792948909471169</v>
      </c>
      <c r="L2560" s="5">
        <v>2.3453839259037945E-2</v>
      </c>
    </row>
    <row r="2561" spans="7:12">
      <c r="G2561" t="s">
        <v>3171</v>
      </c>
      <c r="H2561" t="s">
        <v>377</v>
      </c>
      <c r="I2561" t="s">
        <v>85</v>
      </c>
      <c r="J2561" s="4">
        <v>3459</v>
      </c>
      <c r="K2561" s="5">
        <v>0.18791558253830587</v>
      </c>
      <c r="L2561" s="5">
        <v>6.3602197166811219E-3</v>
      </c>
    </row>
    <row r="2562" spans="7:12">
      <c r="G2562" t="s">
        <v>3172</v>
      </c>
      <c r="H2562" t="s">
        <v>89</v>
      </c>
      <c r="I2562" t="s">
        <v>517</v>
      </c>
      <c r="J2562" s="4">
        <v>1373</v>
      </c>
      <c r="K2562" s="5">
        <v>0.18790968681718864</v>
      </c>
      <c r="L2562" s="5">
        <v>2.1121631463947559E-2</v>
      </c>
    </row>
    <row r="2563" spans="7:12">
      <c r="G2563" t="s">
        <v>3173</v>
      </c>
      <c r="H2563" t="s">
        <v>461</v>
      </c>
      <c r="I2563" t="s">
        <v>182</v>
      </c>
      <c r="J2563" s="4">
        <v>7640</v>
      </c>
      <c r="K2563" s="5">
        <v>0.18782722513089006</v>
      </c>
      <c r="L2563" s="5">
        <v>5.7591623036649213E-3</v>
      </c>
    </row>
    <row r="2564" spans="7:12">
      <c r="G2564" t="s">
        <v>3174</v>
      </c>
      <c r="H2564" t="s">
        <v>236</v>
      </c>
      <c r="I2564" t="s">
        <v>137</v>
      </c>
      <c r="J2564" s="4">
        <v>4340</v>
      </c>
      <c r="K2564" s="5">
        <v>0.18778801843317972</v>
      </c>
      <c r="L2564" s="5">
        <v>1.4976958525345621E-2</v>
      </c>
    </row>
    <row r="2565" spans="7:12">
      <c r="G2565" t="s">
        <v>3175</v>
      </c>
      <c r="H2565" t="s">
        <v>137</v>
      </c>
      <c r="I2565" t="s">
        <v>388</v>
      </c>
      <c r="J2565" s="4">
        <v>1523</v>
      </c>
      <c r="K2565" s="5">
        <v>0.18778726198292844</v>
      </c>
      <c r="L2565" s="5">
        <v>1.9041365725541694E-2</v>
      </c>
    </row>
    <row r="2566" spans="7:12">
      <c r="G2566" t="s">
        <v>3176</v>
      </c>
      <c r="H2566" t="s">
        <v>503</v>
      </c>
      <c r="I2566" t="s">
        <v>362</v>
      </c>
      <c r="J2566" s="4">
        <v>2157</v>
      </c>
      <c r="K2566" s="5">
        <v>0.18776077885952713</v>
      </c>
      <c r="L2566" s="5">
        <v>6.954102920723227E-3</v>
      </c>
    </row>
    <row r="2567" spans="7:12">
      <c r="G2567" t="s">
        <v>3177</v>
      </c>
      <c r="H2567" t="s">
        <v>268</v>
      </c>
      <c r="I2567" t="s">
        <v>505</v>
      </c>
      <c r="J2567" s="4">
        <v>3430</v>
      </c>
      <c r="K2567" s="5">
        <v>0.18775510204081633</v>
      </c>
      <c r="L2567" s="5">
        <v>9.9125364431486875E-3</v>
      </c>
    </row>
    <row r="2568" spans="7:12">
      <c r="G2568" t="s">
        <v>3178</v>
      </c>
      <c r="H2568" t="s">
        <v>3167</v>
      </c>
      <c r="I2568" t="s">
        <v>89</v>
      </c>
      <c r="J2568" s="4">
        <v>2179</v>
      </c>
      <c r="K2568" s="5">
        <v>0.18770078017439193</v>
      </c>
      <c r="L2568" s="5">
        <v>2.4323083983478658E-2</v>
      </c>
    </row>
    <row r="2569" spans="7:12">
      <c r="G2569" t="s">
        <v>3179</v>
      </c>
      <c r="H2569" t="s">
        <v>252</v>
      </c>
      <c r="I2569" t="s">
        <v>226</v>
      </c>
      <c r="J2569" s="4">
        <v>2195</v>
      </c>
      <c r="K2569" s="5">
        <v>0.1876993166287016</v>
      </c>
      <c r="L2569" s="5">
        <v>4.1002277904328022E-3</v>
      </c>
    </row>
    <row r="2570" spans="7:12">
      <c r="G2570" t="s">
        <v>3180</v>
      </c>
      <c r="H2570" t="s">
        <v>131</v>
      </c>
      <c r="I2570" t="s">
        <v>218</v>
      </c>
      <c r="J2570" s="4">
        <v>15069</v>
      </c>
      <c r="K2570" s="5">
        <v>0.18767005109828125</v>
      </c>
      <c r="L2570" s="5">
        <v>1.0219656247926206E-2</v>
      </c>
    </row>
    <row r="2571" spans="7:12">
      <c r="G2571" t="s">
        <v>3181</v>
      </c>
      <c r="H2571" t="s">
        <v>322</v>
      </c>
      <c r="I2571" t="s">
        <v>207</v>
      </c>
      <c r="J2571" s="4">
        <v>2601</v>
      </c>
      <c r="K2571" s="5">
        <v>0.18762014609765476</v>
      </c>
      <c r="L2571" s="5">
        <v>7.3048827374086892E-3</v>
      </c>
    </row>
    <row r="2572" spans="7:12">
      <c r="G2572" t="s">
        <v>3182</v>
      </c>
      <c r="H2572" t="s">
        <v>233</v>
      </c>
      <c r="I2572" t="s">
        <v>352</v>
      </c>
      <c r="J2572" s="4">
        <v>3727</v>
      </c>
      <c r="K2572" s="5">
        <v>0.18755030855916285</v>
      </c>
      <c r="L2572" s="5">
        <v>7.512744834987926E-3</v>
      </c>
    </row>
    <row r="2573" spans="7:12">
      <c r="G2573" t="s">
        <v>3183</v>
      </c>
      <c r="H2573" t="s">
        <v>233</v>
      </c>
      <c r="I2573" t="s">
        <v>346</v>
      </c>
      <c r="J2573" s="4">
        <v>3061</v>
      </c>
      <c r="K2573" s="5">
        <v>0.1875204181639987</v>
      </c>
      <c r="L2573" s="5">
        <v>5.5537406076445603E-3</v>
      </c>
    </row>
    <row r="2574" spans="7:12">
      <c r="G2574" t="s">
        <v>3184</v>
      </c>
      <c r="H2574" t="s">
        <v>85</v>
      </c>
      <c r="I2574" t="s">
        <v>172</v>
      </c>
      <c r="J2574" s="4">
        <v>2598</v>
      </c>
      <c r="K2574" s="5">
        <v>0.18745188606620478</v>
      </c>
      <c r="L2574" s="5">
        <v>4.2340261739799842E-3</v>
      </c>
    </row>
    <row r="2575" spans="7:12">
      <c r="G2575" t="s">
        <v>3185</v>
      </c>
      <c r="H2575" t="s">
        <v>254</v>
      </c>
      <c r="I2575" t="s">
        <v>233</v>
      </c>
      <c r="J2575" s="4">
        <v>1761</v>
      </c>
      <c r="K2575" s="5">
        <v>0.18739352640545145</v>
      </c>
      <c r="L2575" s="5">
        <v>8.5178875638841564E-3</v>
      </c>
    </row>
    <row r="2576" spans="7:12">
      <c r="G2576" t="s">
        <v>3186</v>
      </c>
      <c r="H2576" t="s">
        <v>259</v>
      </c>
      <c r="I2576" t="s">
        <v>305</v>
      </c>
      <c r="J2576" s="4">
        <v>2332</v>
      </c>
      <c r="K2576" s="5">
        <v>0.18739279588336191</v>
      </c>
      <c r="L2576" s="5">
        <v>2.7444253859348199E-2</v>
      </c>
    </row>
    <row r="2577" spans="7:12">
      <c r="G2577" t="s">
        <v>3187</v>
      </c>
      <c r="H2577" t="s">
        <v>418</v>
      </c>
      <c r="I2577" t="s">
        <v>484</v>
      </c>
      <c r="J2577" s="4">
        <v>1110</v>
      </c>
      <c r="K2577" s="5">
        <v>0.18738738738738739</v>
      </c>
      <c r="L2577" s="5">
        <v>9.0090090090090091E-4</v>
      </c>
    </row>
    <row r="2578" spans="7:12">
      <c r="G2578" t="s">
        <v>3188</v>
      </c>
      <c r="H2578" t="s">
        <v>202</v>
      </c>
      <c r="I2578" t="s">
        <v>268</v>
      </c>
      <c r="J2578" s="4">
        <v>3090</v>
      </c>
      <c r="K2578" s="5">
        <v>0.18737864077669902</v>
      </c>
      <c r="L2578" s="5">
        <v>1.3268608414239482E-2</v>
      </c>
    </row>
    <row r="2579" spans="7:12">
      <c r="G2579" t="s">
        <v>3189</v>
      </c>
      <c r="H2579" t="s">
        <v>349</v>
      </c>
      <c r="I2579" t="s">
        <v>134</v>
      </c>
      <c r="J2579" s="4">
        <v>1639</v>
      </c>
      <c r="K2579" s="5">
        <v>0.18730933496034166</v>
      </c>
      <c r="L2579" s="5">
        <v>1.2202562538133009E-2</v>
      </c>
    </row>
    <row r="2580" spans="7:12">
      <c r="G2580" t="s">
        <v>3190</v>
      </c>
      <c r="H2580" t="s">
        <v>326</v>
      </c>
      <c r="I2580" t="s">
        <v>418</v>
      </c>
      <c r="J2580" s="4">
        <v>9632</v>
      </c>
      <c r="K2580" s="5">
        <v>0.1872923588039867</v>
      </c>
      <c r="L2580" s="5">
        <v>6.852159468438538E-3</v>
      </c>
    </row>
    <row r="2581" spans="7:12">
      <c r="G2581" t="s">
        <v>3191</v>
      </c>
      <c r="H2581" t="s">
        <v>3192</v>
      </c>
      <c r="I2581" t="s">
        <v>89</v>
      </c>
      <c r="J2581" s="4">
        <v>2531</v>
      </c>
      <c r="K2581" s="5">
        <v>0.18727775582773606</v>
      </c>
      <c r="L2581" s="5">
        <v>2.7261951797708416E-2</v>
      </c>
    </row>
    <row r="2582" spans="7:12">
      <c r="G2582" t="s">
        <v>3193</v>
      </c>
      <c r="H2582" t="s">
        <v>140</v>
      </c>
      <c r="I2582" t="s">
        <v>256</v>
      </c>
      <c r="J2582" s="4">
        <v>1805</v>
      </c>
      <c r="K2582" s="5">
        <v>0.18725761772853186</v>
      </c>
      <c r="L2582" s="5">
        <v>6.5373961218836568E-2</v>
      </c>
    </row>
    <row r="2583" spans="7:12">
      <c r="G2583" t="s">
        <v>3194</v>
      </c>
      <c r="H2583" t="s">
        <v>226</v>
      </c>
      <c r="I2583" t="s">
        <v>484</v>
      </c>
      <c r="J2583" s="4">
        <v>4572</v>
      </c>
      <c r="K2583" s="5">
        <v>0.18722659667541558</v>
      </c>
      <c r="L2583" s="5">
        <v>6.7804024496937879E-3</v>
      </c>
    </row>
    <row r="2584" spans="7:12">
      <c r="G2584" t="s">
        <v>3195</v>
      </c>
      <c r="H2584" t="s">
        <v>226</v>
      </c>
      <c r="I2584" t="s">
        <v>390</v>
      </c>
      <c r="J2584" s="4">
        <v>13183</v>
      </c>
      <c r="K2584" s="5">
        <v>0.18721080179018432</v>
      </c>
      <c r="L2584" s="5">
        <v>1.1226579685959189E-2</v>
      </c>
    </row>
    <row r="2585" spans="7:12">
      <c r="G2585" t="s">
        <v>3196</v>
      </c>
      <c r="H2585" t="s">
        <v>160</v>
      </c>
      <c r="I2585" t="s">
        <v>406</v>
      </c>
      <c r="J2585" s="4">
        <v>1277</v>
      </c>
      <c r="K2585" s="5">
        <v>0.18715740015661708</v>
      </c>
      <c r="L2585" s="5">
        <v>1.0963194988253719E-2</v>
      </c>
    </row>
    <row r="2586" spans="7:12">
      <c r="G2586" t="s">
        <v>3197</v>
      </c>
      <c r="H2586" t="s">
        <v>278</v>
      </c>
      <c r="I2586" t="s">
        <v>182</v>
      </c>
      <c r="J2586" s="4">
        <v>1470</v>
      </c>
      <c r="K2586" s="5">
        <v>0.1870748299319728</v>
      </c>
      <c r="L2586" s="5">
        <v>2.3809523809523808E-2</v>
      </c>
    </row>
    <row r="2587" spans="7:12">
      <c r="G2587" t="s">
        <v>3198</v>
      </c>
      <c r="H2587" t="s">
        <v>100</v>
      </c>
      <c r="I2587" t="s">
        <v>346</v>
      </c>
      <c r="J2587" s="4">
        <v>5939</v>
      </c>
      <c r="K2587" s="5">
        <v>0.1870685300555649</v>
      </c>
      <c r="L2587" s="5">
        <v>1.4985687826233373E-2</v>
      </c>
    </row>
    <row r="2588" spans="7:12">
      <c r="G2588" t="s">
        <v>3199</v>
      </c>
      <c r="H2588" t="s">
        <v>370</v>
      </c>
      <c r="I2588" t="s">
        <v>204</v>
      </c>
      <c r="J2588" s="4">
        <v>4373</v>
      </c>
      <c r="K2588" s="5">
        <v>0.18705694031557282</v>
      </c>
      <c r="L2588" s="5">
        <v>8.0036588154584962E-3</v>
      </c>
    </row>
    <row r="2589" spans="7:12">
      <c r="G2589" t="s">
        <v>3200</v>
      </c>
      <c r="H2589" t="s">
        <v>322</v>
      </c>
      <c r="I2589" t="s">
        <v>259</v>
      </c>
      <c r="J2589" s="4">
        <v>12526</v>
      </c>
      <c r="K2589" s="5">
        <v>0.18705093405716111</v>
      </c>
      <c r="L2589" s="5">
        <v>2.418968545425515E-2</v>
      </c>
    </row>
    <row r="2590" spans="7:12">
      <c r="G2590" t="s">
        <v>3201</v>
      </c>
      <c r="H2590" t="s">
        <v>259</v>
      </c>
      <c r="I2590" t="s">
        <v>204</v>
      </c>
      <c r="J2590" s="4">
        <v>14777</v>
      </c>
      <c r="K2590" s="5">
        <v>0.18697976585233808</v>
      </c>
      <c r="L2590" s="5">
        <v>3.0588076064153754E-2</v>
      </c>
    </row>
    <row r="2591" spans="7:12">
      <c r="G2591" t="s">
        <v>3202</v>
      </c>
      <c r="H2591" t="s">
        <v>140</v>
      </c>
      <c r="I2591" t="s">
        <v>236</v>
      </c>
      <c r="J2591" s="4">
        <v>2734</v>
      </c>
      <c r="K2591" s="5">
        <v>0.1869056327724945</v>
      </c>
      <c r="L2591" s="5">
        <v>3.2553035844915874E-2</v>
      </c>
    </row>
    <row r="2592" spans="7:12">
      <c r="G2592" t="s">
        <v>3203</v>
      </c>
      <c r="H2592" t="s">
        <v>2838</v>
      </c>
      <c r="I2592" t="s">
        <v>103</v>
      </c>
      <c r="J2592" s="4">
        <v>1996</v>
      </c>
      <c r="K2592" s="5">
        <v>0.18687374749498997</v>
      </c>
      <c r="L2592" s="5">
        <v>2.7555110220440882E-2</v>
      </c>
    </row>
    <row r="2593" spans="7:12">
      <c r="G2593" t="s">
        <v>3204</v>
      </c>
      <c r="H2593" t="s">
        <v>382</v>
      </c>
      <c r="I2593" t="s">
        <v>89</v>
      </c>
      <c r="J2593" s="4">
        <v>6909</v>
      </c>
      <c r="K2593" s="5">
        <v>0.18685772181212912</v>
      </c>
      <c r="L2593" s="5">
        <v>2.0987118251555942E-2</v>
      </c>
    </row>
    <row r="2594" spans="7:12">
      <c r="G2594" t="s">
        <v>3205</v>
      </c>
      <c r="H2594" t="s">
        <v>331</v>
      </c>
      <c r="I2594" t="s">
        <v>254</v>
      </c>
      <c r="J2594" s="4">
        <v>2265</v>
      </c>
      <c r="K2594" s="5">
        <v>0.18675496688741722</v>
      </c>
      <c r="L2594" s="5">
        <v>1.9426048565121413E-2</v>
      </c>
    </row>
    <row r="2595" spans="7:12">
      <c r="G2595" t="s">
        <v>3206</v>
      </c>
      <c r="H2595" t="s">
        <v>322</v>
      </c>
      <c r="I2595" t="s">
        <v>329</v>
      </c>
      <c r="J2595" s="4">
        <v>1730</v>
      </c>
      <c r="K2595" s="5">
        <v>0.18670520231213872</v>
      </c>
      <c r="L2595" s="5">
        <v>6.3583815028901737E-3</v>
      </c>
    </row>
    <row r="2596" spans="7:12">
      <c r="G2596" t="s">
        <v>3207</v>
      </c>
      <c r="H2596" t="s">
        <v>307</v>
      </c>
      <c r="I2596" t="s">
        <v>103</v>
      </c>
      <c r="J2596" s="4">
        <v>1098</v>
      </c>
      <c r="K2596" s="5">
        <v>0.18670309653916212</v>
      </c>
      <c r="L2596" s="5">
        <v>1.5482695810564663E-2</v>
      </c>
    </row>
    <row r="2597" spans="7:12">
      <c r="G2597" t="s">
        <v>3208</v>
      </c>
      <c r="H2597" t="s">
        <v>370</v>
      </c>
      <c r="I2597" t="s">
        <v>136</v>
      </c>
      <c r="J2597" s="4">
        <v>4174</v>
      </c>
      <c r="K2597" s="5">
        <v>0.1866315285098227</v>
      </c>
      <c r="L2597" s="5">
        <v>5.0311451844753238E-3</v>
      </c>
    </row>
    <row r="2598" spans="7:12">
      <c r="G2598" t="s">
        <v>3209</v>
      </c>
      <c r="H2598" t="s">
        <v>215</v>
      </c>
      <c r="I2598" t="s">
        <v>466</v>
      </c>
      <c r="J2598" s="4">
        <v>7448</v>
      </c>
      <c r="K2598" s="5">
        <v>0.18662728249194416</v>
      </c>
      <c r="L2598" s="5">
        <v>1.060687432867884E-2</v>
      </c>
    </row>
    <row r="2599" spans="7:12">
      <c r="G2599" t="s">
        <v>3210</v>
      </c>
      <c r="H2599" t="s">
        <v>352</v>
      </c>
      <c r="I2599" t="s">
        <v>326</v>
      </c>
      <c r="J2599" s="4">
        <v>7561</v>
      </c>
      <c r="K2599" s="5">
        <v>0.18661552704668694</v>
      </c>
      <c r="L2599" s="5">
        <v>7.1419124454437247E-3</v>
      </c>
    </row>
    <row r="2600" spans="7:12">
      <c r="G2600" t="s">
        <v>3211</v>
      </c>
      <c r="H2600" t="s">
        <v>346</v>
      </c>
      <c r="I2600" t="s">
        <v>326</v>
      </c>
      <c r="J2600" s="4">
        <v>2873</v>
      </c>
      <c r="K2600" s="5">
        <v>0.18656456665506438</v>
      </c>
      <c r="L2600" s="5">
        <v>9.3978419770274976E-3</v>
      </c>
    </row>
    <row r="2601" spans="7:12">
      <c r="G2601" t="s">
        <v>3212</v>
      </c>
      <c r="H2601" t="s">
        <v>374</v>
      </c>
      <c r="I2601" t="s">
        <v>189</v>
      </c>
      <c r="J2601" s="4">
        <v>1442</v>
      </c>
      <c r="K2601" s="5">
        <v>0.18654646324549237</v>
      </c>
      <c r="L2601" s="5">
        <v>6.9348127600554789E-3</v>
      </c>
    </row>
    <row r="2602" spans="7:12">
      <c r="G2602" t="s">
        <v>3213</v>
      </c>
      <c r="H2602" t="s">
        <v>204</v>
      </c>
      <c r="I2602" t="s">
        <v>322</v>
      </c>
      <c r="J2602" s="4">
        <v>8286</v>
      </c>
      <c r="K2602" s="5">
        <v>0.18645908761766836</v>
      </c>
      <c r="L2602" s="5">
        <v>2.3533671252715424E-2</v>
      </c>
    </row>
    <row r="2603" spans="7:12">
      <c r="G2603" t="s">
        <v>3214</v>
      </c>
      <c r="H2603" t="s">
        <v>414</v>
      </c>
      <c r="I2603" t="s">
        <v>202</v>
      </c>
      <c r="J2603" s="4">
        <v>2671</v>
      </c>
      <c r="K2603" s="5">
        <v>0.18644702358667165</v>
      </c>
      <c r="L2603" s="5">
        <v>1.1980531636091352E-2</v>
      </c>
    </row>
    <row r="2604" spans="7:12">
      <c r="G2604" t="s">
        <v>3215</v>
      </c>
      <c r="H2604" t="s">
        <v>422</v>
      </c>
      <c r="I2604" t="s">
        <v>162</v>
      </c>
      <c r="J2604" s="4">
        <v>6485</v>
      </c>
      <c r="K2604" s="5">
        <v>0.1864302235929067</v>
      </c>
      <c r="L2604" s="5">
        <v>1.9275250578257519E-2</v>
      </c>
    </row>
    <row r="2605" spans="7:12">
      <c r="G2605" t="s">
        <v>3216</v>
      </c>
      <c r="H2605" t="s">
        <v>226</v>
      </c>
      <c r="I2605" t="s">
        <v>85</v>
      </c>
      <c r="J2605" s="4">
        <v>4529</v>
      </c>
      <c r="K2605" s="5">
        <v>0.18635460366526826</v>
      </c>
      <c r="L2605" s="5">
        <v>6.6239788032678298E-3</v>
      </c>
    </row>
    <row r="2606" spans="7:12">
      <c r="G2606" t="s">
        <v>3217</v>
      </c>
      <c r="H2606" t="s">
        <v>245</v>
      </c>
      <c r="I2606" t="s">
        <v>204</v>
      </c>
      <c r="J2606" s="4">
        <v>1224</v>
      </c>
      <c r="K2606" s="5">
        <v>0.18627450980392157</v>
      </c>
      <c r="L2606" s="5">
        <v>3.5947712418300651E-2</v>
      </c>
    </row>
    <row r="2607" spans="7:12">
      <c r="G2607" t="s">
        <v>3218</v>
      </c>
      <c r="H2607" t="s">
        <v>252</v>
      </c>
      <c r="I2607" t="s">
        <v>215</v>
      </c>
      <c r="J2607" s="4">
        <v>2615</v>
      </c>
      <c r="K2607" s="5">
        <v>0.18623326959847036</v>
      </c>
      <c r="L2607" s="5">
        <v>9.9426386233269597E-3</v>
      </c>
    </row>
    <row r="2608" spans="7:12">
      <c r="G2608" t="s">
        <v>3219</v>
      </c>
      <c r="H2608" t="s">
        <v>204</v>
      </c>
      <c r="I2608" t="s">
        <v>414</v>
      </c>
      <c r="J2608" s="4">
        <v>5982</v>
      </c>
      <c r="K2608" s="5">
        <v>0.18622534269475091</v>
      </c>
      <c r="L2608" s="5">
        <v>1.9725844199264458E-2</v>
      </c>
    </row>
    <row r="2609" spans="7:12">
      <c r="G2609" t="s">
        <v>3220</v>
      </c>
      <c r="H2609" t="s">
        <v>3122</v>
      </c>
      <c r="I2609" t="s">
        <v>103</v>
      </c>
      <c r="J2609" s="4">
        <v>1246</v>
      </c>
      <c r="K2609" s="5">
        <v>0.18619582664526485</v>
      </c>
      <c r="L2609" s="5">
        <v>2.4879614767255216E-2</v>
      </c>
    </row>
    <row r="2610" spans="7:12">
      <c r="G2610" t="s">
        <v>3221</v>
      </c>
      <c r="H2610" t="s">
        <v>291</v>
      </c>
      <c r="I2610" t="s">
        <v>136</v>
      </c>
      <c r="J2610" s="4">
        <v>1187</v>
      </c>
      <c r="K2610" s="5">
        <v>0.18618365627632688</v>
      </c>
      <c r="L2610" s="5">
        <v>9.2670598146588033E-3</v>
      </c>
    </row>
    <row r="2611" spans="7:12">
      <c r="G2611" t="s">
        <v>3222</v>
      </c>
      <c r="H2611" t="s">
        <v>204</v>
      </c>
      <c r="I2611" t="s">
        <v>215</v>
      </c>
      <c r="J2611" s="4">
        <v>2487</v>
      </c>
      <c r="K2611" s="5">
        <v>0.18616807398472054</v>
      </c>
      <c r="L2611" s="5">
        <v>9.2480900683554485E-3</v>
      </c>
    </row>
    <row r="2612" spans="7:12">
      <c r="G2612" t="s">
        <v>3223</v>
      </c>
      <c r="H2612" t="s">
        <v>3224</v>
      </c>
      <c r="I2612" t="s">
        <v>103</v>
      </c>
      <c r="J2612" s="4">
        <v>2310</v>
      </c>
      <c r="K2612" s="5">
        <v>0.18614718614718614</v>
      </c>
      <c r="L2612" s="5">
        <v>1.6450216450216451E-2</v>
      </c>
    </row>
    <row r="2613" spans="7:12">
      <c r="G2613" t="s">
        <v>3225</v>
      </c>
      <c r="H2613" t="s">
        <v>89</v>
      </c>
      <c r="I2613" t="s">
        <v>2816</v>
      </c>
      <c r="J2613" s="4">
        <v>2638</v>
      </c>
      <c r="K2613" s="5">
        <v>0.18612585291887793</v>
      </c>
      <c r="L2613" s="5">
        <v>2.7293404094010616E-2</v>
      </c>
    </row>
    <row r="2614" spans="7:12">
      <c r="G2614" t="s">
        <v>3226</v>
      </c>
      <c r="H2614" t="s">
        <v>197</v>
      </c>
      <c r="I2614" t="s">
        <v>326</v>
      </c>
      <c r="J2614" s="4">
        <v>1166</v>
      </c>
      <c r="K2614" s="5">
        <v>0.18610634648370497</v>
      </c>
      <c r="L2614" s="5">
        <v>3.4305317324185248E-3</v>
      </c>
    </row>
    <row r="2615" spans="7:12">
      <c r="G2615" t="s">
        <v>3227</v>
      </c>
      <c r="H2615" t="s">
        <v>226</v>
      </c>
      <c r="I2615" t="s">
        <v>95</v>
      </c>
      <c r="J2615" s="4">
        <v>3865</v>
      </c>
      <c r="K2615" s="5">
        <v>0.18602846054333766</v>
      </c>
      <c r="L2615" s="5">
        <v>1.4489003880983183E-2</v>
      </c>
    </row>
    <row r="2616" spans="7:12">
      <c r="G2616" t="s">
        <v>3228</v>
      </c>
      <c r="H2616" t="s">
        <v>331</v>
      </c>
      <c r="I2616" t="s">
        <v>162</v>
      </c>
      <c r="J2616" s="4">
        <v>5376</v>
      </c>
      <c r="K2616" s="5">
        <v>0.18601190476190477</v>
      </c>
      <c r="L2616" s="5">
        <v>1.5811011904761904E-2</v>
      </c>
    </row>
    <row r="2617" spans="7:12">
      <c r="G2617" t="s">
        <v>3229</v>
      </c>
      <c r="H2617" t="s">
        <v>434</v>
      </c>
      <c r="I2617" t="s">
        <v>189</v>
      </c>
      <c r="J2617" s="4">
        <v>2807</v>
      </c>
      <c r="K2617" s="5">
        <v>0.18596366227288921</v>
      </c>
      <c r="L2617" s="5">
        <v>6.7687923049519058E-3</v>
      </c>
    </row>
    <row r="2618" spans="7:12">
      <c r="G2618" t="s">
        <v>3230</v>
      </c>
      <c r="H2618" t="s">
        <v>226</v>
      </c>
      <c r="I2618" t="s">
        <v>100</v>
      </c>
      <c r="J2618" s="4">
        <v>4754</v>
      </c>
      <c r="K2618" s="5">
        <v>0.18594867480016827</v>
      </c>
      <c r="L2618" s="5">
        <v>8.2036180058897776E-3</v>
      </c>
    </row>
    <row r="2619" spans="7:12">
      <c r="G2619" t="s">
        <v>3231</v>
      </c>
      <c r="H2619" t="s">
        <v>322</v>
      </c>
      <c r="I2619" t="s">
        <v>358</v>
      </c>
      <c r="J2619" s="4">
        <v>3614</v>
      </c>
      <c r="K2619" s="5">
        <v>0.18594355285002767</v>
      </c>
      <c r="L2619" s="5">
        <v>6.3641394576646375E-3</v>
      </c>
    </row>
    <row r="2620" spans="7:12">
      <c r="G2620" t="s">
        <v>3232</v>
      </c>
      <c r="H2620" t="s">
        <v>118</v>
      </c>
      <c r="I2620" t="s">
        <v>390</v>
      </c>
      <c r="J2620" s="4">
        <v>6718</v>
      </c>
      <c r="K2620" s="5">
        <v>0.18591842810360226</v>
      </c>
      <c r="L2620" s="5">
        <v>4.9121762429294429E-3</v>
      </c>
    </row>
    <row r="2621" spans="7:12">
      <c r="G2621" t="s">
        <v>3233</v>
      </c>
      <c r="H2621" t="s">
        <v>377</v>
      </c>
      <c r="I2621" t="s">
        <v>484</v>
      </c>
      <c r="J2621" s="4">
        <v>2410</v>
      </c>
      <c r="K2621" s="5">
        <v>0.18589211618257262</v>
      </c>
      <c r="L2621" s="5">
        <v>9.5435684647302912E-3</v>
      </c>
    </row>
    <row r="2622" spans="7:12">
      <c r="G2622" t="s">
        <v>3234</v>
      </c>
      <c r="H2622" t="s">
        <v>236</v>
      </c>
      <c r="I2622" t="s">
        <v>282</v>
      </c>
      <c r="J2622" s="4">
        <v>1205</v>
      </c>
      <c r="K2622" s="5">
        <v>0.18589211618257262</v>
      </c>
      <c r="L2622" s="5">
        <v>4.1493775933609959E-3</v>
      </c>
    </row>
    <row r="2623" spans="7:12">
      <c r="G2623" t="s">
        <v>3235</v>
      </c>
      <c r="H2623" t="s">
        <v>182</v>
      </c>
      <c r="I2623" t="s">
        <v>100</v>
      </c>
      <c r="J2623" s="4">
        <v>4745</v>
      </c>
      <c r="K2623" s="5">
        <v>0.18587987355110644</v>
      </c>
      <c r="L2623" s="5">
        <v>6.1116965226554265E-3</v>
      </c>
    </row>
    <row r="2624" spans="7:12">
      <c r="G2624" t="s">
        <v>3236</v>
      </c>
      <c r="H2624" t="s">
        <v>414</v>
      </c>
      <c r="I2624" t="s">
        <v>85</v>
      </c>
      <c r="J2624" s="4">
        <v>2561</v>
      </c>
      <c r="K2624" s="5">
        <v>0.18586489652479501</v>
      </c>
      <c r="L2624" s="5">
        <v>4.6856696602889493E-3</v>
      </c>
    </row>
    <row r="2625" spans="7:12">
      <c r="G2625" t="s">
        <v>3237</v>
      </c>
      <c r="H2625" t="s">
        <v>457</v>
      </c>
      <c r="I2625" t="s">
        <v>103</v>
      </c>
      <c r="J2625" s="4">
        <v>6295</v>
      </c>
      <c r="K2625" s="5">
        <v>0.18586179507545672</v>
      </c>
      <c r="L2625" s="5">
        <v>8.1016679904686254E-3</v>
      </c>
    </row>
    <row r="2626" spans="7:12">
      <c r="G2626" t="s">
        <v>3238</v>
      </c>
      <c r="H2626" t="s">
        <v>326</v>
      </c>
      <c r="I2626" t="s">
        <v>449</v>
      </c>
      <c r="J2626" s="4">
        <v>11182</v>
      </c>
      <c r="K2626" s="5">
        <v>0.185834376676802</v>
      </c>
      <c r="L2626" s="5">
        <v>6.1706313718476119E-3</v>
      </c>
    </row>
    <row r="2627" spans="7:12">
      <c r="G2627" t="s">
        <v>3239</v>
      </c>
      <c r="H2627" t="s">
        <v>100</v>
      </c>
      <c r="I2627" t="s">
        <v>517</v>
      </c>
      <c r="J2627" s="4">
        <v>1270</v>
      </c>
      <c r="K2627" s="5">
        <v>0.1858267716535433</v>
      </c>
      <c r="L2627" s="5">
        <v>2.8346456692913385E-2</v>
      </c>
    </row>
    <row r="2628" spans="7:12">
      <c r="G2628" t="s">
        <v>3240</v>
      </c>
      <c r="H2628" t="s">
        <v>402</v>
      </c>
      <c r="I2628" t="s">
        <v>95</v>
      </c>
      <c r="J2628" s="4">
        <v>2718</v>
      </c>
      <c r="K2628" s="5">
        <v>0.18579838116261957</v>
      </c>
      <c r="L2628" s="5">
        <v>1.3612950699043414E-2</v>
      </c>
    </row>
    <row r="2629" spans="7:12">
      <c r="G2629" t="s">
        <v>3241</v>
      </c>
      <c r="H2629" t="s">
        <v>388</v>
      </c>
      <c r="I2629" t="s">
        <v>322</v>
      </c>
      <c r="J2629" s="4">
        <v>1222</v>
      </c>
      <c r="K2629" s="5">
        <v>0.18576104746317512</v>
      </c>
      <c r="L2629" s="5">
        <v>5.7283142389525366E-3</v>
      </c>
    </row>
    <row r="2630" spans="7:12">
      <c r="G2630" t="s">
        <v>3242</v>
      </c>
      <c r="H2630" t="s">
        <v>360</v>
      </c>
      <c r="I2630" t="s">
        <v>202</v>
      </c>
      <c r="J2630" s="4">
        <v>1459</v>
      </c>
      <c r="K2630" s="5">
        <v>0.18574366004112405</v>
      </c>
      <c r="L2630" s="5">
        <v>1.4393420150788211E-2</v>
      </c>
    </row>
    <row r="2631" spans="7:12">
      <c r="G2631" t="s">
        <v>3243</v>
      </c>
      <c r="H2631" t="s">
        <v>342</v>
      </c>
      <c r="I2631" t="s">
        <v>100</v>
      </c>
      <c r="J2631" s="4">
        <v>8034</v>
      </c>
      <c r="K2631" s="5">
        <v>0.18571072940004979</v>
      </c>
      <c r="L2631" s="5">
        <v>1.3567338810057257E-2</v>
      </c>
    </row>
    <row r="2632" spans="7:12">
      <c r="G2632" t="s">
        <v>3244</v>
      </c>
      <c r="H2632" t="s">
        <v>89</v>
      </c>
      <c r="I2632" t="s">
        <v>3192</v>
      </c>
      <c r="J2632" s="4">
        <v>2531</v>
      </c>
      <c r="K2632" s="5">
        <v>0.18569735282497038</v>
      </c>
      <c r="L2632" s="5">
        <v>2.6076649545634135E-2</v>
      </c>
    </row>
    <row r="2633" spans="7:12">
      <c r="G2633" t="s">
        <v>3245</v>
      </c>
      <c r="H2633" t="s">
        <v>443</v>
      </c>
      <c r="I2633" t="s">
        <v>103</v>
      </c>
      <c r="J2633" s="4">
        <v>3076</v>
      </c>
      <c r="K2633" s="5">
        <v>0.18563068920676204</v>
      </c>
      <c r="L2633" s="5">
        <v>1.0728218465539662E-2</v>
      </c>
    </row>
    <row r="2634" spans="7:12">
      <c r="G2634" t="s">
        <v>3246</v>
      </c>
      <c r="H2634" t="s">
        <v>346</v>
      </c>
      <c r="I2634" t="s">
        <v>105</v>
      </c>
      <c r="J2634" s="4">
        <v>1444</v>
      </c>
      <c r="K2634" s="5">
        <v>0.18559556786703602</v>
      </c>
      <c r="L2634" s="5">
        <v>3.4626038781163434E-3</v>
      </c>
    </row>
    <row r="2635" spans="7:12">
      <c r="G2635" t="s">
        <v>3247</v>
      </c>
      <c r="H2635" t="s">
        <v>121</v>
      </c>
      <c r="I2635" t="s">
        <v>319</v>
      </c>
      <c r="J2635" s="4">
        <v>1218</v>
      </c>
      <c r="K2635" s="5">
        <v>0.18555008210180624</v>
      </c>
      <c r="L2635" s="5">
        <v>7.3891625615763543E-3</v>
      </c>
    </row>
    <row r="2636" spans="7:12">
      <c r="G2636" t="s">
        <v>3248</v>
      </c>
      <c r="H2636" t="s">
        <v>434</v>
      </c>
      <c r="I2636" t="s">
        <v>118</v>
      </c>
      <c r="J2636" s="4">
        <v>2792</v>
      </c>
      <c r="K2636" s="5">
        <v>0.18553008595988538</v>
      </c>
      <c r="L2636" s="5">
        <v>8.9541547277936957E-3</v>
      </c>
    </row>
    <row r="2637" spans="7:12">
      <c r="G2637" t="s">
        <v>3249</v>
      </c>
      <c r="H2637" t="s">
        <v>85</v>
      </c>
      <c r="I2637" t="s">
        <v>517</v>
      </c>
      <c r="J2637" s="4">
        <v>1035</v>
      </c>
      <c r="K2637" s="5">
        <v>0.1855072463768116</v>
      </c>
      <c r="L2637" s="5">
        <v>1.6425120772946861E-2</v>
      </c>
    </row>
    <row r="2638" spans="7:12">
      <c r="G2638" t="s">
        <v>3250</v>
      </c>
      <c r="H2638" t="s">
        <v>226</v>
      </c>
      <c r="I2638" t="s">
        <v>218</v>
      </c>
      <c r="J2638" s="4">
        <v>9709</v>
      </c>
      <c r="K2638" s="5">
        <v>0.18549799155422803</v>
      </c>
      <c r="L2638" s="5">
        <v>9.475744154907817E-3</v>
      </c>
    </row>
    <row r="2639" spans="7:12">
      <c r="G2639" t="s">
        <v>3251</v>
      </c>
      <c r="H2639" t="s">
        <v>140</v>
      </c>
      <c r="I2639" t="s">
        <v>331</v>
      </c>
      <c r="J2639" s="4">
        <v>4492</v>
      </c>
      <c r="K2639" s="5">
        <v>0.18544078361531613</v>
      </c>
      <c r="L2639" s="5">
        <v>3.539626001780944E-2</v>
      </c>
    </row>
    <row r="2640" spans="7:12">
      <c r="G2640" t="s">
        <v>3252</v>
      </c>
      <c r="H2640" t="s">
        <v>360</v>
      </c>
      <c r="I2640" t="s">
        <v>149</v>
      </c>
      <c r="J2640" s="4">
        <v>1645</v>
      </c>
      <c r="K2640" s="5">
        <v>0.18541033434650456</v>
      </c>
      <c r="L2640" s="5">
        <v>1.9452887537993922E-2</v>
      </c>
    </row>
    <row r="2641" spans="7:12">
      <c r="G2641" t="s">
        <v>3253</v>
      </c>
      <c r="H2641" t="s">
        <v>457</v>
      </c>
      <c r="I2641" t="s">
        <v>204</v>
      </c>
      <c r="J2641" s="4">
        <v>1074</v>
      </c>
      <c r="K2641" s="5">
        <v>0.18528864059590316</v>
      </c>
      <c r="L2641" s="5">
        <v>4.7486033519553071E-2</v>
      </c>
    </row>
    <row r="2642" spans="7:12">
      <c r="G2642" t="s">
        <v>3254</v>
      </c>
      <c r="H2642" t="s">
        <v>329</v>
      </c>
      <c r="I2642" t="s">
        <v>149</v>
      </c>
      <c r="J2642" s="4">
        <v>2650</v>
      </c>
      <c r="K2642" s="5">
        <v>0.18528301886792453</v>
      </c>
      <c r="L2642" s="5">
        <v>4.1132075471698115E-2</v>
      </c>
    </row>
    <row r="2643" spans="7:12">
      <c r="G2643" t="s">
        <v>3255</v>
      </c>
      <c r="H2643" t="s">
        <v>479</v>
      </c>
      <c r="I2643" t="s">
        <v>100</v>
      </c>
      <c r="J2643" s="4">
        <v>1603</v>
      </c>
      <c r="K2643" s="5">
        <v>0.18527760449157829</v>
      </c>
      <c r="L2643" s="5">
        <v>1.6843418590143482E-2</v>
      </c>
    </row>
    <row r="2644" spans="7:12">
      <c r="G2644" t="s">
        <v>3256</v>
      </c>
      <c r="H2644" t="s">
        <v>420</v>
      </c>
      <c r="I2644" t="s">
        <v>118</v>
      </c>
      <c r="J2644" s="4">
        <v>1560</v>
      </c>
      <c r="K2644" s="5">
        <v>0.18525641025641026</v>
      </c>
      <c r="L2644" s="5">
        <v>1.4743589743589743E-2</v>
      </c>
    </row>
    <row r="2645" spans="7:12">
      <c r="G2645" t="s">
        <v>3257</v>
      </c>
      <c r="H2645" t="s">
        <v>322</v>
      </c>
      <c r="I2645" t="s">
        <v>218</v>
      </c>
      <c r="J2645" s="4">
        <v>15235</v>
      </c>
      <c r="K2645" s="5">
        <v>0.18523137512307186</v>
      </c>
      <c r="L2645" s="5">
        <v>7.8109616015753199E-3</v>
      </c>
    </row>
    <row r="2646" spans="7:12">
      <c r="G2646" t="s">
        <v>3258</v>
      </c>
      <c r="H2646" t="s">
        <v>85</v>
      </c>
      <c r="I2646" t="s">
        <v>346</v>
      </c>
      <c r="J2646" s="4">
        <v>1555</v>
      </c>
      <c r="K2646" s="5">
        <v>0.18520900321543407</v>
      </c>
      <c r="L2646" s="5">
        <v>1.1575562700964629E-2</v>
      </c>
    </row>
    <row r="2647" spans="7:12">
      <c r="G2647" t="s">
        <v>3259</v>
      </c>
      <c r="H2647" t="s">
        <v>336</v>
      </c>
      <c r="I2647" t="s">
        <v>140</v>
      </c>
      <c r="J2647" s="4">
        <v>3013</v>
      </c>
      <c r="K2647" s="5">
        <v>0.18519747759707933</v>
      </c>
      <c r="L2647" s="5">
        <v>2.4560238964487221E-2</v>
      </c>
    </row>
    <row r="2648" spans="7:12">
      <c r="G2648" t="s">
        <v>3260</v>
      </c>
      <c r="H2648" t="s">
        <v>137</v>
      </c>
      <c r="I2648" t="s">
        <v>410</v>
      </c>
      <c r="J2648" s="4">
        <v>1323</v>
      </c>
      <c r="K2648" s="5">
        <v>0.18518518518518517</v>
      </c>
      <c r="L2648" s="5">
        <v>2.2675736961451247E-2</v>
      </c>
    </row>
    <row r="2649" spans="7:12">
      <c r="G2649" t="s">
        <v>3261</v>
      </c>
      <c r="H2649" t="s">
        <v>89</v>
      </c>
      <c r="I2649" t="s">
        <v>68</v>
      </c>
      <c r="J2649" s="4">
        <v>2754</v>
      </c>
      <c r="K2649" s="5">
        <v>0.18518518518518517</v>
      </c>
      <c r="L2649" s="5">
        <v>1.4161220043572984E-2</v>
      </c>
    </row>
    <row r="2650" spans="7:12">
      <c r="G2650" t="s">
        <v>3262</v>
      </c>
      <c r="H2650" t="s">
        <v>103</v>
      </c>
      <c r="I2650" t="s">
        <v>2203</v>
      </c>
      <c r="J2650" s="4">
        <v>1307</v>
      </c>
      <c r="K2650" s="5">
        <v>0.18515684774292274</v>
      </c>
      <c r="L2650" s="5">
        <v>2.0657995409334353E-2</v>
      </c>
    </row>
    <row r="2651" spans="7:12">
      <c r="G2651" t="s">
        <v>3263</v>
      </c>
      <c r="H2651" t="s">
        <v>326</v>
      </c>
      <c r="I2651" t="s">
        <v>489</v>
      </c>
      <c r="J2651" s="4">
        <v>9173</v>
      </c>
      <c r="K2651" s="5">
        <v>0.18510847051128312</v>
      </c>
      <c r="L2651" s="5">
        <v>3.1614520876485338E-3</v>
      </c>
    </row>
    <row r="2652" spans="7:12">
      <c r="G2652" t="s">
        <v>3264</v>
      </c>
      <c r="H2652" t="s">
        <v>336</v>
      </c>
      <c r="I2652" t="s">
        <v>137</v>
      </c>
      <c r="J2652" s="4">
        <v>2804</v>
      </c>
      <c r="K2652" s="5">
        <v>0.18509272467902996</v>
      </c>
      <c r="L2652" s="5">
        <v>2.0328102710413694E-2</v>
      </c>
    </row>
    <row r="2653" spans="7:12">
      <c r="G2653" t="s">
        <v>3265</v>
      </c>
      <c r="H2653" t="s">
        <v>486</v>
      </c>
      <c r="I2653" t="s">
        <v>455</v>
      </c>
      <c r="J2653" s="4">
        <v>1594</v>
      </c>
      <c r="K2653" s="5">
        <v>0.185069008782936</v>
      </c>
      <c r="L2653" s="5">
        <v>2.509410288582183E-3</v>
      </c>
    </row>
    <row r="2654" spans="7:12">
      <c r="G2654" t="s">
        <v>3266</v>
      </c>
      <c r="H2654" t="s">
        <v>218</v>
      </c>
      <c r="I2654" t="s">
        <v>129</v>
      </c>
      <c r="J2654" s="4">
        <v>4415</v>
      </c>
      <c r="K2654" s="5">
        <v>0.18505096262740656</v>
      </c>
      <c r="L2654" s="5">
        <v>1.087202718006795E-2</v>
      </c>
    </row>
    <row r="2655" spans="7:12">
      <c r="G2655" t="s">
        <v>3267</v>
      </c>
      <c r="H2655" t="s">
        <v>131</v>
      </c>
      <c r="I2655" t="s">
        <v>432</v>
      </c>
      <c r="J2655" s="4">
        <v>1097</v>
      </c>
      <c r="K2655" s="5">
        <v>0.18505013673655424</v>
      </c>
      <c r="L2655" s="5">
        <v>2.7347310847766638E-3</v>
      </c>
    </row>
    <row r="2656" spans="7:12">
      <c r="G2656" t="s">
        <v>3268</v>
      </c>
      <c r="H2656" t="s">
        <v>233</v>
      </c>
      <c r="I2656" t="s">
        <v>414</v>
      </c>
      <c r="J2656" s="4">
        <v>2449</v>
      </c>
      <c r="K2656" s="5">
        <v>0.18497345855451205</v>
      </c>
      <c r="L2656" s="5">
        <v>8.1665986116782364E-3</v>
      </c>
    </row>
    <row r="2657" spans="7:12">
      <c r="G2657" t="s">
        <v>3269</v>
      </c>
      <c r="H2657" t="s">
        <v>103</v>
      </c>
      <c r="I2657" t="s">
        <v>83</v>
      </c>
      <c r="J2657" s="4">
        <v>3840</v>
      </c>
      <c r="K2657" s="5">
        <v>0.18489583333333334</v>
      </c>
      <c r="L2657" s="5">
        <v>1.328125E-2</v>
      </c>
    </row>
    <row r="2658" spans="7:12">
      <c r="G2658" t="s">
        <v>3270</v>
      </c>
      <c r="H2658" t="s">
        <v>197</v>
      </c>
      <c r="I2658" t="s">
        <v>218</v>
      </c>
      <c r="J2658" s="4">
        <v>1098</v>
      </c>
      <c r="K2658" s="5">
        <v>0.18488160291438979</v>
      </c>
      <c r="L2658" s="5">
        <v>1.8214936247723135E-2</v>
      </c>
    </row>
    <row r="2659" spans="7:12">
      <c r="G2659" t="s">
        <v>3271</v>
      </c>
      <c r="H2659" t="s">
        <v>342</v>
      </c>
      <c r="I2659" t="s">
        <v>259</v>
      </c>
      <c r="J2659" s="4">
        <v>4722</v>
      </c>
      <c r="K2659" s="5">
        <v>0.18487928843710291</v>
      </c>
      <c r="L2659" s="5">
        <v>3.0072003388394747E-2</v>
      </c>
    </row>
    <row r="2660" spans="7:12">
      <c r="G2660" t="s">
        <v>3272</v>
      </c>
      <c r="H2660" t="s">
        <v>377</v>
      </c>
      <c r="I2660" t="s">
        <v>175</v>
      </c>
      <c r="J2660" s="4">
        <v>2256</v>
      </c>
      <c r="K2660" s="5">
        <v>0.1848404255319149</v>
      </c>
      <c r="L2660" s="5">
        <v>1.1968085106382979E-2</v>
      </c>
    </row>
    <row r="2661" spans="7:12">
      <c r="G2661" t="s">
        <v>3273</v>
      </c>
      <c r="H2661" t="s">
        <v>134</v>
      </c>
      <c r="I2661" t="s">
        <v>370</v>
      </c>
      <c r="J2661" s="4">
        <v>16108</v>
      </c>
      <c r="K2661" s="5">
        <v>0.18481499875838092</v>
      </c>
      <c r="L2661" s="5">
        <v>1.0677924012912838E-2</v>
      </c>
    </row>
    <row r="2662" spans="7:12">
      <c r="G2662" t="s">
        <v>3274</v>
      </c>
      <c r="H2662" t="s">
        <v>370</v>
      </c>
      <c r="I2662" t="s">
        <v>416</v>
      </c>
      <c r="J2662" s="4">
        <v>6282</v>
      </c>
      <c r="K2662" s="5">
        <v>0.18481375358166188</v>
      </c>
      <c r="L2662" s="5">
        <v>5.0939191340337473E-3</v>
      </c>
    </row>
    <row r="2663" spans="7:12">
      <c r="G2663" t="s">
        <v>3275</v>
      </c>
      <c r="H2663" t="s">
        <v>89</v>
      </c>
      <c r="I2663" t="s">
        <v>3276</v>
      </c>
      <c r="J2663" s="4">
        <v>3301</v>
      </c>
      <c r="K2663" s="5">
        <v>0.18479248712511359</v>
      </c>
      <c r="L2663" s="5">
        <v>2.4538018782187216E-2</v>
      </c>
    </row>
    <row r="2664" spans="7:12">
      <c r="G2664" t="s">
        <v>3277</v>
      </c>
      <c r="H2664" t="s">
        <v>218</v>
      </c>
      <c r="I2664" t="s">
        <v>449</v>
      </c>
      <c r="J2664" s="4">
        <v>4194</v>
      </c>
      <c r="K2664" s="5">
        <v>0.18478779208392943</v>
      </c>
      <c r="L2664" s="5">
        <v>6.914639961850262E-3</v>
      </c>
    </row>
    <row r="2665" spans="7:12">
      <c r="G2665" t="s">
        <v>3278</v>
      </c>
      <c r="H2665" t="s">
        <v>377</v>
      </c>
      <c r="I2665" t="s">
        <v>366</v>
      </c>
      <c r="J2665" s="4">
        <v>4032</v>
      </c>
      <c r="K2665" s="5">
        <v>0.18477182539682541</v>
      </c>
      <c r="L2665" s="5">
        <v>6.4484126984126981E-3</v>
      </c>
    </row>
    <row r="2666" spans="7:12">
      <c r="G2666" t="s">
        <v>3279</v>
      </c>
      <c r="H2666" t="s">
        <v>134</v>
      </c>
      <c r="I2666" t="s">
        <v>358</v>
      </c>
      <c r="J2666" s="4">
        <v>3112</v>
      </c>
      <c r="K2666" s="5">
        <v>0.18476863753213368</v>
      </c>
      <c r="L2666" s="5">
        <v>8.9974293059125968E-3</v>
      </c>
    </row>
    <row r="2667" spans="7:12">
      <c r="G2667" t="s">
        <v>3280</v>
      </c>
      <c r="H2667" t="s">
        <v>221</v>
      </c>
      <c r="I2667" t="s">
        <v>233</v>
      </c>
      <c r="J2667" s="4">
        <v>4033</v>
      </c>
      <c r="K2667" s="5">
        <v>0.18472601041408382</v>
      </c>
      <c r="L2667" s="5">
        <v>9.9181750557897352E-3</v>
      </c>
    </row>
    <row r="2668" spans="7:12">
      <c r="G2668" t="s">
        <v>3281</v>
      </c>
      <c r="H2668" t="s">
        <v>331</v>
      </c>
      <c r="I2668" t="s">
        <v>370</v>
      </c>
      <c r="J2668" s="4">
        <v>1170</v>
      </c>
      <c r="K2668" s="5">
        <v>0.18461538461538463</v>
      </c>
      <c r="L2668" s="5">
        <v>1.0256410256410256E-2</v>
      </c>
    </row>
    <row r="2669" spans="7:12">
      <c r="G2669" t="s">
        <v>3282</v>
      </c>
      <c r="H2669" t="s">
        <v>322</v>
      </c>
      <c r="I2669" t="s">
        <v>416</v>
      </c>
      <c r="J2669" s="4">
        <v>2775</v>
      </c>
      <c r="K2669" s="5">
        <v>0.18450450450450451</v>
      </c>
      <c r="L2669" s="5">
        <v>7.5675675675675675E-3</v>
      </c>
    </row>
    <row r="2670" spans="7:12">
      <c r="G2670" t="s">
        <v>3283</v>
      </c>
      <c r="H2670" t="s">
        <v>322</v>
      </c>
      <c r="I2670" t="s">
        <v>370</v>
      </c>
      <c r="J2670" s="4">
        <v>8224</v>
      </c>
      <c r="K2670" s="5">
        <v>0.18446011673151752</v>
      </c>
      <c r="L2670" s="5">
        <v>8.7548638132295721E-3</v>
      </c>
    </row>
    <row r="2671" spans="7:12">
      <c r="G2671" t="s">
        <v>3284</v>
      </c>
      <c r="H2671" t="s">
        <v>107</v>
      </c>
      <c r="I2671" t="s">
        <v>322</v>
      </c>
      <c r="J2671" s="4">
        <v>3410</v>
      </c>
      <c r="K2671" s="5">
        <v>0.18445747800586509</v>
      </c>
      <c r="L2671" s="5">
        <v>9.0909090909090905E-3</v>
      </c>
    </row>
    <row r="2672" spans="7:12">
      <c r="G2672" t="s">
        <v>3285</v>
      </c>
      <c r="H2672" t="s">
        <v>202</v>
      </c>
      <c r="I2672" t="s">
        <v>221</v>
      </c>
      <c r="J2672" s="4">
        <v>3649</v>
      </c>
      <c r="K2672" s="5">
        <v>0.18443409153192655</v>
      </c>
      <c r="L2672" s="5">
        <v>1.534667032063579E-2</v>
      </c>
    </row>
    <row r="2673" spans="7:12">
      <c r="G2673" t="s">
        <v>3286</v>
      </c>
      <c r="H2673" t="s">
        <v>178</v>
      </c>
      <c r="I2673" t="s">
        <v>218</v>
      </c>
      <c r="J2673" s="4">
        <v>2988</v>
      </c>
      <c r="K2673" s="5">
        <v>0.18440428380187415</v>
      </c>
      <c r="L2673" s="5">
        <v>9.3708165997322627E-3</v>
      </c>
    </row>
    <row r="2674" spans="7:12">
      <c r="G2674" t="s">
        <v>3287</v>
      </c>
      <c r="H2674" t="s">
        <v>459</v>
      </c>
      <c r="I2674" t="s">
        <v>204</v>
      </c>
      <c r="J2674" s="4">
        <v>2511</v>
      </c>
      <c r="K2674" s="5">
        <v>0.18438868976503386</v>
      </c>
      <c r="L2674" s="5">
        <v>2.7877339705296694E-2</v>
      </c>
    </row>
    <row r="2675" spans="7:12">
      <c r="G2675" t="s">
        <v>3288</v>
      </c>
      <c r="H2675" t="s">
        <v>408</v>
      </c>
      <c r="I2675" t="s">
        <v>370</v>
      </c>
      <c r="J2675" s="4">
        <v>1996</v>
      </c>
      <c r="K2675" s="5">
        <v>0.18436873747494989</v>
      </c>
      <c r="L2675" s="5">
        <v>5.5110220440881767E-3</v>
      </c>
    </row>
    <row r="2676" spans="7:12">
      <c r="G2676" t="s">
        <v>3289</v>
      </c>
      <c r="H2676" t="s">
        <v>89</v>
      </c>
      <c r="I2676" t="s">
        <v>3290</v>
      </c>
      <c r="J2676" s="4">
        <v>4541</v>
      </c>
      <c r="K2676" s="5">
        <v>0.18432063422153711</v>
      </c>
      <c r="L2676" s="5">
        <v>2.3563091829993395E-2</v>
      </c>
    </row>
    <row r="2677" spans="7:12">
      <c r="G2677" t="s">
        <v>3291</v>
      </c>
      <c r="H2677" t="s">
        <v>233</v>
      </c>
      <c r="I2677" t="s">
        <v>416</v>
      </c>
      <c r="J2677" s="4">
        <v>2436</v>
      </c>
      <c r="K2677" s="5">
        <v>0.18431855500821018</v>
      </c>
      <c r="L2677" s="5">
        <v>6.5681444991789817E-3</v>
      </c>
    </row>
    <row r="2678" spans="7:12">
      <c r="G2678" t="s">
        <v>3292</v>
      </c>
      <c r="H2678" t="s">
        <v>204</v>
      </c>
      <c r="I2678" t="s">
        <v>461</v>
      </c>
      <c r="J2678" s="4">
        <v>1096</v>
      </c>
      <c r="K2678" s="5">
        <v>0.18430656934306569</v>
      </c>
      <c r="L2678" s="5">
        <v>9.1240875912408752E-3</v>
      </c>
    </row>
    <row r="2679" spans="7:12">
      <c r="G2679" t="s">
        <v>3293</v>
      </c>
      <c r="H2679" t="s">
        <v>398</v>
      </c>
      <c r="I2679" t="s">
        <v>362</v>
      </c>
      <c r="J2679" s="4">
        <v>1427</v>
      </c>
      <c r="K2679" s="5">
        <v>0.18430273300630695</v>
      </c>
      <c r="L2679" s="5">
        <v>6.3069376313945342E-3</v>
      </c>
    </row>
    <row r="2680" spans="7:12">
      <c r="G2680" t="s">
        <v>3294</v>
      </c>
      <c r="H2680" t="s">
        <v>218</v>
      </c>
      <c r="I2680" t="s">
        <v>207</v>
      </c>
      <c r="J2680" s="4">
        <v>1107</v>
      </c>
      <c r="K2680" s="5">
        <v>0.18428184281842819</v>
      </c>
      <c r="L2680" s="5">
        <v>9.9367660343270096E-3</v>
      </c>
    </row>
    <row r="2681" spans="7:12">
      <c r="G2681" t="s">
        <v>3295</v>
      </c>
      <c r="H2681" t="s">
        <v>105</v>
      </c>
      <c r="I2681" t="s">
        <v>218</v>
      </c>
      <c r="J2681" s="4">
        <v>6165</v>
      </c>
      <c r="K2681" s="5">
        <v>0.18426601784266017</v>
      </c>
      <c r="L2681" s="5">
        <v>7.7858880778588812E-3</v>
      </c>
    </row>
    <row r="2682" spans="7:12">
      <c r="G2682" t="s">
        <v>3296</v>
      </c>
      <c r="H2682" t="s">
        <v>162</v>
      </c>
      <c r="I2682" t="s">
        <v>100</v>
      </c>
      <c r="J2682" s="4">
        <v>14100</v>
      </c>
      <c r="K2682" s="5">
        <v>0.18418439716312057</v>
      </c>
      <c r="L2682" s="5">
        <v>1.6453900709219857E-2</v>
      </c>
    </row>
    <row r="2683" spans="7:12">
      <c r="G2683" t="s">
        <v>3297</v>
      </c>
      <c r="H2683" t="s">
        <v>3059</v>
      </c>
      <c r="I2683" t="s">
        <v>322</v>
      </c>
      <c r="J2683" s="4">
        <v>1086</v>
      </c>
      <c r="K2683" s="5">
        <v>0.18416206261510129</v>
      </c>
      <c r="L2683" s="5">
        <v>1.5653775322283611E-2</v>
      </c>
    </row>
    <row r="2684" spans="7:12">
      <c r="G2684" t="s">
        <v>3298</v>
      </c>
      <c r="H2684" t="s">
        <v>194</v>
      </c>
      <c r="I2684" t="s">
        <v>100</v>
      </c>
      <c r="J2684" s="4">
        <v>4003</v>
      </c>
      <c r="K2684" s="5">
        <v>0.1841119160629528</v>
      </c>
      <c r="L2684" s="5">
        <v>6.9947539345490885E-3</v>
      </c>
    </row>
    <row r="2685" spans="7:12">
      <c r="G2685" t="s">
        <v>3299</v>
      </c>
      <c r="H2685" t="s">
        <v>204</v>
      </c>
      <c r="I2685" t="s">
        <v>218</v>
      </c>
      <c r="J2685" s="4">
        <v>20695</v>
      </c>
      <c r="K2685" s="5">
        <v>0.18410244020294758</v>
      </c>
      <c r="L2685" s="5">
        <v>1.8168639768059918E-2</v>
      </c>
    </row>
    <row r="2686" spans="7:12">
      <c r="G2686" t="s">
        <v>3300</v>
      </c>
      <c r="H2686" t="s">
        <v>182</v>
      </c>
      <c r="I2686" t="s">
        <v>140</v>
      </c>
      <c r="J2686" s="4">
        <v>4862</v>
      </c>
      <c r="K2686" s="5">
        <v>0.18408062525709584</v>
      </c>
      <c r="L2686" s="5">
        <v>1.8922254216371864E-2</v>
      </c>
    </row>
    <row r="2687" spans="7:12">
      <c r="G2687" t="s">
        <v>3301</v>
      </c>
      <c r="H2687" t="s">
        <v>259</v>
      </c>
      <c r="I2687" t="s">
        <v>346</v>
      </c>
      <c r="J2687" s="4">
        <v>2648</v>
      </c>
      <c r="K2687" s="5">
        <v>0.18391238670694865</v>
      </c>
      <c r="L2687" s="5">
        <v>3.4743202416918431E-2</v>
      </c>
    </row>
    <row r="2688" spans="7:12">
      <c r="G2688" t="s">
        <v>3302</v>
      </c>
      <c r="H2688" t="s">
        <v>301</v>
      </c>
      <c r="I2688" t="s">
        <v>89</v>
      </c>
      <c r="J2688" s="4">
        <v>1039</v>
      </c>
      <c r="K2688" s="5">
        <v>0.18383060635226178</v>
      </c>
      <c r="L2688" s="5">
        <v>2.0211742059672761E-2</v>
      </c>
    </row>
    <row r="2689" spans="7:12">
      <c r="G2689" t="s">
        <v>3303</v>
      </c>
      <c r="H2689" t="s">
        <v>226</v>
      </c>
      <c r="I2689" t="s">
        <v>438</v>
      </c>
      <c r="J2689" s="4">
        <v>1872</v>
      </c>
      <c r="K2689" s="5">
        <v>0.18376068376068377</v>
      </c>
      <c r="L2689" s="5">
        <v>1.5491452991452992E-2</v>
      </c>
    </row>
    <row r="2690" spans="7:12">
      <c r="G2690" t="s">
        <v>3304</v>
      </c>
      <c r="H2690" t="s">
        <v>453</v>
      </c>
      <c r="I2690" t="s">
        <v>103</v>
      </c>
      <c r="J2690" s="4">
        <v>1132</v>
      </c>
      <c r="K2690" s="5">
        <v>0.18374558303886926</v>
      </c>
      <c r="L2690" s="5">
        <v>9.7173144876325085E-3</v>
      </c>
    </row>
    <row r="2691" spans="7:12">
      <c r="G2691" t="s">
        <v>3305</v>
      </c>
      <c r="H2691" t="s">
        <v>388</v>
      </c>
      <c r="I2691" t="s">
        <v>204</v>
      </c>
      <c r="J2691" s="4">
        <v>3010</v>
      </c>
      <c r="K2691" s="5">
        <v>0.18372093023255814</v>
      </c>
      <c r="L2691" s="5">
        <v>2.7242524916943522E-2</v>
      </c>
    </row>
    <row r="2692" spans="7:12">
      <c r="G2692" t="s">
        <v>3306</v>
      </c>
      <c r="H2692" t="s">
        <v>422</v>
      </c>
      <c r="I2692" t="s">
        <v>103</v>
      </c>
      <c r="J2692" s="4">
        <v>5133</v>
      </c>
      <c r="K2692" s="5">
        <v>0.18371322813169685</v>
      </c>
      <c r="L2692" s="5">
        <v>4.8704461328657701E-3</v>
      </c>
    </row>
    <row r="2693" spans="7:12">
      <c r="G2693" t="s">
        <v>3307</v>
      </c>
      <c r="H2693" t="s">
        <v>326</v>
      </c>
      <c r="I2693" t="s">
        <v>118</v>
      </c>
      <c r="J2693" s="4">
        <v>17355</v>
      </c>
      <c r="K2693" s="5">
        <v>0.18369346009795448</v>
      </c>
      <c r="L2693" s="5">
        <v>1.0198789974070872E-2</v>
      </c>
    </row>
    <row r="2694" spans="7:12">
      <c r="G2694" t="s">
        <v>3308</v>
      </c>
      <c r="H2694" t="s">
        <v>329</v>
      </c>
      <c r="I2694" t="s">
        <v>115</v>
      </c>
      <c r="J2694" s="4">
        <v>3860</v>
      </c>
      <c r="K2694" s="5">
        <v>0.18367875647668394</v>
      </c>
      <c r="L2694" s="5">
        <v>1.0621761658031088E-2</v>
      </c>
    </row>
    <row r="2695" spans="7:12">
      <c r="G2695" t="s">
        <v>3309</v>
      </c>
      <c r="H2695" t="s">
        <v>346</v>
      </c>
      <c r="I2695" t="s">
        <v>100</v>
      </c>
      <c r="J2695" s="4">
        <v>5942</v>
      </c>
      <c r="K2695" s="5">
        <v>0.18360821272298888</v>
      </c>
      <c r="L2695" s="5">
        <v>1.5651295859979805E-2</v>
      </c>
    </row>
    <row r="2696" spans="7:12">
      <c r="G2696" t="s">
        <v>3310</v>
      </c>
      <c r="H2696" t="s">
        <v>160</v>
      </c>
      <c r="I2696" t="s">
        <v>416</v>
      </c>
      <c r="J2696" s="4">
        <v>8433</v>
      </c>
      <c r="K2696" s="5">
        <v>0.18356456776947705</v>
      </c>
      <c r="L2696" s="5">
        <v>1.2688248547373413E-2</v>
      </c>
    </row>
    <row r="2697" spans="7:12">
      <c r="G2697" t="s">
        <v>3311</v>
      </c>
      <c r="H2697" t="s">
        <v>408</v>
      </c>
      <c r="I2697" t="s">
        <v>226</v>
      </c>
      <c r="J2697" s="4">
        <v>1313</v>
      </c>
      <c r="K2697" s="5">
        <v>0.18354912414318356</v>
      </c>
      <c r="L2697" s="5">
        <v>1.4470677837014471E-2</v>
      </c>
    </row>
    <row r="2698" spans="7:12">
      <c r="G2698" t="s">
        <v>3312</v>
      </c>
      <c r="H2698" t="s">
        <v>215</v>
      </c>
      <c r="I2698" t="s">
        <v>374</v>
      </c>
      <c r="J2698" s="4">
        <v>1057</v>
      </c>
      <c r="K2698" s="5">
        <v>0.18353831598864712</v>
      </c>
      <c r="L2698" s="5">
        <v>9.4607379375591296E-3</v>
      </c>
    </row>
    <row r="2699" spans="7:12">
      <c r="G2699" t="s">
        <v>3313</v>
      </c>
      <c r="H2699" t="s">
        <v>118</v>
      </c>
      <c r="I2699" t="s">
        <v>256</v>
      </c>
      <c r="J2699" s="4">
        <v>1199</v>
      </c>
      <c r="K2699" s="5">
        <v>0.1834862385321101</v>
      </c>
      <c r="L2699" s="5">
        <v>4.1701417848206837E-3</v>
      </c>
    </row>
    <row r="2700" spans="7:12">
      <c r="G2700" t="s">
        <v>3314</v>
      </c>
      <c r="H2700" t="s">
        <v>364</v>
      </c>
      <c r="I2700" t="s">
        <v>89</v>
      </c>
      <c r="J2700" s="4">
        <v>2867</v>
      </c>
      <c r="K2700" s="5">
        <v>0.18346703871642833</v>
      </c>
      <c r="L2700" s="5">
        <v>1.1510289501220789E-2</v>
      </c>
    </row>
    <row r="2701" spans="7:12">
      <c r="G2701" t="s">
        <v>3315</v>
      </c>
      <c r="H2701" t="s">
        <v>418</v>
      </c>
      <c r="I2701" t="s">
        <v>215</v>
      </c>
      <c r="J2701" s="4">
        <v>4645</v>
      </c>
      <c r="K2701" s="5">
        <v>0.18342303552206674</v>
      </c>
      <c r="L2701" s="5">
        <v>1.7007534983853607E-2</v>
      </c>
    </row>
    <row r="2702" spans="7:12">
      <c r="G2702" t="s">
        <v>3316</v>
      </c>
      <c r="H2702" t="s">
        <v>105</v>
      </c>
      <c r="I2702" t="s">
        <v>134</v>
      </c>
      <c r="J2702" s="4">
        <v>2759</v>
      </c>
      <c r="K2702" s="5">
        <v>0.18339978252990213</v>
      </c>
      <c r="L2702" s="5">
        <v>1.3048205871692642E-2</v>
      </c>
    </row>
    <row r="2703" spans="7:12">
      <c r="G2703" t="s">
        <v>3317</v>
      </c>
      <c r="H2703" t="s">
        <v>461</v>
      </c>
      <c r="I2703" t="s">
        <v>134</v>
      </c>
      <c r="J2703" s="4">
        <v>5982</v>
      </c>
      <c r="K2703" s="5">
        <v>0.18338348378468738</v>
      </c>
      <c r="L2703" s="5">
        <v>1.0364426613172852E-2</v>
      </c>
    </row>
    <row r="2704" spans="7:12">
      <c r="G2704" t="s">
        <v>3318</v>
      </c>
      <c r="H2704" t="s">
        <v>336</v>
      </c>
      <c r="I2704" t="s">
        <v>118</v>
      </c>
      <c r="J2704" s="4">
        <v>3136</v>
      </c>
      <c r="K2704" s="5">
        <v>0.18335459183673469</v>
      </c>
      <c r="L2704" s="5">
        <v>1.3711734693877551E-2</v>
      </c>
    </row>
    <row r="2705" spans="7:12">
      <c r="G2705" t="s">
        <v>3319</v>
      </c>
      <c r="H2705" t="s">
        <v>3320</v>
      </c>
      <c r="I2705" t="s">
        <v>89</v>
      </c>
      <c r="J2705" s="4">
        <v>3420</v>
      </c>
      <c r="K2705" s="5">
        <v>0.18333333333333332</v>
      </c>
      <c r="L2705" s="5">
        <v>2.8362573099415204E-2</v>
      </c>
    </row>
    <row r="2706" spans="7:12">
      <c r="G2706" t="s">
        <v>3321</v>
      </c>
      <c r="H2706" t="s">
        <v>236</v>
      </c>
      <c r="I2706" t="s">
        <v>422</v>
      </c>
      <c r="J2706" s="4">
        <v>1162</v>
      </c>
      <c r="K2706" s="5">
        <v>0.18330464716006883</v>
      </c>
      <c r="L2706" s="5">
        <v>2.5817555938037868E-3</v>
      </c>
    </row>
    <row r="2707" spans="7:12">
      <c r="G2707" t="s">
        <v>3322</v>
      </c>
      <c r="H2707" t="s">
        <v>259</v>
      </c>
      <c r="I2707" t="s">
        <v>100</v>
      </c>
      <c r="J2707" s="4">
        <v>16269</v>
      </c>
      <c r="K2707" s="5">
        <v>0.1832319134550372</v>
      </c>
      <c r="L2707" s="5">
        <v>2.4832503534329094E-2</v>
      </c>
    </row>
    <row r="2708" spans="7:12">
      <c r="G2708" t="s">
        <v>3323</v>
      </c>
      <c r="H2708" t="s">
        <v>349</v>
      </c>
      <c r="I2708" t="s">
        <v>131</v>
      </c>
      <c r="J2708" s="4">
        <v>1190</v>
      </c>
      <c r="K2708" s="5">
        <v>0.18319327731092436</v>
      </c>
      <c r="L2708" s="5">
        <v>3.3613445378151263E-3</v>
      </c>
    </row>
    <row r="2709" spans="7:12">
      <c r="G2709" t="s">
        <v>3324</v>
      </c>
      <c r="H2709" t="s">
        <v>322</v>
      </c>
      <c r="I2709" t="s">
        <v>3325</v>
      </c>
      <c r="J2709" s="4">
        <v>2189</v>
      </c>
      <c r="K2709" s="5">
        <v>0.18318867062585656</v>
      </c>
      <c r="L2709" s="5">
        <v>2.4211968935587025E-2</v>
      </c>
    </row>
    <row r="2710" spans="7:12">
      <c r="G2710" t="s">
        <v>3326</v>
      </c>
      <c r="H2710" t="s">
        <v>218</v>
      </c>
      <c r="I2710" t="s">
        <v>238</v>
      </c>
      <c r="J2710" s="4">
        <v>3603</v>
      </c>
      <c r="K2710" s="5">
        <v>0.18318068276436303</v>
      </c>
      <c r="L2710" s="5">
        <v>1.2767138495698029E-2</v>
      </c>
    </row>
    <row r="2711" spans="7:12">
      <c r="G2711" t="s">
        <v>3327</v>
      </c>
      <c r="H2711" t="s">
        <v>204</v>
      </c>
      <c r="I2711" t="s">
        <v>372</v>
      </c>
      <c r="J2711" s="4">
        <v>3593</v>
      </c>
      <c r="K2711" s="5">
        <v>0.18313387141664347</v>
      </c>
      <c r="L2711" s="5">
        <v>2.1430559421096576E-2</v>
      </c>
    </row>
    <row r="2712" spans="7:12">
      <c r="G2712" t="s">
        <v>3328</v>
      </c>
      <c r="H2712" t="s">
        <v>370</v>
      </c>
      <c r="I2712" t="s">
        <v>326</v>
      </c>
      <c r="J2712" s="4">
        <v>21350</v>
      </c>
      <c r="K2712" s="5">
        <v>0.18309133489461357</v>
      </c>
      <c r="L2712" s="5">
        <v>4.9648711943793911E-3</v>
      </c>
    </row>
    <row r="2713" spans="7:12">
      <c r="G2713" t="s">
        <v>3329</v>
      </c>
      <c r="H2713" t="s">
        <v>322</v>
      </c>
      <c r="I2713" t="s">
        <v>282</v>
      </c>
      <c r="J2713" s="4">
        <v>1617</v>
      </c>
      <c r="K2713" s="5">
        <v>0.18305504019789734</v>
      </c>
      <c r="L2713" s="5">
        <v>1.2368583797155226E-2</v>
      </c>
    </row>
    <row r="2714" spans="7:12">
      <c r="G2714" t="s">
        <v>3330</v>
      </c>
      <c r="H2714" t="s">
        <v>377</v>
      </c>
      <c r="I2714" t="s">
        <v>408</v>
      </c>
      <c r="J2714" s="4">
        <v>3835</v>
      </c>
      <c r="K2714" s="5">
        <v>0.18305084745762712</v>
      </c>
      <c r="L2714" s="5">
        <v>7.5619295958279011E-3</v>
      </c>
    </row>
    <row r="2715" spans="7:12">
      <c r="G2715" t="s">
        <v>3331</v>
      </c>
      <c r="H2715" t="s">
        <v>344</v>
      </c>
      <c r="I2715" t="s">
        <v>85</v>
      </c>
      <c r="J2715" s="4">
        <v>3339</v>
      </c>
      <c r="K2715" s="5">
        <v>0.18298891883797544</v>
      </c>
      <c r="L2715" s="5">
        <v>1.7070979335130278E-2</v>
      </c>
    </row>
    <row r="2716" spans="7:12">
      <c r="G2716" t="s">
        <v>3332</v>
      </c>
      <c r="H2716" t="s">
        <v>472</v>
      </c>
      <c r="I2716" t="s">
        <v>89</v>
      </c>
      <c r="J2716" s="4">
        <v>8382</v>
      </c>
      <c r="K2716" s="5">
        <v>0.18289191123836793</v>
      </c>
      <c r="L2716" s="5">
        <v>1.8969219756621331E-2</v>
      </c>
    </row>
    <row r="2717" spans="7:12">
      <c r="G2717" t="s">
        <v>3333</v>
      </c>
      <c r="H2717" t="s">
        <v>121</v>
      </c>
      <c r="I2717" t="s">
        <v>115</v>
      </c>
      <c r="J2717" s="4">
        <v>4009</v>
      </c>
      <c r="K2717" s="5">
        <v>0.18283861312047892</v>
      </c>
      <c r="L2717" s="5">
        <v>5.9865303068096778E-3</v>
      </c>
    </row>
    <row r="2718" spans="7:12">
      <c r="G2718" t="s">
        <v>3334</v>
      </c>
      <c r="H2718" t="s">
        <v>449</v>
      </c>
      <c r="I2718" t="s">
        <v>182</v>
      </c>
      <c r="J2718" s="4">
        <v>5043</v>
      </c>
      <c r="K2718" s="5">
        <v>0.18282768193535595</v>
      </c>
      <c r="L2718" s="5">
        <v>1.3682331945270671E-2</v>
      </c>
    </row>
    <row r="2719" spans="7:12">
      <c r="G2719" t="s">
        <v>3335</v>
      </c>
      <c r="H2719" t="s">
        <v>226</v>
      </c>
      <c r="I2719" t="s">
        <v>507</v>
      </c>
      <c r="J2719" s="4">
        <v>2073</v>
      </c>
      <c r="K2719" s="5">
        <v>0.18282682103232031</v>
      </c>
      <c r="L2719" s="5">
        <v>7.2358900144717797E-3</v>
      </c>
    </row>
    <row r="2720" spans="7:12">
      <c r="G2720" t="s">
        <v>3336</v>
      </c>
      <c r="H2720" t="s">
        <v>3059</v>
      </c>
      <c r="I2720" t="s">
        <v>377</v>
      </c>
      <c r="J2720" s="4">
        <v>1094</v>
      </c>
      <c r="K2720" s="5">
        <v>0.18281535648994515</v>
      </c>
      <c r="L2720" s="5">
        <v>1.4625228519195612E-2</v>
      </c>
    </row>
    <row r="2721" spans="7:12">
      <c r="G2721" t="s">
        <v>3337</v>
      </c>
      <c r="H2721" t="s">
        <v>377</v>
      </c>
      <c r="I2721" t="s">
        <v>3059</v>
      </c>
      <c r="J2721" s="4">
        <v>1094</v>
      </c>
      <c r="K2721" s="5">
        <v>0.18281535648994515</v>
      </c>
      <c r="L2721" s="5">
        <v>8.2266910420475316E-3</v>
      </c>
    </row>
    <row r="2722" spans="7:12">
      <c r="G2722" t="s">
        <v>3338</v>
      </c>
      <c r="H2722" t="s">
        <v>326</v>
      </c>
      <c r="I2722" t="s">
        <v>495</v>
      </c>
      <c r="J2722" s="4">
        <v>3990</v>
      </c>
      <c r="K2722" s="5">
        <v>0.18270676691729323</v>
      </c>
      <c r="L2722" s="5">
        <v>5.0125313283208019E-4</v>
      </c>
    </row>
    <row r="2723" spans="7:12">
      <c r="G2723" t="s">
        <v>3339</v>
      </c>
      <c r="H2723" t="s">
        <v>346</v>
      </c>
      <c r="I2723" t="s">
        <v>370</v>
      </c>
      <c r="J2723" s="4">
        <v>7445</v>
      </c>
      <c r="K2723" s="5">
        <v>0.18267293485560779</v>
      </c>
      <c r="L2723" s="5">
        <v>1.0208193418401611E-2</v>
      </c>
    </row>
    <row r="2724" spans="7:12">
      <c r="G2724" t="s">
        <v>3340</v>
      </c>
      <c r="H2724" t="s">
        <v>218</v>
      </c>
      <c r="I2724" t="s">
        <v>3341</v>
      </c>
      <c r="J2724" s="4">
        <v>2469</v>
      </c>
      <c r="K2724" s="5">
        <v>0.18266504657756177</v>
      </c>
      <c r="L2724" s="5">
        <v>1.1340623734305387E-2</v>
      </c>
    </row>
    <row r="2725" spans="7:12">
      <c r="G2725" t="s">
        <v>3342</v>
      </c>
      <c r="H2725" t="s">
        <v>236</v>
      </c>
      <c r="I2725" t="s">
        <v>115</v>
      </c>
      <c r="J2725" s="4">
        <v>3871</v>
      </c>
      <c r="K2725" s="5">
        <v>0.18264014466546113</v>
      </c>
      <c r="L2725" s="5">
        <v>1.0333247222939809E-2</v>
      </c>
    </row>
    <row r="2726" spans="7:12">
      <c r="G2726" t="s">
        <v>3343</v>
      </c>
      <c r="H2726" t="s">
        <v>1433</v>
      </c>
      <c r="I2726" t="s">
        <v>118</v>
      </c>
      <c r="J2726" s="4">
        <v>2267</v>
      </c>
      <c r="K2726" s="5">
        <v>0.18262020291133657</v>
      </c>
      <c r="L2726" s="5">
        <v>2.337891486546096E-2</v>
      </c>
    </row>
    <row r="2727" spans="7:12">
      <c r="G2727" t="s">
        <v>3344</v>
      </c>
      <c r="H2727" t="s">
        <v>388</v>
      </c>
      <c r="I2727" t="s">
        <v>100</v>
      </c>
      <c r="J2727" s="4">
        <v>6276</v>
      </c>
      <c r="K2727" s="5">
        <v>0.18260038240917781</v>
      </c>
      <c r="L2727" s="5">
        <v>1.4181007010834927E-2</v>
      </c>
    </row>
    <row r="2728" spans="7:12">
      <c r="G2728" t="s">
        <v>3345</v>
      </c>
      <c r="H2728" t="s">
        <v>408</v>
      </c>
      <c r="I2728" t="s">
        <v>131</v>
      </c>
      <c r="J2728" s="4">
        <v>4361</v>
      </c>
      <c r="K2728" s="5">
        <v>0.18252694336161432</v>
      </c>
      <c r="L2728" s="5">
        <v>7.1084613620729193E-3</v>
      </c>
    </row>
    <row r="2729" spans="7:12">
      <c r="G2729" t="s">
        <v>3346</v>
      </c>
      <c r="H2729" t="s">
        <v>155</v>
      </c>
      <c r="I2729" t="s">
        <v>326</v>
      </c>
      <c r="J2729" s="4">
        <v>1628</v>
      </c>
      <c r="K2729" s="5">
        <v>0.18243243243243243</v>
      </c>
      <c r="L2729" s="5">
        <v>2.4570024570024569E-3</v>
      </c>
    </row>
    <row r="2730" spans="7:12">
      <c r="G2730" t="s">
        <v>3347</v>
      </c>
      <c r="H2730" t="s">
        <v>215</v>
      </c>
      <c r="I2730" t="s">
        <v>342</v>
      </c>
      <c r="J2730" s="4">
        <v>1047</v>
      </c>
      <c r="K2730" s="5">
        <v>0.18242597898758356</v>
      </c>
      <c r="L2730" s="5">
        <v>1.0506208213944603E-2</v>
      </c>
    </row>
    <row r="2731" spans="7:12">
      <c r="G2731" t="s">
        <v>3348</v>
      </c>
      <c r="H2731" t="s">
        <v>463</v>
      </c>
      <c r="I2731" t="s">
        <v>638</v>
      </c>
      <c r="J2731" s="4">
        <v>2171</v>
      </c>
      <c r="K2731" s="5">
        <v>0.18240442192538001</v>
      </c>
      <c r="L2731" s="5">
        <v>2.3491478581298939E-2</v>
      </c>
    </row>
    <row r="2732" spans="7:12">
      <c r="G2732" t="s">
        <v>3349</v>
      </c>
      <c r="H2732" t="s">
        <v>202</v>
      </c>
      <c r="I2732" t="s">
        <v>134</v>
      </c>
      <c r="J2732" s="4">
        <v>4990</v>
      </c>
      <c r="K2732" s="5">
        <v>0.18236472945891782</v>
      </c>
      <c r="L2732" s="5">
        <v>1.9038076152304611E-2</v>
      </c>
    </row>
    <row r="2733" spans="7:12">
      <c r="G2733" t="s">
        <v>3350</v>
      </c>
      <c r="H2733" t="s">
        <v>149</v>
      </c>
      <c r="I2733" t="s">
        <v>408</v>
      </c>
      <c r="J2733" s="4">
        <v>5418</v>
      </c>
      <c r="K2733" s="5">
        <v>0.18235511258767073</v>
      </c>
      <c r="L2733" s="5">
        <v>3.1007751937984496E-2</v>
      </c>
    </row>
    <row r="2734" spans="7:12">
      <c r="G2734" t="s">
        <v>3351</v>
      </c>
      <c r="H2734" t="s">
        <v>326</v>
      </c>
      <c r="I2734" t="s">
        <v>434</v>
      </c>
      <c r="J2734" s="4">
        <v>9606</v>
      </c>
      <c r="K2734" s="5">
        <v>0.18228190714136996</v>
      </c>
      <c r="L2734" s="5">
        <v>3.4353529044347281E-3</v>
      </c>
    </row>
    <row r="2735" spans="7:12">
      <c r="G2735" t="s">
        <v>3352</v>
      </c>
      <c r="H2735" t="s">
        <v>317</v>
      </c>
      <c r="I2735" t="s">
        <v>100</v>
      </c>
      <c r="J2735" s="4">
        <v>4932</v>
      </c>
      <c r="K2735" s="5">
        <v>0.18227899432278993</v>
      </c>
      <c r="L2735" s="5">
        <v>2.02757502027575E-2</v>
      </c>
    </row>
    <row r="2736" spans="7:12">
      <c r="G2736" t="s">
        <v>3353</v>
      </c>
      <c r="H2736" t="s">
        <v>221</v>
      </c>
      <c r="I2736" t="s">
        <v>370</v>
      </c>
      <c r="J2736" s="4">
        <v>5015</v>
      </c>
      <c r="K2736" s="5">
        <v>0.18225324027916251</v>
      </c>
      <c r="L2736" s="5">
        <v>1.0169491525423728E-2</v>
      </c>
    </row>
    <row r="2737" spans="7:12">
      <c r="G2737" t="s">
        <v>3354</v>
      </c>
      <c r="H2737" t="s">
        <v>233</v>
      </c>
      <c r="I2737" t="s">
        <v>344</v>
      </c>
      <c r="J2737" s="4">
        <v>2590</v>
      </c>
      <c r="K2737" s="5">
        <v>0.18223938223938224</v>
      </c>
      <c r="L2737" s="5">
        <v>6.5637065637065639E-3</v>
      </c>
    </row>
    <row r="2738" spans="7:12">
      <c r="G2738" t="s">
        <v>3355</v>
      </c>
      <c r="H2738" t="s">
        <v>346</v>
      </c>
      <c r="I2738" t="s">
        <v>85</v>
      </c>
      <c r="J2738" s="4">
        <v>1553</v>
      </c>
      <c r="K2738" s="5">
        <v>0.18222794591113972</v>
      </c>
      <c r="L2738" s="5">
        <v>1.03026400515132E-2</v>
      </c>
    </row>
    <row r="2739" spans="7:12">
      <c r="G2739" t="s">
        <v>3356</v>
      </c>
      <c r="H2739" t="s">
        <v>189</v>
      </c>
      <c r="I2739" t="s">
        <v>136</v>
      </c>
      <c r="J2739" s="4">
        <v>4475</v>
      </c>
      <c r="K2739" s="5">
        <v>0.18212290502793296</v>
      </c>
      <c r="L2739" s="5">
        <v>1.2290502793296089E-2</v>
      </c>
    </row>
    <row r="2740" spans="7:12">
      <c r="G2740" t="s">
        <v>3357</v>
      </c>
      <c r="H2740" t="s">
        <v>89</v>
      </c>
      <c r="I2740" t="s">
        <v>3358</v>
      </c>
      <c r="J2740" s="4">
        <v>4552</v>
      </c>
      <c r="K2740" s="5">
        <v>0.18211775043936732</v>
      </c>
      <c r="L2740" s="5">
        <v>2.4824253075571179E-2</v>
      </c>
    </row>
    <row r="2741" spans="7:12">
      <c r="G2741" t="s">
        <v>3359</v>
      </c>
      <c r="H2741" t="s">
        <v>268</v>
      </c>
      <c r="I2741" t="s">
        <v>202</v>
      </c>
      <c r="J2741" s="4">
        <v>3081</v>
      </c>
      <c r="K2741" s="5">
        <v>0.18208373904576436</v>
      </c>
      <c r="L2741" s="5">
        <v>1.1359948068808828E-2</v>
      </c>
    </row>
    <row r="2742" spans="7:12">
      <c r="G2742" t="s">
        <v>3360</v>
      </c>
      <c r="H2742" t="s">
        <v>377</v>
      </c>
      <c r="I2742" t="s">
        <v>358</v>
      </c>
      <c r="J2742" s="4">
        <v>3438</v>
      </c>
      <c r="K2742" s="5">
        <v>0.18208260616637581</v>
      </c>
      <c r="L2742" s="5">
        <v>6.9808027923211171E-3</v>
      </c>
    </row>
    <row r="2743" spans="7:12">
      <c r="G2743" t="s">
        <v>3361</v>
      </c>
      <c r="H2743" t="s">
        <v>282</v>
      </c>
      <c r="I2743" t="s">
        <v>136</v>
      </c>
      <c r="J2743" s="4">
        <v>1137</v>
      </c>
      <c r="K2743" s="5">
        <v>0.18205804749340371</v>
      </c>
      <c r="L2743" s="5">
        <v>7.0360598065083556E-3</v>
      </c>
    </row>
    <row r="2744" spans="7:12">
      <c r="G2744" t="s">
        <v>3362</v>
      </c>
      <c r="H2744" t="s">
        <v>360</v>
      </c>
      <c r="I2744" t="s">
        <v>140</v>
      </c>
      <c r="J2744" s="4">
        <v>2545</v>
      </c>
      <c r="K2744" s="5">
        <v>0.18192534381139489</v>
      </c>
      <c r="L2744" s="5">
        <v>4.7544204322200391E-2</v>
      </c>
    </row>
    <row r="2745" spans="7:12">
      <c r="G2745" t="s">
        <v>3363</v>
      </c>
      <c r="H2745" t="s">
        <v>162</v>
      </c>
      <c r="I2745" t="s">
        <v>360</v>
      </c>
      <c r="J2745" s="4">
        <v>2567</v>
      </c>
      <c r="K2745" s="5">
        <v>0.18192442539929879</v>
      </c>
      <c r="L2745" s="5">
        <v>1.597195169458512E-2</v>
      </c>
    </row>
    <row r="2746" spans="7:12">
      <c r="G2746" t="s">
        <v>3364</v>
      </c>
      <c r="H2746" t="s">
        <v>346</v>
      </c>
      <c r="I2746" t="s">
        <v>189</v>
      </c>
      <c r="J2746" s="4">
        <v>3326</v>
      </c>
      <c r="K2746" s="5">
        <v>0.18190018039687311</v>
      </c>
      <c r="L2746" s="5">
        <v>8.7191822008418525E-3</v>
      </c>
    </row>
    <row r="2747" spans="7:12">
      <c r="G2747" t="s">
        <v>3365</v>
      </c>
      <c r="H2747" t="s">
        <v>377</v>
      </c>
      <c r="I2747" t="s">
        <v>386</v>
      </c>
      <c r="J2747" s="4">
        <v>1325</v>
      </c>
      <c r="K2747" s="5">
        <v>0.18188679245283018</v>
      </c>
      <c r="L2747" s="5">
        <v>9.0566037735849061E-3</v>
      </c>
    </row>
    <row r="2748" spans="7:12">
      <c r="G2748" t="s">
        <v>3366</v>
      </c>
      <c r="H2748" t="s">
        <v>377</v>
      </c>
      <c r="I2748" t="s">
        <v>326</v>
      </c>
      <c r="J2748" s="4">
        <v>9953</v>
      </c>
      <c r="K2748" s="5">
        <v>0.18185471717070231</v>
      </c>
      <c r="L2748" s="5">
        <v>7.1335275796242338E-3</v>
      </c>
    </row>
    <row r="2749" spans="7:12">
      <c r="G2749" t="s">
        <v>3367</v>
      </c>
      <c r="H2749" t="s">
        <v>493</v>
      </c>
      <c r="I2749" t="s">
        <v>100</v>
      </c>
      <c r="J2749" s="4">
        <v>3448</v>
      </c>
      <c r="K2749" s="5">
        <v>0.18184454756380511</v>
      </c>
      <c r="L2749" s="5">
        <v>1.8271461716937356E-2</v>
      </c>
    </row>
    <row r="2750" spans="7:12">
      <c r="G2750" t="s">
        <v>3368</v>
      </c>
      <c r="H2750" t="s">
        <v>326</v>
      </c>
      <c r="I2750" t="s">
        <v>362</v>
      </c>
      <c r="J2750" s="4">
        <v>6869</v>
      </c>
      <c r="K2750" s="5">
        <v>0.18183141650895326</v>
      </c>
      <c r="L2750" s="5">
        <v>3.4939583636628331E-3</v>
      </c>
    </row>
    <row r="2751" spans="7:12">
      <c r="G2751" t="s">
        <v>3369</v>
      </c>
      <c r="H2751" t="s">
        <v>218</v>
      </c>
      <c r="I2751" t="s">
        <v>273</v>
      </c>
      <c r="J2751" s="4">
        <v>1111</v>
      </c>
      <c r="K2751" s="5">
        <v>0.18181818181818182</v>
      </c>
      <c r="L2751" s="5">
        <v>1.0801080108010801E-2</v>
      </c>
    </row>
    <row r="2752" spans="7:12">
      <c r="G2752" t="s">
        <v>3370</v>
      </c>
      <c r="H2752" t="s">
        <v>131</v>
      </c>
      <c r="I2752" t="s">
        <v>501</v>
      </c>
      <c r="J2752" s="4">
        <v>2211</v>
      </c>
      <c r="K2752" s="5">
        <v>0.18181818181818182</v>
      </c>
      <c r="L2752" s="5">
        <v>4.5228403437358664E-3</v>
      </c>
    </row>
    <row r="2753" spans="7:12">
      <c r="G2753" t="s">
        <v>3371</v>
      </c>
      <c r="H2753" t="s">
        <v>449</v>
      </c>
      <c r="I2753" t="s">
        <v>326</v>
      </c>
      <c r="J2753" s="4">
        <v>11210</v>
      </c>
      <c r="K2753" s="5">
        <v>0.18180196253345227</v>
      </c>
      <c r="L2753" s="5">
        <v>6.7796610169491523E-3</v>
      </c>
    </row>
    <row r="2754" spans="7:12">
      <c r="G2754" t="s">
        <v>3372</v>
      </c>
      <c r="H2754" t="s">
        <v>254</v>
      </c>
      <c r="I2754" t="s">
        <v>422</v>
      </c>
      <c r="J2754" s="4">
        <v>1733</v>
      </c>
      <c r="K2754" s="5">
        <v>0.18176572417772649</v>
      </c>
      <c r="L2754" s="5">
        <v>6.3473744950952107E-3</v>
      </c>
    </row>
    <row r="2755" spans="7:12">
      <c r="G2755" t="s">
        <v>3373</v>
      </c>
      <c r="H2755" t="s">
        <v>370</v>
      </c>
      <c r="I2755" t="s">
        <v>408</v>
      </c>
      <c r="J2755" s="4">
        <v>1992</v>
      </c>
      <c r="K2755" s="5">
        <v>0.1817269076305221</v>
      </c>
      <c r="L2755" s="5">
        <v>4.5180722891566263E-3</v>
      </c>
    </row>
    <row r="2756" spans="7:12">
      <c r="G2756" t="s">
        <v>3374</v>
      </c>
      <c r="H2756" t="s">
        <v>406</v>
      </c>
      <c r="I2756" t="s">
        <v>131</v>
      </c>
      <c r="J2756" s="4">
        <v>3288</v>
      </c>
      <c r="K2756" s="5">
        <v>0.18156934306569342</v>
      </c>
      <c r="L2756" s="5">
        <v>6.9951338199513383E-3</v>
      </c>
    </row>
    <row r="2757" spans="7:12">
      <c r="G2757" t="s">
        <v>3375</v>
      </c>
      <c r="H2757" t="s">
        <v>218</v>
      </c>
      <c r="I2757" t="s">
        <v>236</v>
      </c>
      <c r="J2757" s="4">
        <v>10503</v>
      </c>
      <c r="K2757" s="5">
        <v>0.18156717128439492</v>
      </c>
      <c r="L2757" s="5">
        <v>8.664191183471389E-3</v>
      </c>
    </row>
    <row r="2758" spans="7:12">
      <c r="G2758" t="s">
        <v>3376</v>
      </c>
      <c r="H2758" t="s">
        <v>1824</v>
      </c>
      <c r="I2758" t="s">
        <v>118</v>
      </c>
      <c r="J2758" s="4">
        <v>1499</v>
      </c>
      <c r="K2758" s="5">
        <v>0.18145430286857905</v>
      </c>
      <c r="L2758" s="5">
        <v>2.134756504336224E-2</v>
      </c>
    </row>
    <row r="2759" spans="7:12">
      <c r="G2759" t="s">
        <v>3377</v>
      </c>
      <c r="H2759" t="s">
        <v>326</v>
      </c>
      <c r="I2759" t="s">
        <v>484</v>
      </c>
      <c r="J2759" s="4">
        <v>5193</v>
      </c>
      <c r="K2759" s="5">
        <v>0.18139803581744657</v>
      </c>
      <c r="L2759" s="5">
        <v>1.3479684190256115E-3</v>
      </c>
    </row>
    <row r="2760" spans="7:12">
      <c r="G2760" t="s">
        <v>3378</v>
      </c>
      <c r="H2760" t="s">
        <v>226</v>
      </c>
      <c r="I2760" t="s">
        <v>527</v>
      </c>
      <c r="J2760" s="4">
        <v>1776</v>
      </c>
      <c r="K2760" s="5">
        <v>0.18130630630630631</v>
      </c>
      <c r="L2760" s="5">
        <v>3.9414414414414411E-3</v>
      </c>
    </row>
    <row r="2761" spans="7:12">
      <c r="G2761" t="s">
        <v>3379</v>
      </c>
      <c r="H2761" t="s">
        <v>2348</v>
      </c>
      <c r="I2761" t="s">
        <v>118</v>
      </c>
      <c r="J2761" s="4">
        <v>1401</v>
      </c>
      <c r="K2761" s="5">
        <v>0.18129907209136331</v>
      </c>
      <c r="L2761" s="5">
        <v>2.8551034975017844E-2</v>
      </c>
    </row>
    <row r="2762" spans="7:12">
      <c r="G2762" t="s">
        <v>3380</v>
      </c>
      <c r="H2762" t="s">
        <v>418</v>
      </c>
      <c r="I2762" t="s">
        <v>362</v>
      </c>
      <c r="J2762" s="4">
        <v>1208</v>
      </c>
      <c r="K2762" s="5">
        <v>0.18129139072847683</v>
      </c>
      <c r="L2762" s="5">
        <v>4.9668874172185433E-3</v>
      </c>
    </row>
    <row r="2763" spans="7:12">
      <c r="G2763" t="s">
        <v>3381</v>
      </c>
      <c r="H2763" t="s">
        <v>140</v>
      </c>
      <c r="I2763" t="s">
        <v>329</v>
      </c>
      <c r="J2763" s="4">
        <v>3216</v>
      </c>
      <c r="K2763" s="5">
        <v>0.18128109452736318</v>
      </c>
      <c r="L2763" s="5">
        <v>3.5758706467661688E-2</v>
      </c>
    </row>
    <row r="2764" spans="7:12">
      <c r="G2764" t="s">
        <v>3382</v>
      </c>
      <c r="H2764" t="s">
        <v>372</v>
      </c>
      <c r="I2764" t="s">
        <v>268</v>
      </c>
      <c r="J2764" s="4">
        <v>1997</v>
      </c>
      <c r="K2764" s="5">
        <v>0.1812719078617927</v>
      </c>
      <c r="L2764" s="5">
        <v>1.1016524787180772E-2</v>
      </c>
    </row>
    <row r="2765" spans="7:12">
      <c r="G2765" t="s">
        <v>3383</v>
      </c>
      <c r="H2765" t="s">
        <v>226</v>
      </c>
      <c r="I2765" t="s">
        <v>434</v>
      </c>
      <c r="J2765" s="4">
        <v>1738</v>
      </c>
      <c r="K2765" s="5">
        <v>0.18124280782508631</v>
      </c>
      <c r="L2765" s="5">
        <v>6.9044879171461446E-3</v>
      </c>
    </row>
    <row r="2766" spans="7:12">
      <c r="G2766" t="s">
        <v>3384</v>
      </c>
      <c r="H2766" t="s">
        <v>322</v>
      </c>
      <c r="I2766" t="s">
        <v>243</v>
      </c>
      <c r="J2766" s="4">
        <v>3289</v>
      </c>
      <c r="K2766" s="5">
        <v>0.18121009425357251</v>
      </c>
      <c r="L2766" s="5">
        <v>8.817269686834904E-3</v>
      </c>
    </row>
    <row r="2767" spans="7:12">
      <c r="G2767" t="s">
        <v>3385</v>
      </c>
      <c r="H2767" t="s">
        <v>443</v>
      </c>
      <c r="I2767" t="s">
        <v>370</v>
      </c>
      <c r="J2767" s="4">
        <v>1016</v>
      </c>
      <c r="K2767" s="5">
        <v>0.18110236220472442</v>
      </c>
      <c r="L2767" s="5">
        <v>7.874015748031496E-3</v>
      </c>
    </row>
    <row r="2768" spans="7:12">
      <c r="G2768" t="s">
        <v>3386</v>
      </c>
      <c r="H2768" t="s">
        <v>89</v>
      </c>
      <c r="I2768" t="s">
        <v>248</v>
      </c>
      <c r="J2768" s="4">
        <v>2955</v>
      </c>
      <c r="K2768" s="5">
        <v>0.18104906937394247</v>
      </c>
      <c r="L2768" s="5">
        <v>1.455160744500846E-2</v>
      </c>
    </row>
    <row r="2769" spans="7:12">
      <c r="G2769" t="s">
        <v>3387</v>
      </c>
      <c r="H2769" t="s">
        <v>118</v>
      </c>
      <c r="I2769" t="s">
        <v>336</v>
      </c>
      <c r="J2769" s="4">
        <v>3132</v>
      </c>
      <c r="K2769" s="5">
        <v>0.18103448275862069</v>
      </c>
      <c r="L2769" s="5">
        <v>1.2452107279693486E-2</v>
      </c>
    </row>
    <row r="2770" spans="7:12">
      <c r="G2770" t="s">
        <v>3388</v>
      </c>
      <c r="H2770" t="s">
        <v>360</v>
      </c>
      <c r="I2770" t="s">
        <v>131</v>
      </c>
      <c r="J2770" s="4">
        <v>3790</v>
      </c>
      <c r="K2770" s="5">
        <v>0.18100263852242743</v>
      </c>
      <c r="L2770" s="5">
        <v>8.707124010554089E-3</v>
      </c>
    </row>
    <row r="2771" spans="7:12">
      <c r="G2771" t="s">
        <v>3389</v>
      </c>
      <c r="H2771" t="s">
        <v>115</v>
      </c>
      <c r="I2771" t="s">
        <v>299</v>
      </c>
      <c r="J2771" s="4">
        <v>1155</v>
      </c>
      <c r="K2771" s="5">
        <v>0.18095238095238095</v>
      </c>
      <c r="L2771" s="5">
        <v>4.329004329004329E-3</v>
      </c>
    </row>
    <row r="2772" spans="7:12">
      <c r="G2772" t="s">
        <v>3390</v>
      </c>
      <c r="H2772" t="s">
        <v>204</v>
      </c>
      <c r="I2772" t="s">
        <v>136</v>
      </c>
      <c r="J2772" s="4">
        <v>6330</v>
      </c>
      <c r="K2772" s="5">
        <v>0.18088467614533965</v>
      </c>
      <c r="L2772" s="5">
        <v>1.8167456556082148E-2</v>
      </c>
    </row>
    <row r="2773" spans="7:12">
      <c r="G2773" t="s">
        <v>3391</v>
      </c>
      <c r="H2773" t="s">
        <v>137</v>
      </c>
      <c r="I2773" t="s">
        <v>319</v>
      </c>
      <c r="J2773" s="4">
        <v>2134</v>
      </c>
      <c r="K2773" s="5">
        <v>0.18088097469540768</v>
      </c>
      <c r="L2773" s="5">
        <v>1.6869728209934397E-2</v>
      </c>
    </row>
    <row r="2774" spans="7:12">
      <c r="G2774" t="s">
        <v>3392</v>
      </c>
      <c r="H2774" t="s">
        <v>322</v>
      </c>
      <c r="I2774" t="s">
        <v>354</v>
      </c>
      <c r="J2774" s="4">
        <v>1316</v>
      </c>
      <c r="K2774" s="5">
        <v>0.18085106382978725</v>
      </c>
      <c r="L2774" s="5">
        <v>5.3191489361702126E-3</v>
      </c>
    </row>
    <row r="2775" spans="7:12">
      <c r="G2775" t="s">
        <v>3393</v>
      </c>
      <c r="H2775" t="s">
        <v>438</v>
      </c>
      <c r="I2775" t="s">
        <v>226</v>
      </c>
      <c r="J2775" s="4">
        <v>1869</v>
      </c>
      <c r="K2775" s="5">
        <v>0.18084537185660782</v>
      </c>
      <c r="L2775" s="5">
        <v>1.4446227929373997E-2</v>
      </c>
    </row>
    <row r="2776" spans="7:12">
      <c r="G2776" t="s">
        <v>3394</v>
      </c>
      <c r="H2776" t="s">
        <v>358</v>
      </c>
      <c r="I2776" t="s">
        <v>80</v>
      </c>
      <c r="J2776" s="4">
        <v>3362</v>
      </c>
      <c r="K2776" s="5">
        <v>0.18084473527662107</v>
      </c>
      <c r="L2776" s="5">
        <v>1.4277215942891136E-2</v>
      </c>
    </row>
    <row r="2777" spans="7:12">
      <c r="G2777" t="s">
        <v>3395</v>
      </c>
      <c r="H2777" t="s">
        <v>68</v>
      </c>
      <c r="I2777" t="s">
        <v>89</v>
      </c>
      <c r="J2777" s="4">
        <v>2754</v>
      </c>
      <c r="K2777" s="5">
        <v>0.18082788671023964</v>
      </c>
      <c r="L2777" s="5">
        <v>1.4887436456063908E-2</v>
      </c>
    </row>
    <row r="2778" spans="7:12">
      <c r="G2778" t="s">
        <v>3396</v>
      </c>
      <c r="H2778" t="s">
        <v>346</v>
      </c>
      <c r="I2778" t="s">
        <v>240</v>
      </c>
      <c r="J2778" s="4">
        <v>2251</v>
      </c>
      <c r="K2778" s="5">
        <v>0.1808085295424256</v>
      </c>
      <c r="L2778" s="5">
        <v>9.3291870279875611E-3</v>
      </c>
    </row>
    <row r="2779" spans="7:12">
      <c r="G2779" t="s">
        <v>3397</v>
      </c>
      <c r="H2779" t="s">
        <v>236</v>
      </c>
      <c r="I2779" t="s">
        <v>221</v>
      </c>
      <c r="J2779" s="4">
        <v>2157</v>
      </c>
      <c r="K2779" s="5">
        <v>0.1808066759388039</v>
      </c>
      <c r="L2779" s="5">
        <v>8.8085303662494199E-3</v>
      </c>
    </row>
    <row r="2780" spans="7:12">
      <c r="G2780" t="s">
        <v>3398</v>
      </c>
      <c r="H2780" t="s">
        <v>254</v>
      </c>
      <c r="I2780" t="s">
        <v>115</v>
      </c>
      <c r="J2780" s="4">
        <v>4370</v>
      </c>
      <c r="K2780" s="5">
        <v>0.18077803203661327</v>
      </c>
      <c r="L2780" s="5">
        <v>1.5331807780320367E-2</v>
      </c>
    </row>
    <row r="2781" spans="7:12">
      <c r="G2781" t="s">
        <v>3399</v>
      </c>
      <c r="H2781" t="s">
        <v>3400</v>
      </c>
      <c r="I2781" t="s">
        <v>89</v>
      </c>
      <c r="J2781" s="4">
        <v>3303</v>
      </c>
      <c r="K2781" s="5">
        <v>0.18074477747502271</v>
      </c>
      <c r="L2781" s="5">
        <v>2.4825915834090221E-2</v>
      </c>
    </row>
    <row r="2782" spans="7:12">
      <c r="G2782" t="s">
        <v>3401</v>
      </c>
      <c r="H2782" t="s">
        <v>182</v>
      </c>
      <c r="I2782" t="s">
        <v>215</v>
      </c>
      <c r="J2782" s="4">
        <v>13839</v>
      </c>
      <c r="K2782" s="5">
        <v>0.18072115037213671</v>
      </c>
      <c r="L2782" s="5">
        <v>1.1922826793843485E-2</v>
      </c>
    </row>
    <row r="2783" spans="7:12">
      <c r="G2783" t="s">
        <v>3402</v>
      </c>
      <c r="H2783" t="s">
        <v>329</v>
      </c>
      <c r="I2783" t="s">
        <v>322</v>
      </c>
      <c r="J2783" s="4">
        <v>1732</v>
      </c>
      <c r="K2783" s="5">
        <v>0.18071593533487298</v>
      </c>
      <c r="L2783" s="5">
        <v>9.8152424942263283E-3</v>
      </c>
    </row>
    <row r="2784" spans="7:12">
      <c r="G2784" t="s">
        <v>3403</v>
      </c>
      <c r="H2784" t="s">
        <v>416</v>
      </c>
      <c r="I2784" t="s">
        <v>134</v>
      </c>
      <c r="J2784" s="4">
        <v>6774</v>
      </c>
      <c r="K2784" s="5">
        <v>0.18069087688219662</v>
      </c>
      <c r="L2784" s="5">
        <v>1.6533805727782697E-2</v>
      </c>
    </row>
    <row r="2785" spans="7:12">
      <c r="G2785" t="s">
        <v>3404</v>
      </c>
      <c r="H2785" t="s">
        <v>370</v>
      </c>
      <c r="I2785" t="s">
        <v>331</v>
      </c>
      <c r="J2785" s="4">
        <v>1168</v>
      </c>
      <c r="K2785" s="5">
        <v>0.18065068493150685</v>
      </c>
      <c r="L2785" s="5">
        <v>1.0273972602739725E-2</v>
      </c>
    </row>
    <row r="2786" spans="7:12">
      <c r="G2786" t="s">
        <v>3405</v>
      </c>
      <c r="H2786" t="s">
        <v>326</v>
      </c>
      <c r="I2786" t="s">
        <v>503</v>
      </c>
      <c r="J2786" s="4">
        <v>4185</v>
      </c>
      <c r="K2786" s="5">
        <v>0.18064516129032257</v>
      </c>
      <c r="L2786" s="5">
        <v>4.7789725209080045E-3</v>
      </c>
    </row>
    <row r="2787" spans="7:12">
      <c r="G2787" t="s">
        <v>3406</v>
      </c>
      <c r="H2787" t="s">
        <v>486</v>
      </c>
      <c r="I2787" t="s">
        <v>533</v>
      </c>
      <c r="J2787" s="4">
        <v>1263</v>
      </c>
      <c r="K2787" s="5">
        <v>0.18052256532066507</v>
      </c>
      <c r="L2787" s="5">
        <v>2.3752969121140144E-3</v>
      </c>
    </row>
    <row r="2788" spans="7:12">
      <c r="G2788" t="s">
        <v>3407</v>
      </c>
      <c r="H2788" t="s">
        <v>218</v>
      </c>
      <c r="I2788" t="s">
        <v>224</v>
      </c>
      <c r="J2788" s="4">
        <v>4460</v>
      </c>
      <c r="K2788" s="5">
        <v>0.18049327354260089</v>
      </c>
      <c r="L2788" s="5">
        <v>8.5201793721973087E-3</v>
      </c>
    </row>
    <row r="2789" spans="7:12">
      <c r="G2789" t="s">
        <v>3408</v>
      </c>
      <c r="H2789" t="s">
        <v>162</v>
      </c>
      <c r="I2789" t="s">
        <v>297</v>
      </c>
      <c r="J2789" s="4">
        <v>1086</v>
      </c>
      <c r="K2789" s="5">
        <v>0.18047882136279927</v>
      </c>
      <c r="L2789" s="5">
        <v>1.841620626151013E-2</v>
      </c>
    </row>
    <row r="2790" spans="7:12">
      <c r="G2790" t="s">
        <v>3409</v>
      </c>
      <c r="H2790" t="s">
        <v>160</v>
      </c>
      <c r="I2790" t="s">
        <v>472</v>
      </c>
      <c r="J2790" s="4">
        <v>4423</v>
      </c>
      <c r="K2790" s="5">
        <v>0.18042052905267919</v>
      </c>
      <c r="L2790" s="5">
        <v>1.6278543974677821E-2</v>
      </c>
    </row>
    <row r="2791" spans="7:12">
      <c r="G2791" t="s">
        <v>3410</v>
      </c>
      <c r="H2791" t="s">
        <v>184</v>
      </c>
      <c r="I2791" t="s">
        <v>390</v>
      </c>
      <c r="J2791" s="4">
        <v>1081</v>
      </c>
      <c r="K2791" s="5">
        <v>0.18038852913968548</v>
      </c>
      <c r="L2791" s="5">
        <v>4.6253469010175763E-3</v>
      </c>
    </row>
    <row r="2792" spans="7:12">
      <c r="G2792" t="s">
        <v>3411</v>
      </c>
      <c r="H2792" t="s">
        <v>377</v>
      </c>
      <c r="I2792" t="s">
        <v>259</v>
      </c>
      <c r="J2792" s="4">
        <v>6859</v>
      </c>
      <c r="K2792" s="5">
        <v>0.18034698935704913</v>
      </c>
      <c r="L2792" s="5">
        <v>1.7203674004956992E-2</v>
      </c>
    </row>
    <row r="2793" spans="7:12">
      <c r="G2793" t="s">
        <v>3412</v>
      </c>
      <c r="H2793" t="s">
        <v>228</v>
      </c>
      <c r="I2793" t="s">
        <v>218</v>
      </c>
      <c r="J2793" s="4">
        <v>1109</v>
      </c>
      <c r="K2793" s="5">
        <v>0.18034265103697025</v>
      </c>
      <c r="L2793" s="5">
        <v>1.1722272317403066E-2</v>
      </c>
    </row>
    <row r="2794" spans="7:12">
      <c r="G2794" t="s">
        <v>3413</v>
      </c>
      <c r="H2794" t="s">
        <v>372</v>
      </c>
      <c r="I2794" t="s">
        <v>326</v>
      </c>
      <c r="J2794" s="4">
        <v>1403</v>
      </c>
      <c r="K2794" s="5">
        <v>0.18032786885245902</v>
      </c>
      <c r="L2794" s="5">
        <v>5.7020669992872419E-3</v>
      </c>
    </row>
    <row r="2795" spans="7:12">
      <c r="G2795" t="s">
        <v>3414</v>
      </c>
      <c r="H2795" t="s">
        <v>160</v>
      </c>
      <c r="I2795" t="s">
        <v>356</v>
      </c>
      <c r="J2795" s="4">
        <v>1221</v>
      </c>
      <c r="K2795" s="5">
        <v>0.18018018018018017</v>
      </c>
      <c r="L2795" s="5">
        <v>7.3710073710073713E-3</v>
      </c>
    </row>
    <row r="2796" spans="7:12">
      <c r="G2796" t="s">
        <v>3415</v>
      </c>
      <c r="H2796" t="s">
        <v>360</v>
      </c>
      <c r="I2796" t="s">
        <v>103</v>
      </c>
      <c r="J2796" s="4">
        <v>7799</v>
      </c>
      <c r="K2796" s="5">
        <v>0.18015130144890371</v>
      </c>
      <c r="L2796" s="5">
        <v>9.6166175150660341E-3</v>
      </c>
    </row>
    <row r="2797" spans="7:12">
      <c r="G2797" t="s">
        <v>3416</v>
      </c>
      <c r="H2797" t="s">
        <v>497</v>
      </c>
      <c r="I2797" t="s">
        <v>131</v>
      </c>
      <c r="J2797" s="4">
        <v>3781</v>
      </c>
      <c r="K2797" s="5">
        <v>0.18011108172441154</v>
      </c>
      <c r="L2797" s="5">
        <v>2.1158423697434543E-3</v>
      </c>
    </row>
    <row r="2798" spans="7:12">
      <c r="G2798" t="s">
        <v>3417</v>
      </c>
      <c r="H2798" t="s">
        <v>322</v>
      </c>
      <c r="I2798" t="s">
        <v>366</v>
      </c>
      <c r="J2798" s="4">
        <v>3815</v>
      </c>
      <c r="K2798" s="5">
        <v>0.1800786369593709</v>
      </c>
      <c r="L2798" s="5">
        <v>4.9803407601572737E-3</v>
      </c>
    </row>
    <row r="2799" spans="7:12">
      <c r="G2799" t="s">
        <v>3418</v>
      </c>
      <c r="H2799" t="s">
        <v>218</v>
      </c>
      <c r="I2799" t="s">
        <v>158</v>
      </c>
      <c r="J2799" s="4">
        <v>2727</v>
      </c>
      <c r="K2799" s="5">
        <v>0.18005133846718005</v>
      </c>
      <c r="L2799" s="5">
        <v>4.7671433810047674E-3</v>
      </c>
    </row>
    <row r="2800" spans="7:12">
      <c r="G2800" t="s">
        <v>3419</v>
      </c>
      <c r="H2800" t="s">
        <v>89</v>
      </c>
      <c r="I2800" t="s">
        <v>307</v>
      </c>
      <c r="J2800" s="4">
        <v>2355</v>
      </c>
      <c r="K2800" s="5">
        <v>0.1800424628450106</v>
      </c>
      <c r="L2800" s="5">
        <v>1.6560509554140127E-2</v>
      </c>
    </row>
    <row r="2801" spans="7:12">
      <c r="G2801" t="s">
        <v>3420</v>
      </c>
      <c r="H2801" t="s">
        <v>245</v>
      </c>
      <c r="I2801" t="s">
        <v>326</v>
      </c>
      <c r="J2801" s="4">
        <v>1750</v>
      </c>
      <c r="K2801" s="5">
        <v>0.18</v>
      </c>
      <c r="L2801" s="5">
        <v>1.3142857142857144E-2</v>
      </c>
    </row>
    <row r="2802" spans="7:12">
      <c r="G2802" t="s">
        <v>3421</v>
      </c>
      <c r="H2802" t="s">
        <v>202</v>
      </c>
      <c r="I2802" t="s">
        <v>322</v>
      </c>
      <c r="J2802" s="4">
        <v>7123</v>
      </c>
      <c r="K2802" s="5">
        <v>0.17998034536010107</v>
      </c>
      <c r="L2802" s="5">
        <v>1.5162150779166082E-2</v>
      </c>
    </row>
    <row r="2803" spans="7:12">
      <c r="G2803" t="s">
        <v>3422</v>
      </c>
      <c r="H2803" t="s">
        <v>370</v>
      </c>
      <c r="I2803" t="s">
        <v>252</v>
      </c>
      <c r="J2803" s="4">
        <v>2162</v>
      </c>
      <c r="K2803" s="5">
        <v>0.17992599444958371</v>
      </c>
      <c r="L2803" s="5">
        <v>4.6253469010175763E-3</v>
      </c>
    </row>
    <row r="2804" spans="7:12">
      <c r="G2804" t="s">
        <v>3423</v>
      </c>
      <c r="H2804" t="s">
        <v>236</v>
      </c>
      <c r="I2804" t="s">
        <v>414</v>
      </c>
      <c r="J2804" s="4">
        <v>1962</v>
      </c>
      <c r="K2804" s="5">
        <v>0.17991845056065239</v>
      </c>
      <c r="L2804" s="5">
        <v>6.6258919469928644E-3</v>
      </c>
    </row>
    <row r="2805" spans="7:12">
      <c r="G2805" t="s">
        <v>3424</v>
      </c>
      <c r="H2805" t="s">
        <v>377</v>
      </c>
      <c r="I2805" t="s">
        <v>115</v>
      </c>
      <c r="J2805" s="4">
        <v>4237</v>
      </c>
      <c r="K2805" s="5">
        <v>0.17984422940759973</v>
      </c>
      <c r="L2805" s="5">
        <v>5.9004012272834555E-3</v>
      </c>
    </row>
    <row r="2806" spans="7:12">
      <c r="G2806" t="s">
        <v>3425</v>
      </c>
      <c r="H2806" t="s">
        <v>434</v>
      </c>
      <c r="I2806" t="s">
        <v>103</v>
      </c>
      <c r="J2806" s="4">
        <v>8730</v>
      </c>
      <c r="K2806" s="5">
        <v>0.17983963344788087</v>
      </c>
      <c r="L2806" s="5">
        <v>1.1111111111111112E-2</v>
      </c>
    </row>
    <row r="2807" spans="7:12">
      <c r="G2807" t="s">
        <v>3426</v>
      </c>
      <c r="H2807" t="s">
        <v>218</v>
      </c>
      <c r="I2807" t="s">
        <v>336</v>
      </c>
      <c r="J2807" s="4">
        <v>8265</v>
      </c>
      <c r="K2807" s="5">
        <v>0.17979431336963098</v>
      </c>
      <c r="L2807" s="5">
        <v>1.1978221415607986E-2</v>
      </c>
    </row>
    <row r="2808" spans="7:12">
      <c r="G2808" t="s">
        <v>3427</v>
      </c>
      <c r="H2808" t="s">
        <v>416</v>
      </c>
      <c r="I2808" t="s">
        <v>268</v>
      </c>
      <c r="J2808" s="4">
        <v>4889</v>
      </c>
      <c r="K2808" s="5">
        <v>0.17979136837799142</v>
      </c>
      <c r="L2808" s="5">
        <v>7.3634690120679075E-3</v>
      </c>
    </row>
    <row r="2809" spans="7:12">
      <c r="G2809" t="s">
        <v>3428</v>
      </c>
      <c r="H2809" t="s">
        <v>233</v>
      </c>
      <c r="I2809" t="s">
        <v>317</v>
      </c>
      <c r="J2809" s="4">
        <v>2015</v>
      </c>
      <c r="K2809" s="5">
        <v>0.17965260545905706</v>
      </c>
      <c r="L2809" s="5">
        <v>1.4392059553349877E-2</v>
      </c>
    </row>
    <row r="2810" spans="7:12">
      <c r="G2810" t="s">
        <v>3429</v>
      </c>
      <c r="H2810" t="s">
        <v>388</v>
      </c>
      <c r="I2810" t="s">
        <v>268</v>
      </c>
      <c r="J2810" s="4">
        <v>1553</v>
      </c>
      <c r="K2810" s="5">
        <v>0.17965228589826143</v>
      </c>
      <c r="L2810" s="5">
        <v>7.7269800386349004E-3</v>
      </c>
    </row>
    <row r="2811" spans="7:12">
      <c r="G2811" t="s">
        <v>3430</v>
      </c>
      <c r="H2811" t="s">
        <v>3431</v>
      </c>
      <c r="I2811" t="s">
        <v>377</v>
      </c>
      <c r="J2811" s="4">
        <v>1080</v>
      </c>
      <c r="K2811" s="5">
        <v>0.17962962962962964</v>
      </c>
      <c r="L2811" s="5">
        <v>1.5740740740740739E-2</v>
      </c>
    </row>
    <row r="2812" spans="7:12">
      <c r="G2812" t="s">
        <v>3432</v>
      </c>
      <c r="H2812" t="s">
        <v>291</v>
      </c>
      <c r="I2812" t="s">
        <v>326</v>
      </c>
      <c r="J2812" s="4">
        <v>2934</v>
      </c>
      <c r="K2812" s="5">
        <v>0.17961826857532379</v>
      </c>
      <c r="L2812" s="5">
        <v>4.0899795501022499E-3</v>
      </c>
    </row>
    <row r="2813" spans="7:12">
      <c r="G2813" t="s">
        <v>3433</v>
      </c>
      <c r="H2813" t="s">
        <v>449</v>
      </c>
      <c r="I2813" t="s">
        <v>118</v>
      </c>
      <c r="J2813" s="4">
        <v>6728</v>
      </c>
      <c r="K2813" s="5">
        <v>0.17954815695600476</v>
      </c>
      <c r="L2813" s="5">
        <v>1.2633769322235434E-2</v>
      </c>
    </row>
    <row r="2814" spans="7:12">
      <c r="G2814" t="s">
        <v>3434</v>
      </c>
      <c r="H2814" t="s">
        <v>377</v>
      </c>
      <c r="I2814" t="s">
        <v>197</v>
      </c>
      <c r="J2814" s="4">
        <v>3996</v>
      </c>
      <c r="K2814" s="5">
        <v>0.17942942942942944</v>
      </c>
      <c r="L2814" s="5">
        <v>1.001001001001001E-2</v>
      </c>
    </row>
    <row r="2815" spans="7:12">
      <c r="G2815" t="s">
        <v>3435</v>
      </c>
      <c r="H2815" t="s">
        <v>233</v>
      </c>
      <c r="I2815" t="s">
        <v>268</v>
      </c>
      <c r="J2815" s="4">
        <v>5202</v>
      </c>
      <c r="K2815" s="5">
        <v>0.17935409457900808</v>
      </c>
      <c r="L2815" s="5">
        <v>7.8815840061514809E-3</v>
      </c>
    </row>
    <row r="2816" spans="7:12">
      <c r="G2816" t="s">
        <v>3436</v>
      </c>
      <c r="H2816" t="s">
        <v>377</v>
      </c>
      <c r="I2816" t="s">
        <v>414</v>
      </c>
      <c r="J2816" s="4">
        <v>3281</v>
      </c>
      <c r="K2816" s="5">
        <v>0.17921365437366657</v>
      </c>
      <c r="L2816" s="5">
        <v>8.2291984151173416E-3</v>
      </c>
    </row>
    <row r="2817" spans="7:12">
      <c r="G2817" t="s">
        <v>3437</v>
      </c>
      <c r="H2817" t="s">
        <v>408</v>
      </c>
      <c r="I2817" t="s">
        <v>189</v>
      </c>
      <c r="J2817" s="4">
        <v>2590</v>
      </c>
      <c r="K2817" s="5">
        <v>0.17915057915057914</v>
      </c>
      <c r="L2817" s="5">
        <v>3.4749034749034747E-3</v>
      </c>
    </row>
    <row r="2818" spans="7:12">
      <c r="G2818" t="s">
        <v>3438</v>
      </c>
      <c r="H2818" t="s">
        <v>218</v>
      </c>
      <c r="I2818" t="s">
        <v>408</v>
      </c>
      <c r="J2818" s="4">
        <v>9959</v>
      </c>
      <c r="K2818" s="5">
        <v>0.1791344512501255</v>
      </c>
      <c r="L2818" s="5">
        <v>7.2296415302741243E-3</v>
      </c>
    </row>
    <row r="2819" spans="7:12">
      <c r="G2819" t="s">
        <v>3439</v>
      </c>
      <c r="H2819" t="s">
        <v>2844</v>
      </c>
      <c r="I2819" t="s">
        <v>103</v>
      </c>
      <c r="J2819" s="4">
        <v>1876</v>
      </c>
      <c r="K2819" s="5">
        <v>0.17910447761194029</v>
      </c>
      <c r="L2819" s="5">
        <v>3.2515991471215352E-2</v>
      </c>
    </row>
    <row r="2820" spans="7:12">
      <c r="G2820" t="s">
        <v>3440</v>
      </c>
      <c r="H2820" t="s">
        <v>218</v>
      </c>
      <c r="I2820" t="s">
        <v>377</v>
      </c>
      <c r="J2820" s="4">
        <v>11036</v>
      </c>
      <c r="K2820" s="5">
        <v>0.17905038057267125</v>
      </c>
      <c r="L2820" s="5">
        <v>5.3461399057629574E-3</v>
      </c>
    </row>
    <row r="2821" spans="7:12">
      <c r="G2821" t="s">
        <v>3441</v>
      </c>
      <c r="H2821" t="s">
        <v>392</v>
      </c>
      <c r="I2821" t="s">
        <v>100</v>
      </c>
      <c r="J2821" s="4">
        <v>2984</v>
      </c>
      <c r="K2821" s="5">
        <v>0.17895442359249331</v>
      </c>
      <c r="L2821" s="5">
        <v>2.613941018766756E-2</v>
      </c>
    </row>
    <row r="2822" spans="7:12">
      <c r="G2822" t="s">
        <v>3442</v>
      </c>
      <c r="H2822" t="s">
        <v>398</v>
      </c>
      <c r="I2822" t="s">
        <v>501</v>
      </c>
      <c r="J2822" s="4">
        <v>1224</v>
      </c>
      <c r="K2822" s="5">
        <v>0.17892156862745098</v>
      </c>
      <c r="L2822" s="5">
        <v>3.2679738562091504E-3</v>
      </c>
    </row>
    <row r="2823" spans="7:12">
      <c r="G2823" t="s">
        <v>3443</v>
      </c>
      <c r="H2823" t="s">
        <v>370</v>
      </c>
      <c r="I2823" t="s">
        <v>497</v>
      </c>
      <c r="J2823" s="4">
        <v>7575</v>
      </c>
      <c r="K2823" s="5">
        <v>0.17887788778877889</v>
      </c>
      <c r="L2823" s="5">
        <v>2.5082508250825085E-3</v>
      </c>
    </row>
    <row r="2824" spans="7:12">
      <c r="G2824" t="s">
        <v>3444</v>
      </c>
      <c r="H2824" t="s">
        <v>273</v>
      </c>
      <c r="I2824" t="s">
        <v>140</v>
      </c>
      <c r="J2824" s="4">
        <v>2622</v>
      </c>
      <c r="K2824" s="5">
        <v>0.17887109077040428</v>
      </c>
      <c r="L2824" s="5">
        <v>4.2715484363081618E-2</v>
      </c>
    </row>
    <row r="2825" spans="7:12">
      <c r="G2825" t="s">
        <v>3445</v>
      </c>
      <c r="H2825" t="s">
        <v>507</v>
      </c>
      <c r="I2825" t="s">
        <v>131</v>
      </c>
      <c r="J2825" s="4">
        <v>2231</v>
      </c>
      <c r="K2825" s="5">
        <v>0.17884356790676825</v>
      </c>
      <c r="L2825" s="5">
        <v>2.2411474675033617E-3</v>
      </c>
    </row>
    <row r="2826" spans="7:12">
      <c r="G2826" t="s">
        <v>3446</v>
      </c>
      <c r="H2826" t="s">
        <v>221</v>
      </c>
      <c r="I2826" t="s">
        <v>218</v>
      </c>
      <c r="J2826" s="4">
        <v>13530</v>
      </c>
      <c r="K2826" s="5">
        <v>0.1787878787878788</v>
      </c>
      <c r="L2826" s="5">
        <v>1.204730229120473E-2</v>
      </c>
    </row>
    <row r="2827" spans="7:12">
      <c r="G2827" t="s">
        <v>3447</v>
      </c>
      <c r="H2827" t="s">
        <v>414</v>
      </c>
      <c r="I2827" t="s">
        <v>254</v>
      </c>
      <c r="J2827" s="4">
        <v>1913</v>
      </c>
      <c r="K2827" s="5">
        <v>0.17877679038159958</v>
      </c>
      <c r="L2827" s="5">
        <v>8.3638264506011497E-3</v>
      </c>
    </row>
    <row r="2828" spans="7:12">
      <c r="G2828" t="s">
        <v>3448</v>
      </c>
      <c r="H2828" t="s">
        <v>445</v>
      </c>
      <c r="I2828" t="s">
        <v>100</v>
      </c>
      <c r="J2828" s="4">
        <v>1986</v>
      </c>
      <c r="K2828" s="5">
        <v>0.17875125881168177</v>
      </c>
      <c r="L2828" s="5">
        <v>1.5609264853977844E-2</v>
      </c>
    </row>
    <row r="2829" spans="7:12">
      <c r="G2829" t="s">
        <v>3449</v>
      </c>
      <c r="H2829" t="s">
        <v>236</v>
      </c>
      <c r="I2829" t="s">
        <v>259</v>
      </c>
      <c r="J2829" s="4">
        <v>10532</v>
      </c>
      <c r="K2829" s="5">
        <v>0.1786935055070262</v>
      </c>
      <c r="L2829" s="5">
        <v>2.5921002658564375E-2</v>
      </c>
    </row>
    <row r="2830" spans="7:12">
      <c r="G2830" t="s">
        <v>3450</v>
      </c>
      <c r="H2830" t="s">
        <v>240</v>
      </c>
      <c r="I2830" t="s">
        <v>233</v>
      </c>
      <c r="J2830" s="4">
        <v>1131</v>
      </c>
      <c r="K2830" s="5">
        <v>0.1786030061892131</v>
      </c>
      <c r="L2830" s="5">
        <v>5.3050397877984082E-3</v>
      </c>
    </row>
    <row r="2831" spans="7:12">
      <c r="G2831" t="s">
        <v>3451</v>
      </c>
      <c r="H2831" t="s">
        <v>254</v>
      </c>
      <c r="I2831" t="s">
        <v>358</v>
      </c>
      <c r="J2831" s="4">
        <v>2951</v>
      </c>
      <c r="K2831" s="5">
        <v>0.17858353100643851</v>
      </c>
      <c r="L2831" s="5">
        <v>1.8976618095560827E-2</v>
      </c>
    </row>
    <row r="2832" spans="7:12">
      <c r="G2832" t="s">
        <v>3452</v>
      </c>
      <c r="H2832" t="s">
        <v>352</v>
      </c>
      <c r="I2832" t="s">
        <v>160</v>
      </c>
      <c r="J2832" s="4">
        <v>6132</v>
      </c>
      <c r="K2832" s="5">
        <v>0.17857142857142858</v>
      </c>
      <c r="L2832" s="5">
        <v>1.5329419439008479E-2</v>
      </c>
    </row>
    <row r="2833" spans="7:12">
      <c r="G2833" t="s">
        <v>3453</v>
      </c>
      <c r="H2833" t="s">
        <v>215</v>
      </c>
      <c r="I2833" t="s">
        <v>370</v>
      </c>
      <c r="J2833" s="4">
        <v>22430</v>
      </c>
      <c r="K2833" s="5">
        <v>0.17855550601872491</v>
      </c>
      <c r="L2833" s="5">
        <v>8.6045474810521622E-3</v>
      </c>
    </row>
    <row r="2834" spans="7:12">
      <c r="G2834" t="s">
        <v>3454</v>
      </c>
      <c r="H2834" t="s">
        <v>457</v>
      </c>
      <c r="I2834" t="s">
        <v>118</v>
      </c>
      <c r="J2834" s="4">
        <v>4968</v>
      </c>
      <c r="K2834" s="5">
        <v>0.17854267310789049</v>
      </c>
      <c r="L2834" s="5">
        <v>1.2278582930756845E-2</v>
      </c>
    </row>
    <row r="2835" spans="7:12">
      <c r="G2835" t="s">
        <v>3455</v>
      </c>
      <c r="H2835" t="s">
        <v>346</v>
      </c>
      <c r="I2835" t="s">
        <v>322</v>
      </c>
      <c r="J2835" s="4">
        <v>3748</v>
      </c>
      <c r="K2835" s="5">
        <v>0.17849519743863393</v>
      </c>
      <c r="L2835" s="5">
        <v>5.6029882604055493E-3</v>
      </c>
    </row>
    <row r="2836" spans="7:12">
      <c r="G2836" t="s">
        <v>3456</v>
      </c>
      <c r="H2836" t="s">
        <v>259</v>
      </c>
      <c r="I2836" t="s">
        <v>322</v>
      </c>
      <c r="J2836" s="4">
        <v>12522</v>
      </c>
      <c r="K2836" s="5">
        <v>0.17848586487781504</v>
      </c>
      <c r="L2836" s="5">
        <v>2.3398818080178886E-2</v>
      </c>
    </row>
    <row r="2837" spans="7:12">
      <c r="G2837" t="s">
        <v>3457</v>
      </c>
      <c r="H2837" t="s">
        <v>233</v>
      </c>
      <c r="I2837" t="s">
        <v>115</v>
      </c>
      <c r="J2837" s="4">
        <v>5827</v>
      </c>
      <c r="K2837" s="5">
        <v>0.17847949201990732</v>
      </c>
      <c r="L2837" s="5">
        <v>1.3214347005320062E-2</v>
      </c>
    </row>
    <row r="2838" spans="7:12">
      <c r="G2838" t="s">
        <v>3458</v>
      </c>
      <c r="H2838" t="s">
        <v>3276</v>
      </c>
      <c r="I2838" t="s">
        <v>89</v>
      </c>
      <c r="J2838" s="4">
        <v>3301</v>
      </c>
      <c r="K2838" s="5">
        <v>0.17843077855195397</v>
      </c>
      <c r="L2838" s="5">
        <v>2.9385034837927902E-2</v>
      </c>
    </row>
    <row r="2839" spans="7:12">
      <c r="G2839" t="s">
        <v>3459</v>
      </c>
      <c r="H2839" t="s">
        <v>390</v>
      </c>
      <c r="I2839" t="s">
        <v>89</v>
      </c>
      <c r="J2839" s="4">
        <v>9000</v>
      </c>
      <c r="K2839" s="5">
        <v>0.17833333333333334</v>
      </c>
      <c r="L2839" s="5">
        <v>2.0777777777777777E-2</v>
      </c>
    </row>
    <row r="2840" spans="7:12">
      <c r="G2840" t="s">
        <v>3460</v>
      </c>
      <c r="H2840" t="s">
        <v>218</v>
      </c>
      <c r="I2840" t="s">
        <v>414</v>
      </c>
      <c r="J2840" s="4">
        <v>9415</v>
      </c>
      <c r="K2840" s="5">
        <v>0.17833244822092406</v>
      </c>
      <c r="L2840" s="5">
        <v>7.4349442379182153E-3</v>
      </c>
    </row>
    <row r="2841" spans="7:12">
      <c r="G2841" t="s">
        <v>3461</v>
      </c>
      <c r="H2841" t="s">
        <v>322</v>
      </c>
      <c r="I2841" t="s">
        <v>342</v>
      </c>
      <c r="J2841" s="4">
        <v>1717</v>
      </c>
      <c r="K2841" s="5">
        <v>0.17821782178217821</v>
      </c>
      <c r="L2841" s="5">
        <v>1.3977868375072802E-2</v>
      </c>
    </row>
    <row r="2842" spans="7:12">
      <c r="G2842" t="s">
        <v>3462</v>
      </c>
      <c r="H2842" t="s">
        <v>377</v>
      </c>
      <c r="I2842" t="s">
        <v>507</v>
      </c>
      <c r="J2842" s="4">
        <v>2380</v>
      </c>
      <c r="K2842" s="5">
        <v>0.17815126050420169</v>
      </c>
      <c r="L2842" s="5">
        <v>7.5630252100840336E-3</v>
      </c>
    </row>
    <row r="2843" spans="7:12">
      <c r="G2843" t="s">
        <v>3463</v>
      </c>
      <c r="H2843" t="s">
        <v>215</v>
      </c>
      <c r="I2843" t="s">
        <v>489</v>
      </c>
      <c r="J2843" s="4">
        <v>13905</v>
      </c>
      <c r="K2843" s="5">
        <v>0.17813736066163249</v>
      </c>
      <c r="L2843" s="5">
        <v>7.2635742538655164E-3</v>
      </c>
    </row>
    <row r="2844" spans="7:12">
      <c r="G2844" t="s">
        <v>3464</v>
      </c>
      <c r="H2844" t="s">
        <v>377</v>
      </c>
      <c r="I2844" t="s">
        <v>299</v>
      </c>
      <c r="J2844" s="4">
        <v>3885</v>
      </c>
      <c r="K2844" s="5">
        <v>0.17812097812097813</v>
      </c>
      <c r="L2844" s="5">
        <v>7.4646074646074643E-3</v>
      </c>
    </row>
    <row r="2845" spans="7:12">
      <c r="G2845" t="s">
        <v>3465</v>
      </c>
      <c r="H2845" t="s">
        <v>388</v>
      </c>
      <c r="I2845" t="s">
        <v>103</v>
      </c>
      <c r="J2845" s="4">
        <v>3251</v>
      </c>
      <c r="K2845" s="5">
        <v>0.178099046447247</v>
      </c>
      <c r="L2845" s="5">
        <v>5.5367579206398029E-3</v>
      </c>
    </row>
    <row r="2846" spans="7:12">
      <c r="G2846" t="s">
        <v>3466</v>
      </c>
      <c r="H2846" t="s">
        <v>372</v>
      </c>
      <c r="I2846" t="s">
        <v>95</v>
      </c>
      <c r="J2846" s="4">
        <v>2427</v>
      </c>
      <c r="K2846" s="5">
        <v>0.17799752781211373</v>
      </c>
      <c r="L2846" s="5">
        <v>1.6893283889575606E-2</v>
      </c>
    </row>
    <row r="2847" spans="7:12">
      <c r="G2847" t="s">
        <v>3467</v>
      </c>
      <c r="H2847" t="s">
        <v>377</v>
      </c>
      <c r="I2847" t="s">
        <v>761</v>
      </c>
      <c r="J2847" s="4">
        <v>2062</v>
      </c>
      <c r="K2847" s="5">
        <v>0.17798254122211446</v>
      </c>
      <c r="L2847" s="5">
        <v>1.6488845780795344E-2</v>
      </c>
    </row>
    <row r="2848" spans="7:12">
      <c r="G2848" t="s">
        <v>3468</v>
      </c>
      <c r="H2848" t="s">
        <v>131</v>
      </c>
      <c r="I2848" t="s">
        <v>322</v>
      </c>
      <c r="J2848" s="4">
        <v>9548</v>
      </c>
      <c r="K2848" s="5">
        <v>0.17794302471721826</v>
      </c>
      <c r="L2848" s="5">
        <v>6.5982404692082114E-3</v>
      </c>
    </row>
    <row r="2849" spans="7:12">
      <c r="G2849" t="s">
        <v>3469</v>
      </c>
      <c r="H2849" t="s">
        <v>315</v>
      </c>
      <c r="I2849" t="s">
        <v>377</v>
      </c>
      <c r="J2849" s="4">
        <v>3918</v>
      </c>
      <c r="K2849" s="5">
        <v>0.17789688616641144</v>
      </c>
      <c r="L2849" s="5">
        <v>1.3527309851965288E-2</v>
      </c>
    </row>
    <row r="2850" spans="7:12">
      <c r="G2850" t="s">
        <v>3470</v>
      </c>
      <c r="H2850" t="s">
        <v>377</v>
      </c>
      <c r="I2850" t="s">
        <v>406</v>
      </c>
      <c r="J2850" s="4">
        <v>4098</v>
      </c>
      <c r="K2850" s="5">
        <v>0.17789165446559296</v>
      </c>
      <c r="L2850" s="5">
        <v>7.5646656905807713E-3</v>
      </c>
    </row>
    <row r="2851" spans="7:12">
      <c r="G2851" t="s">
        <v>3471</v>
      </c>
      <c r="H2851" t="s">
        <v>344</v>
      </c>
      <c r="I2851" t="s">
        <v>118</v>
      </c>
      <c r="J2851" s="4">
        <v>1305</v>
      </c>
      <c r="K2851" s="5">
        <v>0.17777777777777778</v>
      </c>
      <c r="L2851" s="5">
        <v>1.2260536398467433E-2</v>
      </c>
    </row>
    <row r="2852" spans="7:12">
      <c r="G2852" t="s">
        <v>3472</v>
      </c>
      <c r="H2852" t="s">
        <v>449</v>
      </c>
      <c r="I2852" t="s">
        <v>103</v>
      </c>
      <c r="J2852" s="4">
        <v>13389</v>
      </c>
      <c r="K2852" s="5">
        <v>0.17775786093061469</v>
      </c>
      <c r="L2852" s="5">
        <v>9.4853984614235564E-3</v>
      </c>
    </row>
    <row r="2853" spans="7:12">
      <c r="G2853" t="s">
        <v>3473</v>
      </c>
      <c r="H2853" t="s">
        <v>293</v>
      </c>
      <c r="I2853" t="s">
        <v>218</v>
      </c>
      <c r="J2853" s="4">
        <v>3055</v>
      </c>
      <c r="K2853" s="5">
        <v>0.17774140752864157</v>
      </c>
      <c r="L2853" s="5">
        <v>1.2438625204582651E-2</v>
      </c>
    </row>
    <row r="2854" spans="7:12">
      <c r="G2854" t="s">
        <v>3474</v>
      </c>
      <c r="H2854" t="s">
        <v>388</v>
      </c>
      <c r="I2854" t="s">
        <v>137</v>
      </c>
      <c r="J2854" s="4">
        <v>1525</v>
      </c>
      <c r="K2854" s="5">
        <v>0.17770491803278687</v>
      </c>
      <c r="L2854" s="5">
        <v>1.8360655737704918E-2</v>
      </c>
    </row>
    <row r="2855" spans="7:12">
      <c r="G2855" t="s">
        <v>3475</v>
      </c>
      <c r="H2855" t="s">
        <v>377</v>
      </c>
      <c r="I2855" t="s">
        <v>240</v>
      </c>
      <c r="J2855" s="4">
        <v>2589</v>
      </c>
      <c r="K2855" s="5">
        <v>0.17767477790652761</v>
      </c>
      <c r="L2855" s="5">
        <v>5.0212437234453461E-3</v>
      </c>
    </row>
    <row r="2856" spans="7:12">
      <c r="G2856" t="s">
        <v>3476</v>
      </c>
      <c r="H2856" t="s">
        <v>215</v>
      </c>
      <c r="I2856" t="s">
        <v>360</v>
      </c>
      <c r="J2856" s="4">
        <v>1351</v>
      </c>
      <c r="K2856" s="5">
        <v>0.17764618800888232</v>
      </c>
      <c r="L2856" s="5">
        <v>4.4411547002220575E-3</v>
      </c>
    </row>
    <row r="2857" spans="7:12">
      <c r="G2857" t="s">
        <v>3477</v>
      </c>
      <c r="H2857" t="s">
        <v>240</v>
      </c>
      <c r="I2857" t="s">
        <v>103</v>
      </c>
      <c r="J2857" s="4">
        <v>2483</v>
      </c>
      <c r="K2857" s="5">
        <v>0.17760773258155457</v>
      </c>
      <c r="L2857" s="5">
        <v>1.0068465565847765E-2</v>
      </c>
    </row>
    <row r="2858" spans="7:12">
      <c r="G2858" t="s">
        <v>3478</v>
      </c>
      <c r="H2858" t="s">
        <v>322</v>
      </c>
      <c r="I2858" t="s">
        <v>115</v>
      </c>
      <c r="J2858" s="4">
        <v>6163</v>
      </c>
      <c r="K2858" s="5">
        <v>0.17751095245821841</v>
      </c>
      <c r="L2858" s="5">
        <v>9.8977770566282663E-3</v>
      </c>
    </row>
    <row r="2859" spans="7:12">
      <c r="G2859" t="s">
        <v>3479</v>
      </c>
      <c r="H2859" t="s">
        <v>352</v>
      </c>
      <c r="I2859" t="s">
        <v>140</v>
      </c>
      <c r="J2859" s="4">
        <v>1645</v>
      </c>
      <c r="K2859" s="5">
        <v>0.17750759878419453</v>
      </c>
      <c r="L2859" s="5">
        <v>3.4650455927051675E-2</v>
      </c>
    </row>
    <row r="2860" spans="7:12">
      <c r="G2860" t="s">
        <v>3480</v>
      </c>
      <c r="H2860" t="s">
        <v>326</v>
      </c>
      <c r="I2860" t="s">
        <v>515</v>
      </c>
      <c r="J2860" s="4">
        <v>1155</v>
      </c>
      <c r="K2860" s="5">
        <v>0.1774891774891775</v>
      </c>
      <c r="L2860" s="5">
        <v>8.658008658008658E-4</v>
      </c>
    </row>
    <row r="2861" spans="7:12">
      <c r="G2861" t="s">
        <v>3481</v>
      </c>
      <c r="H2861" t="s">
        <v>233</v>
      </c>
      <c r="I2861" t="s">
        <v>134</v>
      </c>
      <c r="J2861" s="4">
        <v>5731</v>
      </c>
      <c r="K2861" s="5">
        <v>0.1774559413714884</v>
      </c>
      <c r="L2861" s="5">
        <v>1.5529575990228582E-2</v>
      </c>
    </row>
    <row r="2862" spans="7:12">
      <c r="G2862" t="s">
        <v>3482</v>
      </c>
      <c r="H2862" t="s">
        <v>472</v>
      </c>
      <c r="I2862" t="s">
        <v>131</v>
      </c>
      <c r="J2862" s="4">
        <v>1122</v>
      </c>
      <c r="K2862" s="5">
        <v>0.17736185383244207</v>
      </c>
      <c r="L2862" s="5">
        <v>6.2388591800356507E-3</v>
      </c>
    </row>
    <row r="2863" spans="7:12">
      <c r="G2863" t="s">
        <v>3483</v>
      </c>
      <c r="H2863" t="s">
        <v>390</v>
      </c>
      <c r="I2863" t="s">
        <v>140</v>
      </c>
      <c r="J2863" s="4">
        <v>3265</v>
      </c>
      <c r="K2863" s="5">
        <v>0.1773353751914242</v>
      </c>
      <c r="L2863" s="5">
        <v>1.8070444104134761E-2</v>
      </c>
    </row>
    <row r="2864" spans="7:12">
      <c r="G2864" t="s">
        <v>3484</v>
      </c>
      <c r="H2864" t="s">
        <v>189</v>
      </c>
      <c r="I2864" t="s">
        <v>160</v>
      </c>
      <c r="J2864" s="4">
        <v>7811</v>
      </c>
      <c r="K2864" s="5">
        <v>0.17731404429650494</v>
      </c>
      <c r="L2864" s="5">
        <v>1.7539367558571245E-2</v>
      </c>
    </row>
    <row r="2865" spans="7:12">
      <c r="G2865" t="s">
        <v>3485</v>
      </c>
      <c r="H2865" t="s">
        <v>221</v>
      </c>
      <c r="I2865" t="s">
        <v>136</v>
      </c>
      <c r="J2865" s="4">
        <v>3041</v>
      </c>
      <c r="K2865" s="5">
        <v>0.17724432752384084</v>
      </c>
      <c r="L2865" s="5">
        <v>8.8786583360736596E-3</v>
      </c>
    </row>
    <row r="2866" spans="7:12">
      <c r="G2866" t="s">
        <v>3486</v>
      </c>
      <c r="H2866" t="s">
        <v>346</v>
      </c>
      <c r="I2866" t="s">
        <v>756</v>
      </c>
      <c r="J2866" s="4">
        <v>1095</v>
      </c>
      <c r="K2866" s="5">
        <v>0.17716894977168951</v>
      </c>
      <c r="L2866" s="5">
        <v>2.3744292237442923E-2</v>
      </c>
    </row>
    <row r="2867" spans="7:12">
      <c r="G2867" t="s">
        <v>3487</v>
      </c>
      <c r="H2867" t="s">
        <v>416</v>
      </c>
      <c r="I2867" t="s">
        <v>103</v>
      </c>
      <c r="J2867" s="4">
        <v>9259</v>
      </c>
      <c r="K2867" s="5">
        <v>0.17712495949886597</v>
      </c>
      <c r="L2867" s="5">
        <v>8.2082298304352527E-3</v>
      </c>
    </row>
    <row r="2868" spans="7:12">
      <c r="G2868" t="s">
        <v>3488</v>
      </c>
      <c r="H2868" t="s">
        <v>468</v>
      </c>
      <c r="I2868" t="s">
        <v>215</v>
      </c>
      <c r="J2868" s="4">
        <v>6884</v>
      </c>
      <c r="K2868" s="5">
        <v>0.17707728065078443</v>
      </c>
      <c r="L2868" s="5">
        <v>8.7158628704241715E-3</v>
      </c>
    </row>
    <row r="2869" spans="7:12">
      <c r="G2869" t="s">
        <v>3489</v>
      </c>
      <c r="H2869" t="s">
        <v>115</v>
      </c>
      <c r="I2869" t="s">
        <v>226</v>
      </c>
      <c r="J2869" s="4">
        <v>1932</v>
      </c>
      <c r="K2869" s="5">
        <v>0.17701863354037267</v>
      </c>
      <c r="L2869" s="5">
        <v>1.7598343685300208E-2</v>
      </c>
    </row>
    <row r="2870" spans="7:12">
      <c r="G2870" t="s">
        <v>3490</v>
      </c>
      <c r="H2870" t="s">
        <v>331</v>
      </c>
      <c r="I2870" t="s">
        <v>215</v>
      </c>
      <c r="J2870" s="4">
        <v>2210</v>
      </c>
      <c r="K2870" s="5">
        <v>0.17692307692307693</v>
      </c>
      <c r="L2870" s="5">
        <v>1.1312217194570135E-2</v>
      </c>
    </row>
    <row r="2871" spans="7:12">
      <c r="G2871" t="s">
        <v>3491</v>
      </c>
      <c r="H2871" t="s">
        <v>484</v>
      </c>
      <c r="I2871" t="s">
        <v>103</v>
      </c>
      <c r="J2871" s="4">
        <v>8080</v>
      </c>
      <c r="K2871" s="5">
        <v>0.17685643564356435</v>
      </c>
      <c r="L2871" s="5">
        <v>7.4257425742574254E-3</v>
      </c>
    </row>
    <row r="2872" spans="7:12">
      <c r="G2872" t="s">
        <v>3492</v>
      </c>
      <c r="H2872" t="s">
        <v>346</v>
      </c>
      <c r="I2872" t="s">
        <v>221</v>
      </c>
      <c r="J2872" s="4">
        <v>1934</v>
      </c>
      <c r="K2872" s="5">
        <v>0.1768355739400207</v>
      </c>
      <c r="L2872" s="5">
        <v>1.2409513960703205E-2</v>
      </c>
    </row>
    <row r="2873" spans="7:12">
      <c r="G2873" t="s">
        <v>3493</v>
      </c>
      <c r="H2873" t="s">
        <v>103</v>
      </c>
      <c r="I2873" t="s">
        <v>453</v>
      </c>
      <c r="J2873" s="4">
        <v>1131</v>
      </c>
      <c r="K2873" s="5">
        <v>0.17683465959328029</v>
      </c>
      <c r="L2873" s="5">
        <v>3.5366931918656055E-3</v>
      </c>
    </row>
    <row r="2874" spans="7:12">
      <c r="G2874" t="s">
        <v>3494</v>
      </c>
      <c r="H2874" t="s">
        <v>226</v>
      </c>
      <c r="I2874" t="s">
        <v>362</v>
      </c>
      <c r="J2874" s="4">
        <v>4609</v>
      </c>
      <c r="K2874" s="5">
        <v>0.17682794532436538</v>
      </c>
      <c r="L2874" s="5">
        <v>1.2150141028422651E-2</v>
      </c>
    </row>
    <row r="2875" spans="7:12">
      <c r="G2875" t="s">
        <v>3495</v>
      </c>
      <c r="H2875" t="s">
        <v>489</v>
      </c>
      <c r="I2875" t="s">
        <v>507</v>
      </c>
      <c r="J2875" s="4">
        <v>1171</v>
      </c>
      <c r="K2875" s="5">
        <v>0.17677198975234842</v>
      </c>
      <c r="L2875" s="5">
        <v>8.5397096498719043E-4</v>
      </c>
    </row>
    <row r="2876" spans="7:12">
      <c r="G2876" t="s">
        <v>3496</v>
      </c>
      <c r="H2876" t="s">
        <v>342</v>
      </c>
      <c r="I2876" t="s">
        <v>140</v>
      </c>
      <c r="J2876" s="4">
        <v>4503</v>
      </c>
      <c r="K2876" s="5">
        <v>0.17677104152787032</v>
      </c>
      <c r="L2876" s="5">
        <v>3.1090384188318897E-2</v>
      </c>
    </row>
    <row r="2877" spans="7:12">
      <c r="G2877" t="s">
        <v>3497</v>
      </c>
      <c r="H2877" t="s">
        <v>398</v>
      </c>
      <c r="I2877" t="s">
        <v>136</v>
      </c>
      <c r="J2877" s="4">
        <v>1782</v>
      </c>
      <c r="K2877" s="5">
        <v>0.17676767676767677</v>
      </c>
      <c r="L2877" s="5">
        <v>4.4893378226711564E-3</v>
      </c>
    </row>
    <row r="2878" spans="7:12">
      <c r="G2878" t="s">
        <v>3498</v>
      </c>
      <c r="H2878" t="s">
        <v>322</v>
      </c>
      <c r="I2878" t="s">
        <v>136</v>
      </c>
      <c r="J2878" s="4">
        <v>6185</v>
      </c>
      <c r="K2878" s="5">
        <v>0.17671786580436541</v>
      </c>
      <c r="L2878" s="5">
        <v>1.0185933710590138E-2</v>
      </c>
    </row>
    <row r="2879" spans="7:12">
      <c r="G2879" t="s">
        <v>3499</v>
      </c>
      <c r="H2879" t="s">
        <v>89</v>
      </c>
      <c r="I2879" t="s">
        <v>364</v>
      </c>
      <c r="J2879" s="4">
        <v>2869</v>
      </c>
      <c r="K2879" s="5">
        <v>0.17671662600209131</v>
      </c>
      <c r="L2879" s="5">
        <v>1.2199372603694667E-2</v>
      </c>
    </row>
    <row r="2880" spans="7:12">
      <c r="G2880" t="s">
        <v>3500</v>
      </c>
      <c r="H2880" t="s">
        <v>377</v>
      </c>
      <c r="I2880" t="s">
        <v>254</v>
      </c>
      <c r="J2880" s="4">
        <v>3713</v>
      </c>
      <c r="K2880" s="5">
        <v>0.17667654187988149</v>
      </c>
      <c r="L2880" s="5">
        <v>1.1850255857796929E-2</v>
      </c>
    </row>
    <row r="2881" spans="7:12">
      <c r="G2881" t="s">
        <v>3501</v>
      </c>
      <c r="H2881" t="s">
        <v>358</v>
      </c>
      <c r="I2881" t="s">
        <v>103</v>
      </c>
      <c r="J2881" s="4">
        <v>5522</v>
      </c>
      <c r="K2881" s="5">
        <v>0.17656646142701921</v>
      </c>
      <c r="L2881" s="5">
        <v>5.2517203911626219E-3</v>
      </c>
    </row>
    <row r="2882" spans="7:12">
      <c r="G2882" t="s">
        <v>3502</v>
      </c>
      <c r="H2882" t="s">
        <v>218</v>
      </c>
      <c r="I2882" t="s">
        <v>2705</v>
      </c>
      <c r="J2882" s="4">
        <v>1524</v>
      </c>
      <c r="K2882" s="5">
        <v>0.17650918635170604</v>
      </c>
      <c r="L2882" s="5">
        <v>2.6246719160104987E-3</v>
      </c>
    </row>
    <row r="2883" spans="7:12">
      <c r="G2883" t="s">
        <v>3503</v>
      </c>
      <c r="H2883" t="s">
        <v>89</v>
      </c>
      <c r="I2883" t="s">
        <v>3504</v>
      </c>
      <c r="J2883" s="4">
        <v>2670</v>
      </c>
      <c r="K2883" s="5">
        <v>0.17640449438202246</v>
      </c>
      <c r="L2883" s="5">
        <v>2.5842696629213482E-2</v>
      </c>
    </row>
    <row r="2884" spans="7:12">
      <c r="G2884" t="s">
        <v>3505</v>
      </c>
      <c r="H2884" t="s">
        <v>322</v>
      </c>
      <c r="I2884" t="s">
        <v>137</v>
      </c>
      <c r="J2884" s="4">
        <v>8977</v>
      </c>
      <c r="K2884" s="5">
        <v>0.17633953436560099</v>
      </c>
      <c r="L2884" s="5">
        <v>1.6820764175114182E-2</v>
      </c>
    </row>
    <row r="2885" spans="7:12">
      <c r="G2885" t="s">
        <v>3506</v>
      </c>
      <c r="H2885" t="s">
        <v>377</v>
      </c>
      <c r="I2885" t="s">
        <v>228</v>
      </c>
      <c r="J2885" s="4">
        <v>2433</v>
      </c>
      <c r="K2885" s="5">
        <v>0.17632552404438964</v>
      </c>
      <c r="L2885" s="5">
        <v>5.7542129058775178E-3</v>
      </c>
    </row>
    <row r="2886" spans="7:12">
      <c r="G2886" t="s">
        <v>3507</v>
      </c>
      <c r="H2886" t="s">
        <v>162</v>
      </c>
      <c r="I2886" t="s">
        <v>259</v>
      </c>
      <c r="J2886" s="4">
        <v>23014</v>
      </c>
      <c r="K2886" s="5">
        <v>0.17624054923090293</v>
      </c>
      <c r="L2886" s="5">
        <v>3.2936473450942902E-2</v>
      </c>
    </row>
    <row r="2887" spans="7:12">
      <c r="G2887" t="s">
        <v>3508</v>
      </c>
      <c r="H2887" t="s">
        <v>218</v>
      </c>
      <c r="I2887" t="s">
        <v>360</v>
      </c>
      <c r="J2887" s="4">
        <v>7155</v>
      </c>
      <c r="K2887" s="5">
        <v>0.17624039133473096</v>
      </c>
      <c r="L2887" s="5">
        <v>1.0482180293501049E-2</v>
      </c>
    </row>
    <row r="2888" spans="7:12">
      <c r="G2888" t="s">
        <v>3509</v>
      </c>
      <c r="H2888" t="s">
        <v>402</v>
      </c>
      <c r="I2888" t="s">
        <v>202</v>
      </c>
      <c r="J2888" s="4">
        <v>1203</v>
      </c>
      <c r="K2888" s="5">
        <v>0.17622610141313383</v>
      </c>
      <c r="L2888" s="5">
        <v>2.5768911055694097E-2</v>
      </c>
    </row>
    <row r="2889" spans="7:12">
      <c r="G2889" t="s">
        <v>3510</v>
      </c>
      <c r="H2889" t="s">
        <v>221</v>
      </c>
      <c r="I2889" t="s">
        <v>236</v>
      </c>
      <c r="J2889" s="4">
        <v>2162</v>
      </c>
      <c r="K2889" s="5">
        <v>0.17622571692876965</v>
      </c>
      <c r="L2889" s="5">
        <v>9.7132284921369102E-3</v>
      </c>
    </row>
    <row r="2890" spans="7:12">
      <c r="G2890" t="s">
        <v>3511</v>
      </c>
      <c r="H2890" t="s">
        <v>137</v>
      </c>
      <c r="I2890" t="s">
        <v>322</v>
      </c>
      <c r="J2890" s="4">
        <v>8978</v>
      </c>
      <c r="K2890" s="5">
        <v>0.1762085096903542</v>
      </c>
      <c r="L2890" s="5">
        <v>1.70416573847182E-2</v>
      </c>
    </row>
    <row r="2891" spans="7:12">
      <c r="G2891" t="s">
        <v>3512</v>
      </c>
      <c r="H2891" t="s">
        <v>346</v>
      </c>
      <c r="I2891" t="s">
        <v>131</v>
      </c>
      <c r="J2891" s="4">
        <v>2997</v>
      </c>
      <c r="K2891" s="5">
        <v>0.17617617617617617</v>
      </c>
      <c r="L2891" s="5">
        <v>6.006006006006006E-3</v>
      </c>
    </row>
    <row r="2892" spans="7:12">
      <c r="G2892" t="s">
        <v>3513</v>
      </c>
      <c r="H2892" t="s">
        <v>136</v>
      </c>
      <c r="I2892" t="s">
        <v>233</v>
      </c>
      <c r="J2892" s="4">
        <v>6019</v>
      </c>
      <c r="K2892" s="5">
        <v>0.1761089882040206</v>
      </c>
      <c r="L2892" s="5">
        <v>1.1463698288752284E-2</v>
      </c>
    </row>
    <row r="2893" spans="7:12">
      <c r="G2893" t="s">
        <v>3514</v>
      </c>
      <c r="H2893" t="s">
        <v>347</v>
      </c>
      <c r="I2893" t="s">
        <v>218</v>
      </c>
      <c r="J2893" s="4">
        <v>3056</v>
      </c>
      <c r="K2893" s="5">
        <v>0.17604712041884818</v>
      </c>
      <c r="L2893" s="5">
        <v>1.4397905759162303E-2</v>
      </c>
    </row>
    <row r="2894" spans="7:12">
      <c r="G2894" t="s">
        <v>3515</v>
      </c>
      <c r="H2894" t="s">
        <v>136</v>
      </c>
      <c r="I2894" t="s">
        <v>236</v>
      </c>
      <c r="J2894" s="4">
        <v>5853</v>
      </c>
      <c r="K2894" s="5">
        <v>0.17597813087305655</v>
      </c>
      <c r="L2894" s="5">
        <v>1.1617973688706646E-2</v>
      </c>
    </row>
    <row r="2895" spans="7:12">
      <c r="G2895" t="s">
        <v>3516</v>
      </c>
      <c r="H2895" t="s">
        <v>455</v>
      </c>
      <c r="I2895" t="s">
        <v>484</v>
      </c>
      <c r="J2895" s="4">
        <v>2609</v>
      </c>
      <c r="K2895" s="5">
        <v>0.17592947489459562</v>
      </c>
      <c r="L2895" s="5">
        <v>1.9164430816404753E-3</v>
      </c>
    </row>
    <row r="2896" spans="7:12">
      <c r="G2896" t="s">
        <v>3517</v>
      </c>
      <c r="H2896" t="s">
        <v>259</v>
      </c>
      <c r="I2896" t="s">
        <v>406</v>
      </c>
      <c r="J2896" s="4">
        <v>2991</v>
      </c>
      <c r="K2896" s="5">
        <v>0.17586091608157806</v>
      </c>
      <c r="L2896" s="5">
        <v>3.4770979605483116E-2</v>
      </c>
    </row>
    <row r="2897" spans="7:12">
      <c r="G2897" t="s">
        <v>3518</v>
      </c>
      <c r="H2897" t="s">
        <v>221</v>
      </c>
      <c r="I2897" t="s">
        <v>140</v>
      </c>
      <c r="J2897" s="4">
        <v>4124</v>
      </c>
      <c r="K2897" s="5">
        <v>0.17580019398642094</v>
      </c>
      <c r="L2897" s="5">
        <v>2.133850630455868E-2</v>
      </c>
    </row>
    <row r="2898" spans="7:12">
      <c r="G2898" t="s">
        <v>3519</v>
      </c>
      <c r="H2898" t="s">
        <v>282</v>
      </c>
      <c r="I2898" t="s">
        <v>236</v>
      </c>
      <c r="J2898" s="4">
        <v>1206</v>
      </c>
      <c r="K2898" s="5">
        <v>0.175787728026534</v>
      </c>
      <c r="L2898" s="5">
        <v>4.1459369817578775E-3</v>
      </c>
    </row>
    <row r="2899" spans="7:12">
      <c r="G2899" t="s">
        <v>3520</v>
      </c>
      <c r="H2899" t="s">
        <v>457</v>
      </c>
      <c r="I2899" t="s">
        <v>370</v>
      </c>
      <c r="J2899" s="4">
        <v>1371</v>
      </c>
      <c r="K2899" s="5">
        <v>0.17578409919766594</v>
      </c>
      <c r="L2899" s="5">
        <v>1.4587892049598833E-3</v>
      </c>
    </row>
    <row r="2900" spans="7:12">
      <c r="G2900" t="s">
        <v>3521</v>
      </c>
      <c r="H2900" t="s">
        <v>370</v>
      </c>
      <c r="I2900" t="s">
        <v>118</v>
      </c>
      <c r="J2900" s="4">
        <v>20442</v>
      </c>
      <c r="K2900" s="5">
        <v>0.17571666177477743</v>
      </c>
      <c r="L2900" s="5">
        <v>1.2229723119068584E-2</v>
      </c>
    </row>
    <row r="2901" spans="7:12">
      <c r="G2901" t="s">
        <v>3522</v>
      </c>
      <c r="H2901" t="s">
        <v>226</v>
      </c>
      <c r="I2901" t="s">
        <v>440</v>
      </c>
      <c r="J2901" s="4">
        <v>3455</v>
      </c>
      <c r="K2901" s="5">
        <v>0.17568740955137482</v>
      </c>
      <c r="L2901" s="5">
        <v>1.3892908827785818E-2</v>
      </c>
    </row>
    <row r="2902" spans="7:12">
      <c r="G2902" t="s">
        <v>3523</v>
      </c>
      <c r="H2902" t="s">
        <v>422</v>
      </c>
      <c r="I2902" t="s">
        <v>100</v>
      </c>
      <c r="J2902" s="4">
        <v>5698</v>
      </c>
      <c r="K2902" s="5">
        <v>0.17567567567567569</v>
      </c>
      <c r="L2902" s="5">
        <v>8.0730080730080731E-3</v>
      </c>
    </row>
    <row r="2903" spans="7:12">
      <c r="G2903" t="s">
        <v>3524</v>
      </c>
      <c r="H2903" t="s">
        <v>418</v>
      </c>
      <c r="I2903" t="s">
        <v>103</v>
      </c>
      <c r="J2903" s="4">
        <v>6093</v>
      </c>
      <c r="K2903" s="5">
        <v>0.17561135729525684</v>
      </c>
      <c r="L2903" s="5">
        <v>1.0667979648777285E-2</v>
      </c>
    </row>
    <row r="2904" spans="7:12">
      <c r="G2904" t="s">
        <v>3525</v>
      </c>
      <c r="H2904" t="s">
        <v>461</v>
      </c>
      <c r="I2904" t="s">
        <v>416</v>
      </c>
      <c r="J2904" s="4">
        <v>3058</v>
      </c>
      <c r="K2904" s="5">
        <v>0.17560497056899935</v>
      </c>
      <c r="L2904" s="5">
        <v>5.8862001308044474E-3</v>
      </c>
    </row>
    <row r="2905" spans="7:12">
      <c r="G2905" t="s">
        <v>3526</v>
      </c>
      <c r="H2905" t="s">
        <v>278</v>
      </c>
      <c r="I2905" t="s">
        <v>326</v>
      </c>
      <c r="J2905" s="4">
        <v>3463</v>
      </c>
      <c r="K2905" s="5">
        <v>0.17557031475599191</v>
      </c>
      <c r="L2905" s="5">
        <v>5.4865723361247473E-3</v>
      </c>
    </row>
    <row r="2906" spans="7:12">
      <c r="G2906" t="s">
        <v>3527</v>
      </c>
      <c r="H2906" t="s">
        <v>3528</v>
      </c>
      <c r="I2906" t="s">
        <v>89</v>
      </c>
      <c r="J2906" s="4">
        <v>2176</v>
      </c>
      <c r="K2906" s="5">
        <v>0.17555147058823528</v>
      </c>
      <c r="L2906" s="5">
        <v>2.8033088235294119E-2</v>
      </c>
    </row>
    <row r="2907" spans="7:12">
      <c r="G2907" t="s">
        <v>3529</v>
      </c>
      <c r="H2907" t="s">
        <v>189</v>
      </c>
      <c r="I2907" t="s">
        <v>499</v>
      </c>
      <c r="J2907" s="4">
        <v>2142</v>
      </c>
      <c r="K2907" s="5">
        <v>0.17553688141923435</v>
      </c>
      <c r="L2907" s="5">
        <v>1.1671335200746966E-2</v>
      </c>
    </row>
    <row r="2908" spans="7:12">
      <c r="G2908" t="s">
        <v>3530</v>
      </c>
      <c r="H2908" t="s">
        <v>144</v>
      </c>
      <c r="I2908" t="s">
        <v>259</v>
      </c>
      <c r="J2908" s="4">
        <v>2444</v>
      </c>
      <c r="K2908" s="5">
        <v>0.17553191489361702</v>
      </c>
      <c r="L2908" s="5">
        <v>3.2733224222585927E-2</v>
      </c>
    </row>
    <row r="2909" spans="7:12">
      <c r="G2909" t="s">
        <v>3531</v>
      </c>
      <c r="H2909" t="s">
        <v>268</v>
      </c>
      <c r="I2909" t="s">
        <v>160</v>
      </c>
      <c r="J2909" s="4">
        <v>12369</v>
      </c>
      <c r="K2909" s="5">
        <v>0.17551944377071713</v>
      </c>
      <c r="L2909" s="5">
        <v>2.1909612741531248E-2</v>
      </c>
    </row>
    <row r="2910" spans="7:12">
      <c r="G2910" t="s">
        <v>3532</v>
      </c>
      <c r="H2910" t="s">
        <v>398</v>
      </c>
      <c r="I2910" t="s">
        <v>449</v>
      </c>
      <c r="J2910" s="4">
        <v>5669</v>
      </c>
      <c r="K2910" s="5">
        <v>0.17551596401481742</v>
      </c>
      <c r="L2910" s="5">
        <v>5.1155406597283475E-3</v>
      </c>
    </row>
    <row r="2911" spans="7:12">
      <c r="G2911" t="s">
        <v>3533</v>
      </c>
      <c r="H2911" t="s">
        <v>85</v>
      </c>
      <c r="I2911" t="s">
        <v>344</v>
      </c>
      <c r="J2911" s="4">
        <v>3339</v>
      </c>
      <c r="K2911" s="5">
        <v>0.17550164719976041</v>
      </c>
      <c r="L2911" s="5">
        <v>1.6172506738544475E-2</v>
      </c>
    </row>
    <row r="2912" spans="7:12">
      <c r="G2912" t="s">
        <v>3534</v>
      </c>
      <c r="H2912" t="s">
        <v>370</v>
      </c>
      <c r="I2912" t="s">
        <v>110</v>
      </c>
      <c r="J2912" s="4">
        <v>1551</v>
      </c>
      <c r="K2912" s="5">
        <v>0.17537072856221791</v>
      </c>
      <c r="L2912" s="5">
        <v>7.0921985815602835E-3</v>
      </c>
    </row>
    <row r="2913" spans="7:12">
      <c r="G2913" t="s">
        <v>3535</v>
      </c>
      <c r="H2913" t="s">
        <v>370</v>
      </c>
      <c r="I2913" t="s">
        <v>155</v>
      </c>
      <c r="J2913" s="4">
        <v>1916</v>
      </c>
      <c r="K2913" s="5">
        <v>0.17536534446764093</v>
      </c>
      <c r="L2913" s="5">
        <v>1.0438413361169102E-2</v>
      </c>
    </row>
    <row r="2914" spans="7:12">
      <c r="G2914" t="s">
        <v>3536</v>
      </c>
      <c r="H2914" t="s">
        <v>118</v>
      </c>
      <c r="I2914" t="s">
        <v>342</v>
      </c>
      <c r="J2914" s="4">
        <v>4351</v>
      </c>
      <c r="K2914" s="5">
        <v>0.17536198575040221</v>
      </c>
      <c r="L2914" s="5">
        <v>1.3100436681222707E-2</v>
      </c>
    </row>
    <row r="2915" spans="7:12">
      <c r="G2915" t="s">
        <v>3537</v>
      </c>
      <c r="H2915" t="s">
        <v>2485</v>
      </c>
      <c r="I2915" t="s">
        <v>134</v>
      </c>
      <c r="J2915" s="4">
        <v>1768</v>
      </c>
      <c r="K2915" s="5">
        <v>0.17533936651583709</v>
      </c>
      <c r="L2915" s="5">
        <v>1.8099547511312219E-2</v>
      </c>
    </row>
    <row r="2916" spans="7:12">
      <c r="G2916" t="s">
        <v>3538</v>
      </c>
      <c r="H2916" t="s">
        <v>422</v>
      </c>
      <c r="I2916" t="s">
        <v>134</v>
      </c>
      <c r="J2916" s="4">
        <v>1962</v>
      </c>
      <c r="K2916" s="5">
        <v>0.17533129459734964</v>
      </c>
      <c r="L2916" s="5">
        <v>1.6309887869520898E-2</v>
      </c>
    </row>
    <row r="2917" spans="7:12">
      <c r="G2917" t="s">
        <v>3539</v>
      </c>
      <c r="H2917" t="s">
        <v>358</v>
      </c>
      <c r="I2917" t="s">
        <v>254</v>
      </c>
      <c r="J2917" s="4">
        <v>2949</v>
      </c>
      <c r="K2917" s="5">
        <v>0.17531366564937267</v>
      </c>
      <c r="L2917" s="5">
        <v>1.9667683960664633E-2</v>
      </c>
    </row>
    <row r="2918" spans="7:12">
      <c r="G2918" t="s">
        <v>3540</v>
      </c>
      <c r="H2918" t="s">
        <v>412</v>
      </c>
      <c r="I2918" t="s">
        <v>215</v>
      </c>
      <c r="J2918" s="4">
        <v>2670</v>
      </c>
      <c r="K2918" s="5">
        <v>0.1752808988764045</v>
      </c>
      <c r="L2918" s="5">
        <v>8.6142322097378272E-3</v>
      </c>
    </row>
    <row r="2919" spans="7:12">
      <c r="G2919" t="s">
        <v>3541</v>
      </c>
      <c r="H2919" t="s">
        <v>408</v>
      </c>
      <c r="I2919" t="s">
        <v>137</v>
      </c>
      <c r="J2919" s="4">
        <v>4382</v>
      </c>
      <c r="K2919" s="5">
        <v>0.17526243724326793</v>
      </c>
      <c r="L2919" s="5">
        <v>1.3692377909630305E-2</v>
      </c>
    </row>
    <row r="2920" spans="7:12">
      <c r="G2920" t="s">
        <v>3542</v>
      </c>
      <c r="H2920" t="s">
        <v>525</v>
      </c>
      <c r="I2920" t="s">
        <v>489</v>
      </c>
      <c r="J2920" s="4">
        <v>1130</v>
      </c>
      <c r="K2920" s="5">
        <v>0.17522123893805311</v>
      </c>
      <c r="L2920" s="5">
        <v>1.0619469026548672E-2</v>
      </c>
    </row>
    <row r="2921" spans="7:12">
      <c r="G2921" t="s">
        <v>3543</v>
      </c>
      <c r="H2921" t="s">
        <v>224</v>
      </c>
      <c r="I2921" t="s">
        <v>254</v>
      </c>
      <c r="J2921" s="4">
        <v>1524</v>
      </c>
      <c r="K2921" s="5">
        <v>0.17519685039370078</v>
      </c>
      <c r="L2921" s="5">
        <v>1.0498687664041995E-2</v>
      </c>
    </row>
    <row r="2922" spans="7:12">
      <c r="G2922" t="s">
        <v>3544</v>
      </c>
      <c r="H2922" t="s">
        <v>322</v>
      </c>
      <c r="I2922" t="s">
        <v>269</v>
      </c>
      <c r="J2922" s="4">
        <v>2717</v>
      </c>
      <c r="K2922" s="5">
        <v>0.17519322782480679</v>
      </c>
      <c r="L2922" s="5">
        <v>6.993006993006993E-3</v>
      </c>
    </row>
    <row r="2923" spans="7:12">
      <c r="G2923" t="s">
        <v>3545</v>
      </c>
      <c r="H2923" t="s">
        <v>358</v>
      </c>
      <c r="I2923" t="s">
        <v>118</v>
      </c>
      <c r="J2923" s="4">
        <v>10413</v>
      </c>
      <c r="K2923" s="5">
        <v>0.17516565831172573</v>
      </c>
      <c r="L2923" s="5">
        <v>1.8246422740804763E-2</v>
      </c>
    </row>
    <row r="2924" spans="7:12">
      <c r="G2924" t="s">
        <v>3546</v>
      </c>
      <c r="H2924" t="s">
        <v>455</v>
      </c>
      <c r="I2924" t="s">
        <v>189</v>
      </c>
      <c r="J2924" s="4">
        <v>1782</v>
      </c>
      <c r="K2924" s="5">
        <v>0.17508417508417509</v>
      </c>
      <c r="L2924" s="5">
        <v>2.2446689113355782E-3</v>
      </c>
    </row>
    <row r="2925" spans="7:12">
      <c r="G2925" t="s">
        <v>3547</v>
      </c>
      <c r="H2925" t="s">
        <v>218</v>
      </c>
      <c r="I2925" t="s">
        <v>233</v>
      </c>
      <c r="J2925" s="4">
        <v>11642</v>
      </c>
      <c r="K2925" s="5">
        <v>0.17505583233121458</v>
      </c>
      <c r="L2925" s="5">
        <v>8.074214052568288E-3</v>
      </c>
    </row>
    <row r="2926" spans="7:12">
      <c r="G2926" t="s">
        <v>3548</v>
      </c>
      <c r="H2926" t="s">
        <v>461</v>
      </c>
      <c r="I2926" t="s">
        <v>326</v>
      </c>
      <c r="J2926" s="4">
        <v>16791</v>
      </c>
      <c r="K2926" s="5">
        <v>0.17503424453576322</v>
      </c>
      <c r="L2926" s="5">
        <v>4.7644571496635105E-3</v>
      </c>
    </row>
    <row r="2927" spans="7:12">
      <c r="G2927" t="s">
        <v>3549</v>
      </c>
      <c r="H2927" t="s">
        <v>268</v>
      </c>
      <c r="I2927" t="s">
        <v>233</v>
      </c>
      <c r="J2927" s="4">
        <v>5251</v>
      </c>
      <c r="K2927" s="5">
        <v>0.17501428299371549</v>
      </c>
      <c r="L2927" s="5">
        <v>7.9984764806703482E-3</v>
      </c>
    </row>
    <row r="2928" spans="7:12">
      <c r="G2928" t="s">
        <v>3550</v>
      </c>
      <c r="H2928" t="s">
        <v>326</v>
      </c>
      <c r="I2928" t="s">
        <v>390</v>
      </c>
      <c r="J2928" s="4">
        <v>13058</v>
      </c>
      <c r="K2928" s="5">
        <v>0.1749885127890948</v>
      </c>
      <c r="L2928" s="5">
        <v>5.59044264052688E-3</v>
      </c>
    </row>
    <row r="2929" spans="7:12">
      <c r="G2929" t="s">
        <v>3551</v>
      </c>
      <c r="H2929" t="s">
        <v>215</v>
      </c>
      <c r="I2929" t="s">
        <v>400</v>
      </c>
      <c r="J2929" s="4">
        <v>1172</v>
      </c>
      <c r="K2929" s="5">
        <v>0.17491467576791808</v>
      </c>
      <c r="L2929" s="5">
        <v>7.6791808873720134E-3</v>
      </c>
    </row>
    <row r="2930" spans="7:12">
      <c r="G2930" t="s">
        <v>3552</v>
      </c>
      <c r="H2930" t="s">
        <v>226</v>
      </c>
      <c r="I2930" t="s">
        <v>525</v>
      </c>
      <c r="J2930" s="4">
        <v>2333</v>
      </c>
      <c r="K2930" s="5">
        <v>0.17488212601800257</v>
      </c>
      <c r="L2930" s="5">
        <v>2.1431633090441492E-3</v>
      </c>
    </row>
    <row r="2931" spans="7:12">
      <c r="G2931" t="s">
        <v>3553</v>
      </c>
      <c r="H2931" t="s">
        <v>426</v>
      </c>
      <c r="I2931" t="s">
        <v>100</v>
      </c>
      <c r="J2931" s="4">
        <v>3957</v>
      </c>
      <c r="K2931" s="5">
        <v>0.17487995956532726</v>
      </c>
      <c r="L2931" s="5">
        <v>6.0652009097801364E-3</v>
      </c>
    </row>
    <row r="2932" spans="7:12">
      <c r="G2932" t="s">
        <v>3554</v>
      </c>
      <c r="H2932" t="s">
        <v>3030</v>
      </c>
      <c r="I2932" t="s">
        <v>322</v>
      </c>
      <c r="J2932" s="4">
        <v>2741</v>
      </c>
      <c r="K2932" s="5">
        <v>0.17475373951112733</v>
      </c>
      <c r="L2932" s="5">
        <v>8.3910981393651943E-3</v>
      </c>
    </row>
    <row r="2933" spans="7:12">
      <c r="G2933" t="s">
        <v>3555</v>
      </c>
      <c r="H2933" t="s">
        <v>259</v>
      </c>
      <c r="I2933" t="s">
        <v>358</v>
      </c>
      <c r="J2933" s="4">
        <v>7247</v>
      </c>
      <c r="K2933" s="5">
        <v>0.17469297640402925</v>
      </c>
      <c r="L2933" s="5">
        <v>3.3945080723057817E-2</v>
      </c>
    </row>
    <row r="2934" spans="7:12">
      <c r="G2934" t="s">
        <v>3556</v>
      </c>
      <c r="H2934" t="s">
        <v>449</v>
      </c>
      <c r="I2934" t="s">
        <v>418</v>
      </c>
      <c r="J2934" s="4">
        <v>3161</v>
      </c>
      <c r="K2934" s="5">
        <v>0.17462828218918064</v>
      </c>
      <c r="L2934" s="5">
        <v>1.0756089844985764E-2</v>
      </c>
    </row>
    <row r="2935" spans="7:12">
      <c r="G2935" t="s">
        <v>3557</v>
      </c>
      <c r="H2935" t="s">
        <v>326</v>
      </c>
      <c r="I2935" t="s">
        <v>404</v>
      </c>
      <c r="J2935" s="4">
        <v>4669</v>
      </c>
      <c r="K2935" s="5">
        <v>0.17455557935318056</v>
      </c>
      <c r="L2935" s="5">
        <v>4.9261083743842365E-3</v>
      </c>
    </row>
    <row r="2936" spans="7:12">
      <c r="G2936" t="s">
        <v>3558</v>
      </c>
      <c r="H2936" t="s">
        <v>322</v>
      </c>
      <c r="I2936" t="s">
        <v>221</v>
      </c>
      <c r="J2936" s="4">
        <v>2408</v>
      </c>
      <c r="K2936" s="5">
        <v>0.1744186046511628</v>
      </c>
      <c r="L2936" s="5">
        <v>1.4534883720930232E-2</v>
      </c>
    </row>
    <row r="2937" spans="7:12">
      <c r="G2937" t="s">
        <v>3559</v>
      </c>
      <c r="H2937" t="s">
        <v>322</v>
      </c>
      <c r="I2937" t="s">
        <v>377</v>
      </c>
      <c r="J2937" s="4">
        <v>6663</v>
      </c>
      <c r="K2937" s="5">
        <v>0.17439591775476512</v>
      </c>
      <c r="L2937" s="5">
        <v>4.8026414527990394E-3</v>
      </c>
    </row>
    <row r="2938" spans="7:12">
      <c r="G2938" t="s">
        <v>3560</v>
      </c>
      <c r="H2938" t="s">
        <v>218</v>
      </c>
      <c r="I2938" t="s">
        <v>344</v>
      </c>
      <c r="J2938" s="4">
        <v>7675</v>
      </c>
      <c r="K2938" s="5">
        <v>0.17433224755700324</v>
      </c>
      <c r="L2938" s="5">
        <v>1.1986970684039087E-2</v>
      </c>
    </row>
    <row r="2939" spans="7:12">
      <c r="G2939" t="s">
        <v>3561</v>
      </c>
      <c r="H2939" t="s">
        <v>252</v>
      </c>
      <c r="I2939" t="s">
        <v>326</v>
      </c>
      <c r="J2939" s="4">
        <v>1635</v>
      </c>
      <c r="K2939" s="5">
        <v>0.1743119266055046</v>
      </c>
      <c r="L2939" s="5">
        <v>3.669724770642202E-3</v>
      </c>
    </row>
    <row r="2940" spans="7:12">
      <c r="G2940" t="s">
        <v>3562</v>
      </c>
      <c r="H2940" t="s">
        <v>356</v>
      </c>
      <c r="I2940" t="s">
        <v>2341</v>
      </c>
      <c r="J2940" s="4">
        <v>1062</v>
      </c>
      <c r="K2940" s="5">
        <v>0.17419962335216574</v>
      </c>
      <c r="L2940" s="5">
        <v>1.60075329566855E-2</v>
      </c>
    </row>
    <row r="2941" spans="7:12">
      <c r="G2941" t="s">
        <v>3563</v>
      </c>
      <c r="H2941" t="s">
        <v>370</v>
      </c>
      <c r="I2941" t="s">
        <v>103</v>
      </c>
      <c r="J2941" s="4">
        <v>22790</v>
      </c>
      <c r="K2941" s="5">
        <v>0.17419921017990347</v>
      </c>
      <c r="L2941" s="5">
        <v>9.5655989469065374E-3</v>
      </c>
    </row>
    <row r="2942" spans="7:12">
      <c r="G2942" t="s">
        <v>3564</v>
      </c>
      <c r="H2942" t="s">
        <v>324</v>
      </c>
      <c r="I2942" t="s">
        <v>326</v>
      </c>
      <c r="J2942" s="4">
        <v>2704</v>
      </c>
      <c r="K2942" s="5">
        <v>0.17418639053254437</v>
      </c>
      <c r="L2942" s="5">
        <v>8.8757396449704144E-3</v>
      </c>
    </row>
    <row r="2943" spans="7:12">
      <c r="G2943" t="s">
        <v>3565</v>
      </c>
      <c r="H2943" t="s">
        <v>259</v>
      </c>
      <c r="I2943" t="s">
        <v>453</v>
      </c>
      <c r="J2943" s="4">
        <v>3979</v>
      </c>
      <c r="K2943" s="5">
        <v>0.17416436290525258</v>
      </c>
      <c r="L2943" s="5">
        <v>3.9205830610706205E-2</v>
      </c>
    </row>
    <row r="2944" spans="7:12">
      <c r="G2944" t="s">
        <v>3566</v>
      </c>
      <c r="H2944" t="s">
        <v>226</v>
      </c>
      <c r="I2944" t="s">
        <v>443</v>
      </c>
      <c r="J2944" s="4">
        <v>2872</v>
      </c>
      <c r="K2944" s="5">
        <v>0.17409470752089137</v>
      </c>
      <c r="L2944" s="5">
        <v>1.0445682451253482E-2</v>
      </c>
    </row>
    <row r="2945" spans="7:12">
      <c r="G2945" t="s">
        <v>3567</v>
      </c>
      <c r="H2945" t="s">
        <v>422</v>
      </c>
      <c r="I2945" t="s">
        <v>160</v>
      </c>
      <c r="J2945" s="4">
        <v>1080</v>
      </c>
      <c r="K2945" s="5">
        <v>0.17407407407407408</v>
      </c>
      <c r="L2945" s="5">
        <v>6.4814814814814813E-3</v>
      </c>
    </row>
    <row r="2946" spans="7:12">
      <c r="G2946" t="s">
        <v>3568</v>
      </c>
      <c r="H2946" t="s">
        <v>531</v>
      </c>
      <c r="I2946" t="s">
        <v>103</v>
      </c>
      <c r="J2946" s="4">
        <v>2189</v>
      </c>
      <c r="K2946" s="5">
        <v>0.17405207857469163</v>
      </c>
      <c r="L2946" s="5">
        <v>1.3248058474189127E-2</v>
      </c>
    </row>
    <row r="2947" spans="7:12">
      <c r="G2947" t="s">
        <v>3569</v>
      </c>
      <c r="H2947" t="s">
        <v>202</v>
      </c>
      <c r="I2947" t="s">
        <v>346</v>
      </c>
      <c r="J2947" s="4">
        <v>3753</v>
      </c>
      <c r="K2947" s="5">
        <v>0.173994138022915</v>
      </c>
      <c r="L2947" s="5">
        <v>1.5454303224087397E-2</v>
      </c>
    </row>
    <row r="2948" spans="7:12">
      <c r="G2948" t="s">
        <v>3570</v>
      </c>
      <c r="H2948" t="s">
        <v>134</v>
      </c>
      <c r="I2948" t="s">
        <v>390</v>
      </c>
      <c r="J2948" s="4">
        <v>3811</v>
      </c>
      <c r="K2948" s="5">
        <v>0.17397008659144581</v>
      </c>
      <c r="L2948" s="5">
        <v>1.0495932826029914E-2</v>
      </c>
    </row>
    <row r="2949" spans="7:12">
      <c r="G2949" t="s">
        <v>3571</v>
      </c>
      <c r="H2949" t="s">
        <v>268</v>
      </c>
      <c r="I2949" t="s">
        <v>472</v>
      </c>
      <c r="J2949" s="4">
        <v>3869</v>
      </c>
      <c r="K2949" s="5">
        <v>0.17394675626776945</v>
      </c>
      <c r="L2949" s="5">
        <v>6.9785474282760404E-3</v>
      </c>
    </row>
    <row r="2950" spans="7:12">
      <c r="G2950" t="s">
        <v>3572</v>
      </c>
      <c r="H2950" t="s">
        <v>370</v>
      </c>
      <c r="I2950" t="s">
        <v>463</v>
      </c>
      <c r="J2950" s="4">
        <v>1058</v>
      </c>
      <c r="K2950" s="5">
        <v>0.17391304347826086</v>
      </c>
      <c r="L2950" s="5">
        <v>6.6162570888468808E-3</v>
      </c>
    </row>
    <row r="2951" spans="7:12">
      <c r="G2951" t="s">
        <v>3573</v>
      </c>
      <c r="H2951" t="s">
        <v>484</v>
      </c>
      <c r="I2951" t="s">
        <v>118</v>
      </c>
      <c r="J2951" s="4">
        <v>1955</v>
      </c>
      <c r="K2951" s="5">
        <v>0.17391304347826086</v>
      </c>
      <c r="L2951" s="5">
        <v>4.6035805626598461E-3</v>
      </c>
    </row>
    <row r="2952" spans="7:12">
      <c r="G2952" t="s">
        <v>3574</v>
      </c>
      <c r="H2952" t="s">
        <v>466</v>
      </c>
      <c r="I2952" t="s">
        <v>103</v>
      </c>
      <c r="J2952" s="4">
        <v>8442</v>
      </c>
      <c r="K2952" s="5">
        <v>0.17389244254915898</v>
      </c>
      <c r="L2952" s="5">
        <v>8.7656953328595112E-3</v>
      </c>
    </row>
    <row r="2953" spans="7:12">
      <c r="G2953" t="s">
        <v>3575</v>
      </c>
      <c r="H2953" t="s">
        <v>100</v>
      </c>
      <c r="I2953" t="s">
        <v>445</v>
      </c>
      <c r="J2953" s="4">
        <v>1990</v>
      </c>
      <c r="K2953" s="5">
        <v>0.17386934673366833</v>
      </c>
      <c r="L2953" s="5">
        <v>1.5577889447236181E-2</v>
      </c>
    </row>
    <row r="2954" spans="7:12">
      <c r="G2954" t="s">
        <v>3576</v>
      </c>
      <c r="H2954" t="s">
        <v>80</v>
      </c>
      <c r="I2954" t="s">
        <v>377</v>
      </c>
      <c r="J2954" s="4">
        <v>2124</v>
      </c>
      <c r="K2954" s="5">
        <v>0.17372881355932204</v>
      </c>
      <c r="L2954" s="5">
        <v>9.887005649717515E-3</v>
      </c>
    </row>
    <row r="2955" spans="7:12">
      <c r="G2955" t="s">
        <v>3577</v>
      </c>
      <c r="H2955" t="s">
        <v>226</v>
      </c>
      <c r="I2955" t="s">
        <v>189</v>
      </c>
      <c r="J2955" s="4">
        <v>6684</v>
      </c>
      <c r="K2955" s="5">
        <v>0.17369838420107719</v>
      </c>
      <c r="L2955" s="5">
        <v>1.1220825852782765E-2</v>
      </c>
    </row>
    <row r="2956" spans="7:12">
      <c r="G2956" t="s">
        <v>3578</v>
      </c>
      <c r="H2956" t="s">
        <v>377</v>
      </c>
      <c r="I2956" t="s">
        <v>236</v>
      </c>
      <c r="J2956" s="4">
        <v>5793</v>
      </c>
      <c r="K2956" s="5">
        <v>0.17365786293802865</v>
      </c>
      <c r="L2956" s="5">
        <v>9.148972898325565E-3</v>
      </c>
    </row>
    <row r="2957" spans="7:12">
      <c r="G2957" t="s">
        <v>3579</v>
      </c>
      <c r="H2957" t="s">
        <v>377</v>
      </c>
      <c r="I2957" t="s">
        <v>352</v>
      </c>
      <c r="J2957" s="4">
        <v>4325</v>
      </c>
      <c r="K2957" s="5">
        <v>0.17364161849710982</v>
      </c>
      <c r="L2957" s="5">
        <v>9.9421965317919078E-3</v>
      </c>
    </row>
    <row r="2958" spans="7:12">
      <c r="G2958" t="s">
        <v>3580</v>
      </c>
      <c r="H2958" t="s">
        <v>218</v>
      </c>
      <c r="I2958" t="s">
        <v>342</v>
      </c>
      <c r="J2958" s="4">
        <v>8570</v>
      </c>
      <c r="K2958" s="5">
        <v>0.17362893815635938</v>
      </c>
      <c r="L2958" s="5">
        <v>1.0385064177362895E-2</v>
      </c>
    </row>
    <row r="2959" spans="7:12">
      <c r="G2959" t="s">
        <v>3581</v>
      </c>
      <c r="H2959" t="s">
        <v>218</v>
      </c>
      <c r="I2959" t="s">
        <v>372</v>
      </c>
      <c r="J2959" s="4">
        <v>10160</v>
      </c>
      <c r="K2959" s="5">
        <v>0.1736220472440945</v>
      </c>
      <c r="L2959" s="5">
        <v>1.0728346456692914E-2</v>
      </c>
    </row>
    <row r="2960" spans="7:12">
      <c r="G2960" t="s">
        <v>3582</v>
      </c>
      <c r="H2960" t="s">
        <v>377</v>
      </c>
      <c r="I2960" t="s">
        <v>372</v>
      </c>
      <c r="J2960" s="4">
        <v>2627</v>
      </c>
      <c r="K2960" s="5">
        <v>0.17358203273696232</v>
      </c>
      <c r="L2960" s="5">
        <v>9.8972211648267992E-3</v>
      </c>
    </row>
    <row r="2961" spans="7:12">
      <c r="G2961" t="s">
        <v>3583</v>
      </c>
      <c r="H2961" t="s">
        <v>259</v>
      </c>
      <c r="I2961" t="s">
        <v>408</v>
      </c>
      <c r="J2961" s="4">
        <v>7917</v>
      </c>
      <c r="K2961" s="5">
        <v>0.1735505873436908</v>
      </c>
      <c r="L2961" s="5">
        <v>2.8293545534924844E-2</v>
      </c>
    </row>
    <row r="2962" spans="7:12">
      <c r="G2962" t="s">
        <v>3584</v>
      </c>
      <c r="H2962" t="s">
        <v>259</v>
      </c>
      <c r="I2962" t="s">
        <v>428</v>
      </c>
      <c r="J2962" s="4">
        <v>4420</v>
      </c>
      <c r="K2962" s="5">
        <v>0.17352941176470588</v>
      </c>
      <c r="L2962" s="5">
        <v>4.2081447963800908E-2</v>
      </c>
    </row>
    <row r="2963" spans="7:12">
      <c r="G2963" t="s">
        <v>3585</v>
      </c>
      <c r="H2963" t="s">
        <v>291</v>
      </c>
      <c r="I2963" t="s">
        <v>160</v>
      </c>
      <c r="J2963" s="4">
        <v>2756</v>
      </c>
      <c r="K2963" s="5">
        <v>0.17343976777939041</v>
      </c>
      <c r="L2963" s="5">
        <v>8.708272859216255E-3</v>
      </c>
    </row>
    <row r="2964" spans="7:12">
      <c r="G2964" t="s">
        <v>3586</v>
      </c>
      <c r="H2964" t="s">
        <v>115</v>
      </c>
      <c r="I2964" t="s">
        <v>377</v>
      </c>
      <c r="J2964" s="4">
        <v>4233</v>
      </c>
      <c r="K2964" s="5">
        <v>0.17339948027403732</v>
      </c>
      <c r="L2964" s="5">
        <v>7.3234112922277344E-3</v>
      </c>
    </row>
    <row r="2965" spans="7:12">
      <c r="G2965" t="s">
        <v>3587</v>
      </c>
      <c r="H2965" t="s">
        <v>503</v>
      </c>
      <c r="I2965" t="s">
        <v>495</v>
      </c>
      <c r="J2965" s="4">
        <v>2180</v>
      </c>
      <c r="K2965" s="5">
        <v>0.17339449541284405</v>
      </c>
      <c r="L2965" s="5">
        <v>5.0458715596330278E-3</v>
      </c>
    </row>
    <row r="2966" spans="7:12">
      <c r="G2966" t="s">
        <v>3588</v>
      </c>
      <c r="H2966" t="s">
        <v>410</v>
      </c>
      <c r="I2966" t="s">
        <v>103</v>
      </c>
      <c r="J2966" s="4">
        <v>3288</v>
      </c>
      <c r="K2966" s="5">
        <v>0.17335766423357665</v>
      </c>
      <c r="L2966" s="5">
        <v>7.9075425790754265E-3</v>
      </c>
    </row>
    <row r="2967" spans="7:12">
      <c r="G2967" t="s">
        <v>3589</v>
      </c>
      <c r="H2967" t="s">
        <v>162</v>
      </c>
      <c r="I2967" t="s">
        <v>377</v>
      </c>
      <c r="J2967" s="4">
        <v>6317</v>
      </c>
      <c r="K2967" s="5">
        <v>0.17334177615956942</v>
      </c>
      <c r="L2967" s="5">
        <v>6.4904226689884437E-3</v>
      </c>
    </row>
    <row r="2968" spans="7:12">
      <c r="G2968" t="s">
        <v>3590</v>
      </c>
      <c r="H2968" t="s">
        <v>370</v>
      </c>
      <c r="I2968" t="s">
        <v>115</v>
      </c>
      <c r="J2968" s="4">
        <v>5073</v>
      </c>
      <c r="K2968" s="5">
        <v>0.17327025428740389</v>
      </c>
      <c r="L2968" s="5">
        <v>8.8704908338261383E-3</v>
      </c>
    </row>
    <row r="2969" spans="7:12">
      <c r="G2969" t="s">
        <v>3591</v>
      </c>
      <c r="H2969" t="s">
        <v>137</v>
      </c>
      <c r="I2969" t="s">
        <v>204</v>
      </c>
      <c r="J2969" s="4">
        <v>3850</v>
      </c>
      <c r="K2969" s="5">
        <v>0.17324675324675326</v>
      </c>
      <c r="L2969" s="5">
        <v>1.5844155844155845E-2</v>
      </c>
    </row>
    <row r="2970" spans="7:12">
      <c r="G2970" t="s">
        <v>3592</v>
      </c>
      <c r="H2970" t="s">
        <v>282</v>
      </c>
      <c r="I2970" t="s">
        <v>118</v>
      </c>
      <c r="J2970" s="4">
        <v>4889</v>
      </c>
      <c r="K2970" s="5">
        <v>0.1732460625894866</v>
      </c>
      <c r="L2970" s="5">
        <v>1.3908774800572715E-2</v>
      </c>
    </row>
    <row r="2971" spans="7:12">
      <c r="G2971" t="s">
        <v>3593</v>
      </c>
      <c r="H2971" t="s">
        <v>299</v>
      </c>
      <c r="I2971" t="s">
        <v>136</v>
      </c>
      <c r="J2971" s="4">
        <v>2875</v>
      </c>
      <c r="K2971" s="5">
        <v>0.17321739130434782</v>
      </c>
      <c r="L2971" s="5">
        <v>6.6086956521739133E-3</v>
      </c>
    </row>
    <row r="2972" spans="7:12">
      <c r="G2972" t="s">
        <v>3594</v>
      </c>
      <c r="H2972" t="s">
        <v>89</v>
      </c>
      <c r="I2972" t="s">
        <v>311</v>
      </c>
      <c r="J2972" s="4">
        <v>2731</v>
      </c>
      <c r="K2972" s="5">
        <v>0.17319663127059684</v>
      </c>
      <c r="L2972" s="5">
        <v>1.2083485902599781E-2</v>
      </c>
    </row>
    <row r="2973" spans="7:12">
      <c r="G2973" t="s">
        <v>3595</v>
      </c>
      <c r="H2973" t="s">
        <v>322</v>
      </c>
      <c r="I2973" t="s">
        <v>3596</v>
      </c>
      <c r="J2973" s="4">
        <v>2818</v>
      </c>
      <c r="K2973" s="5">
        <v>0.17317246273953157</v>
      </c>
      <c r="L2973" s="5">
        <v>1.3129879347054649E-2</v>
      </c>
    </row>
    <row r="2974" spans="7:12">
      <c r="G2974" t="s">
        <v>3597</v>
      </c>
      <c r="H2974" t="s">
        <v>189</v>
      </c>
      <c r="I2974" t="s">
        <v>236</v>
      </c>
      <c r="J2974" s="4">
        <v>2974</v>
      </c>
      <c r="K2974" s="5">
        <v>0.17316745124411567</v>
      </c>
      <c r="L2974" s="5">
        <v>6.7249495628782787E-3</v>
      </c>
    </row>
    <row r="2975" spans="7:12">
      <c r="G2975" t="s">
        <v>3598</v>
      </c>
      <c r="H2975" t="s">
        <v>204</v>
      </c>
      <c r="I2975" t="s">
        <v>422</v>
      </c>
      <c r="J2975" s="4">
        <v>5055</v>
      </c>
      <c r="K2975" s="5">
        <v>0.17309594460929772</v>
      </c>
      <c r="L2975" s="5">
        <v>2.156280909990109E-2</v>
      </c>
    </row>
    <row r="2976" spans="7:12">
      <c r="G2976" t="s">
        <v>3599</v>
      </c>
      <c r="H2976" t="s">
        <v>207</v>
      </c>
      <c r="I2976" t="s">
        <v>322</v>
      </c>
      <c r="J2976" s="4">
        <v>2600</v>
      </c>
      <c r="K2976" s="5">
        <v>0.17307692307692307</v>
      </c>
      <c r="L2976" s="5">
        <v>9.2307692307692316E-3</v>
      </c>
    </row>
    <row r="2977" spans="7:12">
      <c r="G2977" t="s">
        <v>3600</v>
      </c>
      <c r="H2977" t="s">
        <v>105</v>
      </c>
      <c r="I2977" t="s">
        <v>322</v>
      </c>
      <c r="J2977" s="4">
        <v>1144</v>
      </c>
      <c r="K2977" s="5">
        <v>0.17307692307692307</v>
      </c>
      <c r="L2977" s="5">
        <v>6.118881118881119E-3</v>
      </c>
    </row>
    <row r="2978" spans="7:12">
      <c r="G2978" t="s">
        <v>3601</v>
      </c>
      <c r="H2978" t="s">
        <v>377</v>
      </c>
      <c r="I2978" t="s">
        <v>233</v>
      </c>
      <c r="J2978" s="4">
        <v>4883</v>
      </c>
      <c r="K2978" s="5">
        <v>0.17304935490477166</v>
      </c>
      <c r="L2978" s="5">
        <v>7.9868933032971531E-3</v>
      </c>
    </row>
    <row r="2979" spans="7:12">
      <c r="G2979" t="s">
        <v>3602</v>
      </c>
      <c r="H2979" t="s">
        <v>410</v>
      </c>
      <c r="I2979" t="s">
        <v>204</v>
      </c>
      <c r="J2979" s="4">
        <v>3196</v>
      </c>
      <c r="K2979" s="5">
        <v>0.17302878598247809</v>
      </c>
      <c r="L2979" s="5">
        <v>2.9411764705882353E-2</v>
      </c>
    </row>
    <row r="2980" spans="7:12">
      <c r="G2980" t="s">
        <v>3603</v>
      </c>
      <c r="H2980" t="s">
        <v>89</v>
      </c>
      <c r="I2980" t="s">
        <v>505</v>
      </c>
      <c r="J2980" s="4">
        <v>7110</v>
      </c>
      <c r="K2980" s="5">
        <v>0.1729957805907173</v>
      </c>
      <c r="L2980" s="5">
        <v>1.8284106891701828E-2</v>
      </c>
    </row>
    <row r="2981" spans="7:12">
      <c r="G2981" t="s">
        <v>3604</v>
      </c>
      <c r="H2981" t="s">
        <v>434</v>
      </c>
      <c r="I2981" t="s">
        <v>226</v>
      </c>
      <c r="J2981" s="4">
        <v>1740</v>
      </c>
      <c r="K2981" s="5">
        <v>0.17298850574712643</v>
      </c>
      <c r="L2981" s="5">
        <v>8.0459770114942528E-3</v>
      </c>
    </row>
    <row r="2982" spans="7:12">
      <c r="G2982" t="s">
        <v>3605</v>
      </c>
      <c r="H2982" t="s">
        <v>121</v>
      </c>
      <c r="I2982" t="s">
        <v>218</v>
      </c>
      <c r="J2982" s="4">
        <v>12095</v>
      </c>
      <c r="K2982" s="5">
        <v>0.172964034725093</v>
      </c>
      <c r="L2982" s="5">
        <v>1.1078958247209591E-2</v>
      </c>
    </row>
    <row r="2983" spans="7:12">
      <c r="G2983" t="s">
        <v>3606</v>
      </c>
      <c r="H2983" t="s">
        <v>89</v>
      </c>
      <c r="I2983" t="s">
        <v>1433</v>
      </c>
      <c r="J2983" s="4">
        <v>2181</v>
      </c>
      <c r="K2983" s="5">
        <v>0.17285648784961027</v>
      </c>
      <c r="L2983" s="5">
        <v>1.3755158184319119E-2</v>
      </c>
    </row>
    <row r="2984" spans="7:12">
      <c r="G2984" t="s">
        <v>3607</v>
      </c>
      <c r="H2984" t="s">
        <v>103</v>
      </c>
      <c r="I2984" t="s">
        <v>3608</v>
      </c>
      <c r="J2984" s="4">
        <v>2106</v>
      </c>
      <c r="K2984" s="5">
        <v>0.1728395061728395</v>
      </c>
      <c r="L2984" s="5">
        <v>1.4245014245014245E-2</v>
      </c>
    </row>
    <row r="2985" spans="7:12">
      <c r="G2985" t="s">
        <v>3609</v>
      </c>
      <c r="H2985" t="s">
        <v>301</v>
      </c>
      <c r="I2985" t="s">
        <v>103</v>
      </c>
      <c r="J2985" s="4">
        <v>1308</v>
      </c>
      <c r="K2985" s="5">
        <v>0.172782874617737</v>
      </c>
      <c r="L2985" s="5">
        <v>1.1467889908256881E-2</v>
      </c>
    </row>
    <row r="2986" spans="7:12">
      <c r="G2986" t="s">
        <v>3610</v>
      </c>
      <c r="H2986" t="s">
        <v>221</v>
      </c>
      <c r="I2986" t="s">
        <v>134</v>
      </c>
      <c r="J2986" s="4">
        <v>9278</v>
      </c>
      <c r="K2986" s="5">
        <v>0.17277430480707048</v>
      </c>
      <c r="L2986" s="5">
        <v>1.8538478120284543E-2</v>
      </c>
    </row>
    <row r="2987" spans="7:12">
      <c r="G2987" t="s">
        <v>3611</v>
      </c>
      <c r="H2987" t="s">
        <v>390</v>
      </c>
      <c r="I2987" t="s">
        <v>326</v>
      </c>
      <c r="J2987" s="4">
        <v>13059</v>
      </c>
      <c r="K2987" s="5">
        <v>0.17275442223753734</v>
      </c>
      <c r="L2987" s="5">
        <v>8.1170074278275519E-3</v>
      </c>
    </row>
    <row r="2988" spans="7:12">
      <c r="G2988" t="s">
        <v>3612</v>
      </c>
      <c r="H2988" t="s">
        <v>140</v>
      </c>
      <c r="I2988" t="s">
        <v>408</v>
      </c>
      <c r="J2988" s="4">
        <v>6710</v>
      </c>
      <c r="K2988" s="5">
        <v>0.17272727272727273</v>
      </c>
      <c r="L2988" s="5">
        <v>4.068554396423249E-2</v>
      </c>
    </row>
    <row r="2989" spans="7:12">
      <c r="G2989" t="s">
        <v>3613</v>
      </c>
      <c r="H2989" t="s">
        <v>322</v>
      </c>
      <c r="I2989" t="s">
        <v>301</v>
      </c>
      <c r="J2989" s="4">
        <v>3231</v>
      </c>
      <c r="K2989" s="5">
        <v>0.17270194986072424</v>
      </c>
      <c r="L2989" s="5">
        <v>5.2615289384091608E-3</v>
      </c>
    </row>
    <row r="2990" spans="7:12">
      <c r="G2990" t="s">
        <v>3614</v>
      </c>
      <c r="H2990" t="s">
        <v>347</v>
      </c>
      <c r="I2990" t="s">
        <v>136</v>
      </c>
      <c r="J2990" s="4">
        <v>1164</v>
      </c>
      <c r="K2990" s="5">
        <v>0.17268041237113402</v>
      </c>
      <c r="L2990" s="5">
        <v>1.1168384879725086E-2</v>
      </c>
    </row>
    <row r="2991" spans="7:12">
      <c r="G2991" t="s">
        <v>3615</v>
      </c>
      <c r="H2991" t="s">
        <v>224</v>
      </c>
      <c r="I2991" t="s">
        <v>218</v>
      </c>
      <c r="J2991" s="4">
        <v>4461</v>
      </c>
      <c r="K2991" s="5">
        <v>0.17260703878054248</v>
      </c>
      <c r="L2991" s="5">
        <v>1.0759919300605245E-2</v>
      </c>
    </row>
    <row r="2992" spans="7:12">
      <c r="G2992" t="s">
        <v>3616</v>
      </c>
      <c r="H2992" t="s">
        <v>756</v>
      </c>
      <c r="I2992" t="s">
        <v>346</v>
      </c>
      <c r="J2992" s="4">
        <v>1095</v>
      </c>
      <c r="K2992" s="5">
        <v>0.17260273972602741</v>
      </c>
      <c r="L2992" s="5">
        <v>2.2831050228310501E-2</v>
      </c>
    </row>
    <row r="2993" spans="7:12">
      <c r="G2993" t="s">
        <v>3617</v>
      </c>
      <c r="H2993" t="s">
        <v>422</v>
      </c>
      <c r="I2993" t="s">
        <v>204</v>
      </c>
      <c r="J2993" s="4">
        <v>5053</v>
      </c>
      <c r="K2993" s="5">
        <v>0.17257075004947556</v>
      </c>
      <c r="L2993" s="5">
        <v>1.7811201266574313E-2</v>
      </c>
    </row>
    <row r="2994" spans="7:12">
      <c r="G2994" t="s">
        <v>3618</v>
      </c>
      <c r="H2994" t="s">
        <v>282</v>
      </c>
      <c r="I2994" t="s">
        <v>346</v>
      </c>
      <c r="J2994" s="4">
        <v>2243</v>
      </c>
      <c r="K2994" s="5">
        <v>0.17253678109674542</v>
      </c>
      <c r="L2994" s="5">
        <v>1.2929112795363353E-2</v>
      </c>
    </row>
    <row r="2995" spans="7:12">
      <c r="G2995" t="s">
        <v>3619</v>
      </c>
      <c r="H2995" t="s">
        <v>202</v>
      </c>
      <c r="I2995" t="s">
        <v>370</v>
      </c>
      <c r="J2995" s="4">
        <v>3240</v>
      </c>
      <c r="K2995" s="5">
        <v>0.17253086419753086</v>
      </c>
      <c r="L2995" s="5">
        <v>1.2345679012345678E-2</v>
      </c>
    </row>
    <row r="2996" spans="7:12">
      <c r="G2996" t="s">
        <v>3620</v>
      </c>
      <c r="H2996" t="s">
        <v>408</v>
      </c>
      <c r="I2996" t="s">
        <v>162</v>
      </c>
      <c r="J2996" s="4">
        <v>5774</v>
      </c>
      <c r="K2996" s="5">
        <v>0.17249740214755802</v>
      </c>
      <c r="L2996" s="5">
        <v>1.2642881884308971E-2</v>
      </c>
    </row>
    <row r="2997" spans="7:12">
      <c r="G2997" t="s">
        <v>3621</v>
      </c>
      <c r="H2997" t="s">
        <v>149</v>
      </c>
      <c r="I2997" t="s">
        <v>422</v>
      </c>
      <c r="J2997" s="4">
        <v>5360</v>
      </c>
      <c r="K2997" s="5">
        <v>0.17238805970149254</v>
      </c>
      <c r="L2997" s="5">
        <v>3.5074626865671643E-2</v>
      </c>
    </row>
    <row r="2998" spans="7:12">
      <c r="G2998" t="s">
        <v>3622</v>
      </c>
      <c r="H2998" t="s">
        <v>254</v>
      </c>
      <c r="I2998" t="s">
        <v>100</v>
      </c>
      <c r="J2998" s="4">
        <v>5656</v>
      </c>
      <c r="K2998" s="5">
        <v>0.17238330975954738</v>
      </c>
      <c r="L2998" s="5">
        <v>1.5381895332390382E-2</v>
      </c>
    </row>
    <row r="2999" spans="7:12">
      <c r="G2999" t="s">
        <v>3623</v>
      </c>
      <c r="H2999" t="s">
        <v>259</v>
      </c>
      <c r="I2999" t="s">
        <v>236</v>
      </c>
      <c r="J2999" s="4">
        <v>10537</v>
      </c>
      <c r="K2999" s="5">
        <v>0.1723450697541995</v>
      </c>
      <c r="L2999" s="5">
        <v>2.6667932048970295E-2</v>
      </c>
    </row>
    <row r="3000" spans="7:12">
      <c r="G3000" t="s">
        <v>3624</v>
      </c>
      <c r="H3000" t="s">
        <v>420</v>
      </c>
      <c r="I3000" t="s">
        <v>100</v>
      </c>
      <c r="J3000" s="4">
        <v>2971</v>
      </c>
      <c r="K3000" s="5">
        <v>0.17233254796364861</v>
      </c>
      <c r="L3000" s="5">
        <v>1.3463480309660047E-2</v>
      </c>
    </row>
    <row r="3001" spans="7:12">
      <c r="G3001" t="s">
        <v>3625</v>
      </c>
      <c r="H3001" t="s">
        <v>390</v>
      </c>
      <c r="I3001" t="s">
        <v>103</v>
      </c>
      <c r="J3001" s="4">
        <v>11096</v>
      </c>
      <c r="K3001" s="5">
        <v>0.17231434751261715</v>
      </c>
      <c r="L3001" s="5">
        <v>8.6517664023071372E-3</v>
      </c>
    </row>
    <row r="3002" spans="7:12">
      <c r="G3002" t="s">
        <v>3626</v>
      </c>
      <c r="H3002" t="s">
        <v>89</v>
      </c>
      <c r="I3002" t="s">
        <v>3320</v>
      </c>
      <c r="J3002" s="4">
        <v>3420</v>
      </c>
      <c r="K3002" s="5">
        <v>0.17222222222222222</v>
      </c>
      <c r="L3002" s="5">
        <v>2.6023391812865497E-2</v>
      </c>
    </row>
    <row r="3003" spans="7:12">
      <c r="G3003" t="s">
        <v>3627</v>
      </c>
      <c r="H3003" t="s">
        <v>461</v>
      </c>
      <c r="I3003" t="s">
        <v>100</v>
      </c>
      <c r="J3003" s="4">
        <v>2799</v>
      </c>
      <c r="K3003" s="5">
        <v>0.17220435869953554</v>
      </c>
      <c r="L3003" s="5">
        <v>7.8599499821364778E-3</v>
      </c>
    </row>
    <row r="3004" spans="7:12">
      <c r="G3004" t="s">
        <v>3628</v>
      </c>
      <c r="H3004" t="s">
        <v>301</v>
      </c>
      <c r="I3004" t="s">
        <v>140</v>
      </c>
      <c r="J3004" s="4">
        <v>1899</v>
      </c>
      <c r="K3004" s="5">
        <v>0.17219589257503951</v>
      </c>
      <c r="L3004" s="5">
        <v>3.7914691943127965E-2</v>
      </c>
    </row>
    <row r="3005" spans="7:12">
      <c r="G3005" t="s">
        <v>3629</v>
      </c>
      <c r="H3005" t="s">
        <v>218</v>
      </c>
      <c r="I3005" t="s">
        <v>497</v>
      </c>
      <c r="J3005" s="4">
        <v>2393</v>
      </c>
      <c r="K3005" s="5">
        <v>0.17216882574174677</v>
      </c>
      <c r="L3005" s="5">
        <v>8.3577099874634353E-3</v>
      </c>
    </row>
    <row r="3006" spans="7:12">
      <c r="G3006" t="s">
        <v>3630</v>
      </c>
      <c r="H3006" t="s">
        <v>100</v>
      </c>
      <c r="I3006" t="s">
        <v>172</v>
      </c>
      <c r="J3006" s="4">
        <v>1679</v>
      </c>
      <c r="K3006" s="5">
        <v>0.17212626563430614</v>
      </c>
      <c r="L3006" s="5">
        <v>4.764740917212627E-3</v>
      </c>
    </row>
    <row r="3007" spans="7:12">
      <c r="G3007" t="s">
        <v>3631</v>
      </c>
      <c r="H3007" t="s">
        <v>3158</v>
      </c>
      <c r="I3007" t="s">
        <v>103</v>
      </c>
      <c r="J3007" s="4">
        <v>1860</v>
      </c>
      <c r="K3007" s="5">
        <v>0.17204301075268819</v>
      </c>
      <c r="L3007" s="5">
        <v>2.7956989247311829E-2</v>
      </c>
    </row>
    <row r="3008" spans="7:12">
      <c r="G3008" t="s">
        <v>3632</v>
      </c>
      <c r="H3008" t="s">
        <v>374</v>
      </c>
      <c r="I3008" t="s">
        <v>326</v>
      </c>
      <c r="J3008" s="4">
        <v>5371</v>
      </c>
      <c r="K3008" s="5">
        <v>0.17203500279277603</v>
      </c>
      <c r="L3008" s="5">
        <v>3.3513312232358963E-3</v>
      </c>
    </row>
    <row r="3009" spans="7:12">
      <c r="G3009" t="s">
        <v>3633</v>
      </c>
      <c r="H3009" t="s">
        <v>103</v>
      </c>
      <c r="I3009" t="s">
        <v>521</v>
      </c>
      <c r="J3009" s="4">
        <v>1657</v>
      </c>
      <c r="K3009" s="5">
        <v>0.171997585998793</v>
      </c>
      <c r="L3009" s="5">
        <v>9.0525045262522634E-3</v>
      </c>
    </row>
    <row r="3010" spans="7:12">
      <c r="G3010" t="s">
        <v>3634</v>
      </c>
      <c r="H3010" t="s">
        <v>322</v>
      </c>
      <c r="I3010" t="s">
        <v>372</v>
      </c>
      <c r="J3010" s="4">
        <v>2442</v>
      </c>
      <c r="K3010" s="5">
        <v>0.171990171990172</v>
      </c>
      <c r="L3010" s="5">
        <v>7.7805077805077807E-3</v>
      </c>
    </row>
    <row r="3011" spans="7:12">
      <c r="G3011" t="s">
        <v>3635</v>
      </c>
      <c r="H3011" t="s">
        <v>346</v>
      </c>
      <c r="I3011" t="s">
        <v>297</v>
      </c>
      <c r="J3011" s="4">
        <v>1908</v>
      </c>
      <c r="K3011" s="5">
        <v>0.17190775681341719</v>
      </c>
      <c r="L3011" s="5">
        <v>1.781970649895178E-2</v>
      </c>
    </row>
    <row r="3012" spans="7:12">
      <c r="G3012" t="s">
        <v>3636</v>
      </c>
      <c r="H3012" t="s">
        <v>372</v>
      </c>
      <c r="I3012" t="s">
        <v>85</v>
      </c>
      <c r="J3012" s="4">
        <v>1280</v>
      </c>
      <c r="K3012" s="5">
        <v>0.171875</v>
      </c>
      <c r="L3012" s="5">
        <v>1.2500000000000001E-2</v>
      </c>
    </row>
    <row r="3013" spans="7:12">
      <c r="G3013" t="s">
        <v>3637</v>
      </c>
      <c r="H3013" t="s">
        <v>103</v>
      </c>
      <c r="I3013" t="s">
        <v>3224</v>
      </c>
      <c r="J3013" s="4">
        <v>2310</v>
      </c>
      <c r="K3013" s="5">
        <v>0.17186147186147185</v>
      </c>
      <c r="L3013" s="5">
        <v>1.8614718614718615E-2</v>
      </c>
    </row>
    <row r="3014" spans="7:12">
      <c r="G3014" t="s">
        <v>3638</v>
      </c>
      <c r="H3014" t="s">
        <v>346</v>
      </c>
      <c r="I3014" t="s">
        <v>416</v>
      </c>
      <c r="J3014" s="4">
        <v>1961</v>
      </c>
      <c r="K3014" s="5">
        <v>0.17185109637939827</v>
      </c>
      <c r="L3014" s="5">
        <v>1.0198878123406425E-2</v>
      </c>
    </row>
    <row r="3015" spans="7:12">
      <c r="G3015" t="s">
        <v>3639</v>
      </c>
      <c r="H3015" t="s">
        <v>470</v>
      </c>
      <c r="I3015" t="s">
        <v>87</v>
      </c>
      <c r="J3015" s="4">
        <v>1932</v>
      </c>
      <c r="K3015" s="5">
        <v>0.17184265010351968</v>
      </c>
      <c r="L3015" s="5">
        <v>6.2111801242236021E-3</v>
      </c>
    </row>
    <row r="3016" spans="7:12">
      <c r="G3016" t="s">
        <v>3640</v>
      </c>
      <c r="H3016" t="s">
        <v>497</v>
      </c>
      <c r="I3016" t="s">
        <v>103</v>
      </c>
      <c r="J3016" s="4">
        <v>7533</v>
      </c>
      <c r="K3016" s="5">
        <v>0.17177751227930441</v>
      </c>
      <c r="L3016" s="5">
        <v>7.9649542015133405E-3</v>
      </c>
    </row>
    <row r="3017" spans="7:12">
      <c r="G3017" t="s">
        <v>3641</v>
      </c>
      <c r="H3017" t="s">
        <v>368</v>
      </c>
      <c r="I3017" t="s">
        <v>233</v>
      </c>
      <c r="J3017" s="4">
        <v>1910</v>
      </c>
      <c r="K3017" s="5">
        <v>0.17172774869109947</v>
      </c>
      <c r="L3017" s="5">
        <v>7.3298429319371729E-3</v>
      </c>
    </row>
    <row r="3018" spans="7:12">
      <c r="G3018" t="s">
        <v>3642</v>
      </c>
      <c r="H3018" t="s">
        <v>434</v>
      </c>
      <c r="I3018" t="s">
        <v>326</v>
      </c>
      <c r="J3018" s="4">
        <v>9621</v>
      </c>
      <c r="K3018" s="5">
        <v>0.17170772268994908</v>
      </c>
      <c r="L3018" s="5">
        <v>3.8457540796175034E-3</v>
      </c>
    </row>
    <row r="3019" spans="7:12">
      <c r="G3019" t="s">
        <v>3643</v>
      </c>
      <c r="H3019" t="s">
        <v>463</v>
      </c>
      <c r="I3019" t="s">
        <v>370</v>
      </c>
      <c r="J3019" s="4">
        <v>1060</v>
      </c>
      <c r="K3019" s="5">
        <v>0.17169811320754716</v>
      </c>
      <c r="L3019" s="5">
        <v>4.7169811320754715E-3</v>
      </c>
    </row>
    <row r="3020" spans="7:12">
      <c r="G3020" t="s">
        <v>3644</v>
      </c>
      <c r="H3020" t="s">
        <v>354</v>
      </c>
      <c r="I3020" t="s">
        <v>100</v>
      </c>
      <c r="J3020" s="4">
        <v>3396</v>
      </c>
      <c r="K3020" s="5">
        <v>0.17167255594817432</v>
      </c>
      <c r="L3020" s="5">
        <v>9.1283863368669029E-3</v>
      </c>
    </row>
    <row r="3021" spans="7:12">
      <c r="G3021" t="s">
        <v>3645</v>
      </c>
      <c r="H3021" t="s">
        <v>368</v>
      </c>
      <c r="I3021" t="s">
        <v>100</v>
      </c>
      <c r="J3021" s="4">
        <v>7457</v>
      </c>
      <c r="K3021" s="5">
        <v>0.17165079790800591</v>
      </c>
      <c r="L3021" s="5">
        <v>1.6494568861472443E-2</v>
      </c>
    </row>
    <row r="3022" spans="7:12">
      <c r="G3022" t="s">
        <v>3646</v>
      </c>
      <c r="H3022" t="s">
        <v>218</v>
      </c>
      <c r="I3022" t="s">
        <v>368</v>
      </c>
      <c r="J3022" s="4">
        <v>4300</v>
      </c>
      <c r="K3022" s="5">
        <v>0.17162790697674418</v>
      </c>
      <c r="L3022" s="5">
        <v>7.9069767441860457E-3</v>
      </c>
    </row>
    <row r="3023" spans="7:12">
      <c r="G3023" t="s">
        <v>3647</v>
      </c>
      <c r="H3023" t="s">
        <v>282</v>
      </c>
      <c r="I3023" t="s">
        <v>115</v>
      </c>
      <c r="J3023" s="4">
        <v>4231</v>
      </c>
      <c r="K3023" s="5">
        <v>0.17159064051051762</v>
      </c>
      <c r="L3023" s="5">
        <v>1.2290238714251949E-2</v>
      </c>
    </row>
    <row r="3024" spans="7:12">
      <c r="G3024" t="s">
        <v>3648</v>
      </c>
      <c r="H3024" t="s">
        <v>226</v>
      </c>
      <c r="I3024" t="s">
        <v>137</v>
      </c>
      <c r="J3024" s="4">
        <v>4575</v>
      </c>
      <c r="K3024" s="5">
        <v>0.17158469945355193</v>
      </c>
      <c r="L3024" s="5">
        <v>8.3060109289617486E-3</v>
      </c>
    </row>
    <row r="3025" spans="7:12">
      <c r="G3025" t="s">
        <v>3649</v>
      </c>
      <c r="H3025" t="s">
        <v>100</v>
      </c>
      <c r="I3025" t="s">
        <v>3650</v>
      </c>
      <c r="J3025" s="4">
        <v>1026</v>
      </c>
      <c r="K3025" s="5">
        <v>0.17153996101364521</v>
      </c>
      <c r="L3025" s="5">
        <v>1.1695906432748537E-2</v>
      </c>
    </row>
    <row r="3026" spans="7:12">
      <c r="G3026" t="s">
        <v>3651</v>
      </c>
      <c r="H3026" t="s">
        <v>218</v>
      </c>
      <c r="I3026" t="s">
        <v>422</v>
      </c>
      <c r="J3026" s="4">
        <v>8422</v>
      </c>
      <c r="K3026" s="5">
        <v>0.17145571123248635</v>
      </c>
      <c r="L3026" s="5">
        <v>9.4989313702208509E-3</v>
      </c>
    </row>
    <row r="3027" spans="7:12">
      <c r="G3027" t="s">
        <v>3652</v>
      </c>
      <c r="H3027" t="s">
        <v>103</v>
      </c>
      <c r="I3027" t="s">
        <v>3653</v>
      </c>
      <c r="J3027" s="4">
        <v>1785</v>
      </c>
      <c r="K3027" s="5">
        <v>0.17142857142857143</v>
      </c>
      <c r="L3027" s="5">
        <v>1.1764705882352941E-2</v>
      </c>
    </row>
    <row r="3028" spans="7:12">
      <c r="G3028" t="s">
        <v>3654</v>
      </c>
      <c r="H3028" t="s">
        <v>149</v>
      </c>
      <c r="I3028" t="s">
        <v>100</v>
      </c>
      <c r="J3028" s="4">
        <v>9238</v>
      </c>
      <c r="K3028" s="5">
        <v>0.1713574366746049</v>
      </c>
      <c r="L3028" s="5">
        <v>1.9809482571985278E-2</v>
      </c>
    </row>
    <row r="3029" spans="7:12">
      <c r="G3029" t="s">
        <v>3655</v>
      </c>
      <c r="H3029" t="s">
        <v>398</v>
      </c>
      <c r="I3029" t="s">
        <v>404</v>
      </c>
      <c r="J3029" s="4">
        <v>1640</v>
      </c>
      <c r="K3029" s="5">
        <v>0.17134146341463416</v>
      </c>
      <c r="L3029" s="5">
        <v>1.8292682926829269E-3</v>
      </c>
    </row>
    <row r="3030" spans="7:12">
      <c r="G3030" t="s">
        <v>3656</v>
      </c>
      <c r="H3030" t="s">
        <v>388</v>
      </c>
      <c r="I3030" t="s">
        <v>136</v>
      </c>
      <c r="J3030" s="4">
        <v>1821</v>
      </c>
      <c r="K3030" s="5">
        <v>0.17133443163097201</v>
      </c>
      <c r="L3030" s="5">
        <v>9.335529928610654E-3</v>
      </c>
    </row>
    <row r="3031" spans="7:12">
      <c r="G3031" t="s">
        <v>3657</v>
      </c>
      <c r="H3031" t="s">
        <v>360</v>
      </c>
      <c r="I3031" t="s">
        <v>326</v>
      </c>
      <c r="J3031" s="4">
        <v>4134</v>
      </c>
      <c r="K3031" s="5">
        <v>0.17126269956458637</v>
      </c>
      <c r="L3031" s="5">
        <v>6.5312046444121917E-3</v>
      </c>
    </row>
    <row r="3032" spans="7:12">
      <c r="G3032" t="s">
        <v>3658</v>
      </c>
      <c r="H3032" t="s">
        <v>372</v>
      </c>
      <c r="I3032" t="s">
        <v>136</v>
      </c>
      <c r="J3032" s="4">
        <v>1992</v>
      </c>
      <c r="K3032" s="5">
        <v>0.17118473895582328</v>
      </c>
      <c r="L3032" s="5">
        <v>1.2550200803212851E-2</v>
      </c>
    </row>
    <row r="3033" spans="7:12">
      <c r="G3033" t="s">
        <v>3659</v>
      </c>
      <c r="H3033" t="s">
        <v>356</v>
      </c>
      <c r="I3033" t="s">
        <v>160</v>
      </c>
      <c r="J3033" s="4">
        <v>1221</v>
      </c>
      <c r="K3033" s="5">
        <v>0.17117117117117117</v>
      </c>
      <c r="L3033" s="5">
        <v>9.8280098280098278E-3</v>
      </c>
    </row>
    <row r="3034" spans="7:12">
      <c r="G3034" t="s">
        <v>3660</v>
      </c>
      <c r="H3034" t="s">
        <v>215</v>
      </c>
      <c r="I3034" t="s">
        <v>412</v>
      </c>
      <c r="J3034" s="4">
        <v>2670</v>
      </c>
      <c r="K3034" s="5">
        <v>0.17116104868913859</v>
      </c>
      <c r="L3034" s="5">
        <v>6.3670411985018724E-3</v>
      </c>
    </row>
    <row r="3035" spans="7:12">
      <c r="G3035" t="s">
        <v>3661</v>
      </c>
      <c r="H3035" t="s">
        <v>204</v>
      </c>
      <c r="I3035" t="s">
        <v>134</v>
      </c>
      <c r="J3035" s="4">
        <v>6894</v>
      </c>
      <c r="K3035" s="5">
        <v>0.17101827676240208</v>
      </c>
      <c r="L3035" s="5">
        <v>1.5665796344647518E-2</v>
      </c>
    </row>
    <row r="3036" spans="7:12">
      <c r="G3036" t="s">
        <v>3662</v>
      </c>
      <c r="H3036" t="s">
        <v>123</v>
      </c>
      <c r="I3036" t="s">
        <v>377</v>
      </c>
      <c r="J3036" s="4">
        <v>1094</v>
      </c>
      <c r="K3036" s="5">
        <v>0.17093235831809872</v>
      </c>
      <c r="L3036" s="5">
        <v>8.2266910420475316E-3</v>
      </c>
    </row>
    <row r="3037" spans="7:12">
      <c r="G3037" t="s">
        <v>3663</v>
      </c>
      <c r="H3037" t="s">
        <v>503</v>
      </c>
      <c r="I3037" t="s">
        <v>103</v>
      </c>
      <c r="J3037" s="4">
        <v>3212</v>
      </c>
      <c r="K3037" s="5">
        <v>0.17092154420921543</v>
      </c>
      <c r="L3037" s="5">
        <v>8.0946450809464502E-3</v>
      </c>
    </row>
    <row r="3038" spans="7:12">
      <c r="G3038" t="s">
        <v>3664</v>
      </c>
      <c r="H3038" t="s">
        <v>89</v>
      </c>
      <c r="I3038" t="s">
        <v>3528</v>
      </c>
      <c r="J3038" s="4">
        <v>2177</v>
      </c>
      <c r="K3038" s="5">
        <v>0.17087735415709693</v>
      </c>
      <c r="L3038" s="5">
        <v>2.8938906752411574E-2</v>
      </c>
    </row>
    <row r="3039" spans="7:12">
      <c r="G3039" t="s">
        <v>3665</v>
      </c>
      <c r="H3039" t="s">
        <v>374</v>
      </c>
      <c r="I3039" t="s">
        <v>268</v>
      </c>
      <c r="J3039" s="4">
        <v>3974</v>
      </c>
      <c r="K3039" s="5">
        <v>0.17086059386009059</v>
      </c>
      <c r="L3039" s="5">
        <v>8.0523402113739304E-3</v>
      </c>
    </row>
    <row r="3040" spans="7:12">
      <c r="G3040" t="s">
        <v>3666</v>
      </c>
      <c r="H3040" t="s">
        <v>507</v>
      </c>
      <c r="I3040" t="s">
        <v>103</v>
      </c>
      <c r="J3040" s="4">
        <v>5803</v>
      </c>
      <c r="K3040" s="5">
        <v>0.17077373772186799</v>
      </c>
      <c r="L3040" s="5">
        <v>7.4099603653282782E-3</v>
      </c>
    </row>
    <row r="3041" spans="7:12">
      <c r="G3041" t="s">
        <v>3667</v>
      </c>
      <c r="H3041" t="s">
        <v>340</v>
      </c>
      <c r="I3041" t="s">
        <v>103</v>
      </c>
      <c r="J3041" s="4">
        <v>2806</v>
      </c>
      <c r="K3041" s="5">
        <v>0.1707056307911618</v>
      </c>
      <c r="L3041" s="5">
        <v>6.4148253741981472E-3</v>
      </c>
    </row>
    <row r="3042" spans="7:12">
      <c r="G3042" t="s">
        <v>3668</v>
      </c>
      <c r="H3042" t="s">
        <v>390</v>
      </c>
      <c r="I3042" t="s">
        <v>160</v>
      </c>
      <c r="J3042" s="4">
        <v>1102</v>
      </c>
      <c r="K3042" s="5">
        <v>0.1705989110707804</v>
      </c>
      <c r="L3042" s="5">
        <v>8.1669691470054439E-3</v>
      </c>
    </row>
    <row r="3043" spans="7:12">
      <c r="G3043" t="s">
        <v>3669</v>
      </c>
      <c r="H3043" t="s">
        <v>461</v>
      </c>
      <c r="I3043" t="s">
        <v>370</v>
      </c>
      <c r="J3043" s="4">
        <v>13014</v>
      </c>
      <c r="K3043" s="5">
        <v>0.17058552328261872</v>
      </c>
      <c r="L3043" s="5">
        <v>4.7641001997848469E-3</v>
      </c>
    </row>
    <row r="3044" spans="7:12">
      <c r="G3044" t="s">
        <v>3670</v>
      </c>
      <c r="H3044" t="s">
        <v>352</v>
      </c>
      <c r="I3044" t="s">
        <v>259</v>
      </c>
      <c r="J3044" s="4">
        <v>5956</v>
      </c>
      <c r="K3044" s="5">
        <v>0.17058428475486903</v>
      </c>
      <c r="L3044" s="5">
        <v>2.9214237743451981E-2</v>
      </c>
    </row>
    <row r="3045" spans="7:12">
      <c r="G3045" t="s">
        <v>3671</v>
      </c>
      <c r="H3045" t="s">
        <v>218</v>
      </c>
      <c r="I3045" t="s">
        <v>303</v>
      </c>
      <c r="J3045" s="4">
        <v>2293</v>
      </c>
      <c r="K3045" s="5">
        <v>0.17051897078063671</v>
      </c>
      <c r="L3045" s="5">
        <v>6.1055385957261227E-3</v>
      </c>
    </row>
    <row r="3046" spans="7:12">
      <c r="G3046" t="s">
        <v>3672</v>
      </c>
      <c r="H3046" t="s">
        <v>89</v>
      </c>
      <c r="I3046" t="s">
        <v>2322</v>
      </c>
      <c r="J3046" s="4">
        <v>3255</v>
      </c>
      <c r="K3046" s="5">
        <v>0.17050691244239632</v>
      </c>
      <c r="L3046" s="5">
        <v>3.1029185867895544E-2</v>
      </c>
    </row>
    <row r="3047" spans="7:12">
      <c r="G3047" t="s">
        <v>3673</v>
      </c>
      <c r="H3047" t="s">
        <v>326</v>
      </c>
      <c r="I3047" t="s">
        <v>432</v>
      </c>
      <c r="J3047" s="4">
        <v>1097</v>
      </c>
      <c r="K3047" s="5">
        <v>0.17046490428441202</v>
      </c>
      <c r="L3047" s="5">
        <v>3.6463081130355514E-3</v>
      </c>
    </row>
    <row r="3048" spans="7:12">
      <c r="G3048" t="s">
        <v>3674</v>
      </c>
      <c r="H3048" t="s">
        <v>218</v>
      </c>
      <c r="I3048" t="s">
        <v>299</v>
      </c>
      <c r="J3048" s="4">
        <v>4156</v>
      </c>
      <c r="K3048" s="5">
        <v>0.17035611164581327</v>
      </c>
      <c r="L3048" s="5">
        <v>1.0105871029836381E-2</v>
      </c>
    </row>
    <row r="3049" spans="7:12">
      <c r="G3049" t="s">
        <v>3675</v>
      </c>
      <c r="H3049" t="s">
        <v>221</v>
      </c>
      <c r="I3049" t="s">
        <v>352</v>
      </c>
      <c r="J3049" s="4">
        <v>1180</v>
      </c>
      <c r="K3049" s="5">
        <v>0.17033898305084746</v>
      </c>
      <c r="L3049" s="5">
        <v>5.9322033898305086E-3</v>
      </c>
    </row>
    <row r="3050" spans="7:12">
      <c r="G3050" t="s">
        <v>3676</v>
      </c>
      <c r="H3050" t="s">
        <v>362</v>
      </c>
      <c r="I3050" t="s">
        <v>103</v>
      </c>
      <c r="J3050" s="4">
        <v>7417</v>
      </c>
      <c r="K3050" s="5">
        <v>0.17028448159633275</v>
      </c>
      <c r="L3050" s="5">
        <v>7.4153970608062557E-3</v>
      </c>
    </row>
    <row r="3051" spans="7:12">
      <c r="G3051" t="s">
        <v>3677</v>
      </c>
      <c r="H3051" t="s">
        <v>149</v>
      </c>
      <c r="I3051" t="s">
        <v>172</v>
      </c>
      <c r="J3051" s="4">
        <v>1615</v>
      </c>
      <c r="K3051" s="5">
        <v>0.17027863777089783</v>
      </c>
      <c r="L3051" s="5">
        <v>3.0959752321981426E-3</v>
      </c>
    </row>
    <row r="3052" spans="7:12">
      <c r="G3052" t="s">
        <v>3678</v>
      </c>
      <c r="H3052" t="s">
        <v>455</v>
      </c>
      <c r="I3052" t="s">
        <v>215</v>
      </c>
      <c r="J3052" s="4">
        <v>12454</v>
      </c>
      <c r="K3052" s="5">
        <v>0.17022643327444997</v>
      </c>
      <c r="L3052" s="5">
        <v>3.4527059579251645E-3</v>
      </c>
    </row>
    <row r="3053" spans="7:12">
      <c r="G3053" t="s">
        <v>3679</v>
      </c>
      <c r="H3053" t="s">
        <v>513</v>
      </c>
      <c r="I3053" t="s">
        <v>3680</v>
      </c>
      <c r="J3053" s="4">
        <v>1087</v>
      </c>
      <c r="K3053" s="5">
        <v>0.17019319227230911</v>
      </c>
      <c r="L3053" s="5">
        <v>7.3597056117755289E-3</v>
      </c>
    </row>
    <row r="3054" spans="7:12">
      <c r="G3054" t="s">
        <v>3681</v>
      </c>
      <c r="H3054" t="s">
        <v>259</v>
      </c>
      <c r="I3054" t="s">
        <v>372</v>
      </c>
      <c r="J3054" s="4">
        <v>4043</v>
      </c>
      <c r="K3054" s="5">
        <v>0.17017066534751421</v>
      </c>
      <c r="L3054" s="5">
        <v>3.4627751669552315E-2</v>
      </c>
    </row>
    <row r="3055" spans="7:12">
      <c r="G3055" t="s">
        <v>3682</v>
      </c>
      <c r="H3055" t="s">
        <v>422</v>
      </c>
      <c r="I3055" t="s">
        <v>226</v>
      </c>
      <c r="J3055" s="4">
        <v>1634</v>
      </c>
      <c r="K3055" s="5">
        <v>0.1701346389228886</v>
      </c>
      <c r="L3055" s="5">
        <v>7.3439412484700125E-3</v>
      </c>
    </row>
    <row r="3056" spans="7:12">
      <c r="G3056" t="s">
        <v>3683</v>
      </c>
      <c r="H3056" t="s">
        <v>319</v>
      </c>
      <c r="I3056" t="s">
        <v>218</v>
      </c>
      <c r="J3056" s="4">
        <v>3033</v>
      </c>
      <c r="K3056" s="5">
        <v>0.17012858555885263</v>
      </c>
      <c r="L3056" s="5">
        <v>1.2199142762940983E-2</v>
      </c>
    </row>
    <row r="3057" spans="7:12">
      <c r="G3057" t="s">
        <v>3684</v>
      </c>
      <c r="H3057" t="s">
        <v>521</v>
      </c>
      <c r="I3057" t="s">
        <v>103</v>
      </c>
      <c r="J3057" s="4">
        <v>1658</v>
      </c>
      <c r="K3057" s="5">
        <v>0.17008443908323281</v>
      </c>
      <c r="L3057" s="5">
        <v>1.3872135102533172E-2</v>
      </c>
    </row>
    <row r="3058" spans="7:12">
      <c r="G3058" t="s">
        <v>3685</v>
      </c>
      <c r="H3058" t="s">
        <v>254</v>
      </c>
      <c r="I3058" t="s">
        <v>402</v>
      </c>
      <c r="J3058" s="4">
        <v>1229</v>
      </c>
      <c r="K3058" s="5">
        <v>0.17005695687550854</v>
      </c>
      <c r="L3058" s="5">
        <v>1.5459723352318959E-2</v>
      </c>
    </row>
    <row r="3059" spans="7:12">
      <c r="G3059" t="s">
        <v>3686</v>
      </c>
      <c r="H3059" t="s">
        <v>182</v>
      </c>
      <c r="I3059" t="s">
        <v>449</v>
      </c>
      <c r="J3059" s="4">
        <v>5029</v>
      </c>
      <c r="K3059" s="5">
        <v>0.17001391926824419</v>
      </c>
      <c r="L3059" s="5">
        <v>1.5708888447007359E-2</v>
      </c>
    </row>
    <row r="3060" spans="7:12">
      <c r="G3060" t="s">
        <v>3687</v>
      </c>
      <c r="H3060" t="s">
        <v>89</v>
      </c>
      <c r="I3060" t="s">
        <v>2859</v>
      </c>
      <c r="J3060" s="4">
        <v>3241</v>
      </c>
      <c r="K3060" s="5">
        <v>0.17000925640234496</v>
      </c>
      <c r="L3060" s="5">
        <v>3.3323048441838941E-2</v>
      </c>
    </row>
    <row r="3061" spans="7:12">
      <c r="G3061" t="s">
        <v>3688</v>
      </c>
      <c r="H3061" t="s">
        <v>218</v>
      </c>
      <c r="I3061" t="s">
        <v>169</v>
      </c>
      <c r="J3061" s="4">
        <v>3494</v>
      </c>
      <c r="K3061" s="5">
        <v>0.17000572409845449</v>
      </c>
      <c r="L3061" s="5">
        <v>8.0137378362907848E-3</v>
      </c>
    </row>
    <row r="3062" spans="7:12">
      <c r="G3062" t="s">
        <v>3689</v>
      </c>
      <c r="H3062" t="s">
        <v>252</v>
      </c>
      <c r="I3062" t="s">
        <v>370</v>
      </c>
      <c r="J3062" s="4">
        <v>2165</v>
      </c>
      <c r="K3062" s="5">
        <v>0.16997690531177828</v>
      </c>
      <c r="L3062" s="5">
        <v>4.1570438799076216E-3</v>
      </c>
    </row>
    <row r="3063" spans="7:12">
      <c r="G3063" t="s">
        <v>3690</v>
      </c>
      <c r="H3063" t="s">
        <v>291</v>
      </c>
      <c r="I3063" t="s">
        <v>134</v>
      </c>
      <c r="J3063" s="4">
        <v>1059</v>
      </c>
      <c r="K3063" s="5">
        <v>0.16997167138810199</v>
      </c>
      <c r="L3063" s="5">
        <v>1.1331444759206799E-2</v>
      </c>
    </row>
    <row r="3064" spans="7:12">
      <c r="G3064" t="s">
        <v>3691</v>
      </c>
      <c r="H3064" t="s">
        <v>226</v>
      </c>
      <c r="I3064" t="s">
        <v>134</v>
      </c>
      <c r="J3064" s="4">
        <v>9714</v>
      </c>
      <c r="K3064" s="5">
        <v>0.16996088120238831</v>
      </c>
      <c r="L3064" s="5">
        <v>1.0809141445336628E-2</v>
      </c>
    </row>
    <row r="3065" spans="7:12">
      <c r="G3065" t="s">
        <v>3692</v>
      </c>
      <c r="H3065" t="s">
        <v>377</v>
      </c>
      <c r="I3065" t="s">
        <v>207</v>
      </c>
      <c r="J3065" s="4">
        <v>2695</v>
      </c>
      <c r="K3065" s="5">
        <v>0.16994434137291281</v>
      </c>
      <c r="L3065" s="5">
        <v>1.0018552875695733E-2</v>
      </c>
    </row>
    <row r="3066" spans="7:12">
      <c r="G3066" t="s">
        <v>3693</v>
      </c>
      <c r="H3066" t="s">
        <v>131</v>
      </c>
      <c r="I3066" t="s">
        <v>382</v>
      </c>
      <c r="J3066" s="4">
        <v>1095</v>
      </c>
      <c r="K3066" s="5">
        <v>0.16986301369863013</v>
      </c>
      <c r="L3066" s="5">
        <v>4.5662100456621002E-3</v>
      </c>
    </row>
    <row r="3067" spans="7:12">
      <c r="G3067" t="s">
        <v>3694</v>
      </c>
      <c r="H3067" t="s">
        <v>282</v>
      </c>
      <c r="I3067" t="s">
        <v>322</v>
      </c>
      <c r="J3067" s="4">
        <v>1619</v>
      </c>
      <c r="K3067" s="5">
        <v>0.169857936998147</v>
      </c>
      <c r="L3067" s="5">
        <v>1.2353304508956145E-2</v>
      </c>
    </row>
    <row r="3068" spans="7:12">
      <c r="G3068" t="s">
        <v>3695</v>
      </c>
      <c r="H3068" t="s">
        <v>268</v>
      </c>
      <c r="I3068" t="s">
        <v>218</v>
      </c>
      <c r="J3068" s="4">
        <v>9361</v>
      </c>
      <c r="K3068" s="5">
        <v>0.16985364811451767</v>
      </c>
      <c r="L3068" s="5">
        <v>9.8280098280098278E-3</v>
      </c>
    </row>
    <row r="3069" spans="7:12">
      <c r="G3069" t="s">
        <v>3696</v>
      </c>
      <c r="H3069" t="s">
        <v>226</v>
      </c>
      <c r="I3069" t="s">
        <v>352</v>
      </c>
      <c r="J3069" s="4">
        <v>1178</v>
      </c>
      <c r="K3069" s="5">
        <v>0.1697792869269949</v>
      </c>
      <c r="L3069" s="5">
        <v>9.3378607809847195E-3</v>
      </c>
    </row>
    <row r="3070" spans="7:12">
      <c r="G3070" t="s">
        <v>3697</v>
      </c>
      <c r="H3070" t="s">
        <v>326</v>
      </c>
      <c r="I3070" t="s">
        <v>451</v>
      </c>
      <c r="J3070" s="4">
        <v>7771</v>
      </c>
      <c r="K3070" s="5">
        <v>0.16973362501608544</v>
      </c>
      <c r="L3070" s="5">
        <v>4.8899755501222494E-3</v>
      </c>
    </row>
    <row r="3071" spans="7:12">
      <c r="G3071" t="s">
        <v>3698</v>
      </c>
      <c r="H3071" t="s">
        <v>354</v>
      </c>
      <c r="I3071" t="s">
        <v>89</v>
      </c>
      <c r="J3071" s="4">
        <v>1096</v>
      </c>
      <c r="K3071" s="5">
        <v>0.16970802919708028</v>
      </c>
      <c r="L3071" s="5">
        <v>1.2773722627737226E-2</v>
      </c>
    </row>
    <row r="3072" spans="7:12">
      <c r="G3072" t="s">
        <v>3699</v>
      </c>
      <c r="H3072" t="s">
        <v>288</v>
      </c>
      <c r="I3072" t="s">
        <v>136</v>
      </c>
      <c r="J3072" s="4">
        <v>2428</v>
      </c>
      <c r="K3072" s="5">
        <v>0.16968698517298189</v>
      </c>
      <c r="L3072" s="5">
        <v>1.400329489291598E-2</v>
      </c>
    </row>
    <row r="3073" spans="7:12">
      <c r="G3073" t="s">
        <v>3700</v>
      </c>
      <c r="H3073" t="s">
        <v>197</v>
      </c>
      <c r="I3073" t="s">
        <v>377</v>
      </c>
      <c r="J3073" s="4">
        <v>3997</v>
      </c>
      <c r="K3073" s="5">
        <v>0.16962722041531147</v>
      </c>
      <c r="L3073" s="5">
        <v>1.0507880910683012E-2</v>
      </c>
    </row>
    <row r="3074" spans="7:12">
      <c r="G3074" t="s">
        <v>3701</v>
      </c>
      <c r="H3074" t="s">
        <v>495</v>
      </c>
      <c r="I3074" t="s">
        <v>489</v>
      </c>
      <c r="J3074" s="4">
        <v>3720</v>
      </c>
      <c r="K3074" s="5">
        <v>0.16962365591397849</v>
      </c>
      <c r="L3074" s="5">
        <v>4.8387096774193551E-3</v>
      </c>
    </row>
    <row r="3075" spans="7:12">
      <c r="G3075" t="s">
        <v>3702</v>
      </c>
      <c r="H3075" t="s">
        <v>89</v>
      </c>
      <c r="I3075" t="s">
        <v>3091</v>
      </c>
      <c r="J3075" s="4">
        <v>3427</v>
      </c>
      <c r="K3075" s="5">
        <v>0.16953603735045228</v>
      </c>
      <c r="L3075" s="5">
        <v>2.6845637583892617E-2</v>
      </c>
    </row>
    <row r="3076" spans="7:12">
      <c r="G3076" t="s">
        <v>3703</v>
      </c>
      <c r="H3076" t="s">
        <v>129</v>
      </c>
      <c r="I3076" t="s">
        <v>218</v>
      </c>
      <c r="J3076" s="4">
        <v>4414</v>
      </c>
      <c r="K3076" s="5">
        <v>0.16946080652469417</v>
      </c>
      <c r="L3076" s="5">
        <v>1.3140009062075216E-2</v>
      </c>
    </row>
    <row r="3077" spans="7:12">
      <c r="G3077" t="s">
        <v>3704</v>
      </c>
      <c r="H3077" t="s">
        <v>218</v>
      </c>
      <c r="I3077" t="s">
        <v>331</v>
      </c>
      <c r="J3077" s="4">
        <v>8491</v>
      </c>
      <c r="K3077" s="5">
        <v>0.16935578848192204</v>
      </c>
      <c r="L3077" s="5">
        <v>1.059945824991167E-2</v>
      </c>
    </row>
    <row r="3078" spans="7:12">
      <c r="G3078" t="s">
        <v>3705</v>
      </c>
      <c r="H3078" t="s">
        <v>370</v>
      </c>
      <c r="I3078" t="s">
        <v>233</v>
      </c>
      <c r="J3078" s="4">
        <v>6366</v>
      </c>
      <c r="K3078" s="5">
        <v>0.16933710336160854</v>
      </c>
      <c r="L3078" s="5">
        <v>7.2258875274897891E-3</v>
      </c>
    </row>
    <row r="3079" spans="7:12">
      <c r="G3079" t="s">
        <v>3706</v>
      </c>
      <c r="H3079" t="s">
        <v>226</v>
      </c>
      <c r="I3079" t="s">
        <v>497</v>
      </c>
      <c r="J3079" s="4">
        <v>2788</v>
      </c>
      <c r="K3079" s="5">
        <v>0.16929698708751795</v>
      </c>
      <c r="L3079" s="5">
        <v>5.3802008608321381E-3</v>
      </c>
    </row>
    <row r="3080" spans="7:12">
      <c r="G3080" t="s">
        <v>3707</v>
      </c>
      <c r="H3080" t="s">
        <v>445</v>
      </c>
      <c r="I3080" t="s">
        <v>204</v>
      </c>
      <c r="J3080" s="4">
        <v>1099</v>
      </c>
      <c r="K3080" s="5">
        <v>0.16924476797088261</v>
      </c>
      <c r="L3080" s="5">
        <v>2.6387625113739762E-2</v>
      </c>
    </row>
    <row r="3081" spans="7:12">
      <c r="G3081" t="s">
        <v>3708</v>
      </c>
      <c r="H3081" t="s">
        <v>3709</v>
      </c>
      <c r="I3081" t="s">
        <v>149</v>
      </c>
      <c r="J3081" s="4">
        <v>1229</v>
      </c>
      <c r="K3081" s="5">
        <v>0.16924328722538648</v>
      </c>
      <c r="L3081" s="5">
        <v>4.0683482506102521E-2</v>
      </c>
    </row>
    <row r="3082" spans="7:12">
      <c r="G3082" t="s">
        <v>3710</v>
      </c>
      <c r="H3082" t="s">
        <v>326</v>
      </c>
      <c r="I3082" t="s">
        <v>215</v>
      </c>
      <c r="J3082" s="4">
        <v>21498</v>
      </c>
      <c r="K3082" s="5">
        <v>0.16922504419015721</v>
      </c>
      <c r="L3082" s="5">
        <v>5.7214624616243369E-3</v>
      </c>
    </row>
    <row r="3083" spans="7:12">
      <c r="G3083" t="s">
        <v>3711</v>
      </c>
      <c r="H3083" t="s">
        <v>503</v>
      </c>
      <c r="I3083" t="s">
        <v>189</v>
      </c>
      <c r="J3083" s="4">
        <v>1761</v>
      </c>
      <c r="K3083" s="5">
        <v>0.16922203293583191</v>
      </c>
      <c r="L3083" s="5">
        <v>5.1107325383304937E-3</v>
      </c>
    </row>
    <row r="3084" spans="7:12">
      <c r="G3084" t="s">
        <v>3712</v>
      </c>
      <c r="H3084" t="s">
        <v>259</v>
      </c>
      <c r="I3084" t="s">
        <v>269</v>
      </c>
      <c r="J3084" s="4">
        <v>6318</v>
      </c>
      <c r="K3084" s="5">
        <v>0.16919911364355808</v>
      </c>
      <c r="L3084" s="5">
        <v>4.0835707502374169E-2</v>
      </c>
    </row>
    <row r="3085" spans="7:12">
      <c r="G3085" t="s">
        <v>3713</v>
      </c>
      <c r="H3085" t="s">
        <v>422</v>
      </c>
      <c r="I3085" t="s">
        <v>136</v>
      </c>
      <c r="J3085" s="4">
        <v>3765</v>
      </c>
      <c r="K3085" s="5">
        <v>0.16918990703851261</v>
      </c>
      <c r="L3085" s="5">
        <v>1.1155378486055778E-2</v>
      </c>
    </row>
    <row r="3086" spans="7:12">
      <c r="G3086" t="s">
        <v>3714</v>
      </c>
      <c r="H3086" t="s">
        <v>377</v>
      </c>
      <c r="I3086" t="s">
        <v>136</v>
      </c>
      <c r="J3086" s="4">
        <v>8970</v>
      </c>
      <c r="K3086" s="5">
        <v>0.16911928651059085</v>
      </c>
      <c r="L3086" s="5">
        <v>1.3377926421404682E-2</v>
      </c>
    </row>
    <row r="3087" spans="7:12">
      <c r="G3087" t="s">
        <v>3715</v>
      </c>
      <c r="H3087" t="s">
        <v>418</v>
      </c>
      <c r="I3087" t="s">
        <v>89</v>
      </c>
      <c r="J3087" s="4">
        <v>2183</v>
      </c>
      <c r="K3087" s="5">
        <v>0.1690334402198809</v>
      </c>
      <c r="L3087" s="5">
        <v>1.9697663765460376E-2</v>
      </c>
    </row>
    <row r="3088" spans="7:12">
      <c r="G3088" t="s">
        <v>3716</v>
      </c>
      <c r="H3088" t="s">
        <v>377</v>
      </c>
      <c r="I3088" t="s">
        <v>80</v>
      </c>
      <c r="J3088" s="4">
        <v>2124</v>
      </c>
      <c r="K3088" s="5">
        <v>0.16902071563088511</v>
      </c>
      <c r="L3088" s="5">
        <v>8.9453860640301315E-3</v>
      </c>
    </row>
    <row r="3089" spans="7:12">
      <c r="G3089" t="s">
        <v>3717</v>
      </c>
      <c r="H3089" t="s">
        <v>377</v>
      </c>
      <c r="I3089" t="s">
        <v>131</v>
      </c>
      <c r="J3089" s="4">
        <v>7893</v>
      </c>
      <c r="K3089" s="5">
        <v>0.16901051564677563</v>
      </c>
      <c r="L3089" s="5">
        <v>8.2351450652476885E-3</v>
      </c>
    </row>
    <row r="3090" spans="7:12">
      <c r="G3090" t="s">
        <v>3718</v>
      </c>
      <c r="H3090" t="s">
        <v>254</v>
      </c>
      <c r="I3090" t="s">
        <v>322</v>
      </c>
      <c r="J3090" s="4">
        <v>5551</v>
      </c>
      <c r="K3090" s="5">
        <v>0.16897856242118536</v>
      </c>
      <c r="L3090" s="5">
        <v>1.405152224824356E-2</v>
      </c>
    </row>
    <row r="3091" spans="7:12">
      <c r="G3091" t="s">
        <v>3719</v>
      </c>
      <c r="H3091" t="s">
        <v>377</v>
      </c>
      <c r="I3091" t="s">
        <v>455</v>
      </c>
      <c r="J3091" s="4">
        <v>1669</v>
      </c>
      <c r="K3091" s="5">
        <v>0.16896345116836428</v>
      </c>
      <c r="L3091" s="5">
        <v>4.793289394847214E-3</v>
      </c>
    </row>
    <row r="3092" spans="7:12">
      <c r="G3092" t="s">
        <v>3720</v>
      </c>
      <c r="H3092" t="s">
        <v>455</v>
      </c>
      <c r="I3092" t="s">
        <v>103</v>
      </c>
      <c r="J3092" s="4">
        <v>11817</v>
      </c>
      <c r="K3092" s="5">
        <v>0.16890919861216891</v>
      </c>
      <c r="L3092" s="5">
        <v>8.2085131590082083E-3</v>
      </c>
    </row>
    <row r="3093" spans="7:12">
      <c r="G3093" t="s">
        <v>3721</v>
      </c>
      <c r="H3093" t="s">
        <v>377</v>
      </c>
      <c r="I3093" t="s">
        <v>252</v>
      </c>
      <c r="J3093" s="4">
        <v>3665</v>
      </c>
      <c r="K3093" s="5">
        <v>0.16889495225102319</v>
      </c>
      <c r="L3093" s="5">
        <v>7.0941336971350613E-3</v>
      </c>
    </row>
    <row r="3094" spans="7:12">
      <c r="G3094" t="s">
        <v>3722</v>
      </c>
      <c r="H3094" t="s">
        <v>248</v>
      </c>
      <c r="I3094" t="s">
        <v>89</v>
      </c>
      <c r="J3094" s="4">
        <v>2955</v>
      </c>
      <c r="K3094" s="5">
        <v>0.16886632825719119</v>
      </c>
      <c r="L3094" s="5">
        <v>1.455160744500846E-2</v>
      </c>
    </row>
    <row r="3095" spans="7:12">
      <c r="G3095" t="s">
        <v>3723</v>
      </c>
      <c r="H3095" t="s">
        <v>218</v>
      </c>
      <c r="I3095" t="s">
        <v>406</v>
      </c>
      <c r="J3095" s="4">
        <v>5934</v>
      </c>
      <c r="K3095" s="5">
        <v>0.16885743174924167</v>
      </c>
      <c r="L3095" s="5">
        <v>8.5945399393326585E-3</v>
      </c>
    </row>
    <row r="3096" spans="7:12">
      <c r="G3096" t="s">
        <v>3724</v>
      </c>
      <c r="H3096" t="s">
        <v>404</v>
      </c>
      <c r="I3096" t="s">
        <v>118</v>
      </c>
      <c r="J3096" s="4">
        <v>1777</v>
      </c>
      <c r="K3096" s="5">
        <v>0.16882386043894204</v>
      </c>
      <c r="L3096" s="5">
        <v>7.3157006190208212E-3</v>
      </c>
    </row>
    <row r="3097" spans="7:12">
      <c r="G3097" t="s">
        <v>3725</v>
      </c>
      <c r="H3097" t="s">
        <v>495</v>
      </c>
      <c r="I3097" t="s">
        <v>503</v>
      </c>
      <c r="J3097" s="4">
        <v>2180</v>
      </c>
      <c r="K3097" s="5">
        <v>0.16880733944954129</v>
      </c>
      <c r="L3097" s="5">
        <v>6.4220183486238536E-3</v>
      </c>
    </row>
    <row r="3098" spans="7:12">
      <c r="G3098" t="s">
        <v>3726</v>
      </c>
      <c r="H3098" t="s">
        <v>486</v>
      </c>
      <c r="I3098" t="s">
        <v>525</v>
      </c>
      <c r="J3098" s="4">
        <v>4823</v>
      </c>
      <c r="K3098" s="5">
        <v>0.16877462160481027</v>
      </c>
      <c r="L3098" s="5">
        <v>1.6587186398507154E-3</v>
      </c>
    </row>
    <row r="3099" spans="7:12">
      <c r="G3099" t="s">
        <v>3727</v>
      </c>
      <c r="H3099" t="s">
        <v>215</v>
      </c>
      <c r="I3099" t="s">
        <v>501</v>
      </c>
      <c r="J3099" s="4">
        <v>2927</v>
      </c>
      <c r="K3099" s="5">
        <v>0.16877348821318755</v>
      </c>
      <c r="L3099" s="5">
        <v>1.2982576016399043E-2</v>
      </c>
    </row>
    <row r="3100" spans="7:12">
      <c r="G3100" t="s">
        <v>3728</v>
      </c>
      <c r="H3100" t="s">
        <v>358</v>
      </c>
      <c r="I3100" t="s">
        <v>259</v>
      </c>
      <c r="J3100" s="4">
        <v>7248</v>
      </c>
      <c r="K3100" s="5">
        <v>0.16873620309050771</v>
      </c>
      <c r="L3100" s="5">
        <v>3.5458057395143489E-2</v>
      </c>
    </row>
    <row r="3101" spans="7:12">
      <c r="G3101" t="s">
        <v>3729</v>
      </c>
      <c r="H3101" t="s">
        <v>293</v>
      </c>
      <c r="I3101" t="s">
        <v>136</v>
      </c>
      <c r="J3101" s="4">
        <v>2027</v>
      </c>
      <c r="K3101" s="5">
        <v>0.16872224962999507</v>
      </c>
      <c r="L3101" s="5">
        <v>1.0853478046373951E-2</v>
      </c>
    </row>
    <row r="3102" spans="7:12">
      <c r="G3102" t="s">
        <v>3730</v>
      </c>
      <c r="H3102" t="s">
        <v>89</v>
      </c>
      <c r="I3102" t="s">
        <v>3400</v>
      </c>
      <c r="J3102" s="4">
        <v>3303</v>
      </c>
      <c r="K3102" s="5">
        <v>0.16863457462912504</v>
      </c>
      <c r="L3102" s="5">
        <v>2.3312140478353012E-2</v>
      </c>
    </row>
    <row r="3103" spans="7:12">
      <c r="G3103" t="s">
        <v>3731</v>
      </c>
      <c r="H3103" t="s">
        <v>484</v>
      </c>
      <c r="I3103" t="s">
        <v>182</v>
      </c>
      <c r="J3103" s="4">
        <v>2052</v>
      </c>
      <c r="K3103" s="5">
        <v>0.16861598440545808</v>
      </c>
      <c r="L3103" s="5">
        <v>6.8226120857699801E-3</v>
      </c>
    </row>
    <row r="3104" spans="7:12">
      <c r="G3104" t="s">
        <v>3732</v>
      </c>
      <c r="H3104" t="s">
        <v>226</v>
      </c>
      <c r="I3104" t="s">
        <v>455</v>
      </c>
      <c r="J3104" s="4">
        <v>3286</v>
      </c>
      <c r="K3104" s="5">
        <v>0.16859403530127814</v>
      </c>
      <c r="L3104" s="5">
        <v>1.3085818624467437E-2</v>
      </c>
    </row>
    <row r="3105" spans="7:12">
      <c r="G3105" t="s">
        <v>3733</v>
      </c>
      <c r="H3105" t="s">
        <v>326</v>
      </c>
      <c r="I3105" t="s">
        <v>370</v>
      </c>
      <c r="J3105" s="4">
        <v>21324</v>
      </c>
      <c r="K3105" s="5">
        <v>0.16858938285499905</v>
      </c>
      <c r="L3105" s="5">
        <v>3.7516413430876009E-3</v>
      </c>
    </row>
    <row r="3106" spans="7:12">
      <c r="G3106" t="s">
        <v>3734</v>
      </c>
      <c r="H3106" t="s">
        <v>189</v>
      </c>
      <c r="I3106" t="s">
        <v>215</v>
      </c>
      <c r="J3106" s="4">
        <v>6092</v>
      </c>
      <c r="K3106" s="5">
        <v>0.16858174655285621</v>
      </c>
      <c r="L3106" s="5">
        <v>1.0998030203545634E-2</v>
      </c>
    </row>
    <row r="3107" spans="7:12">
      <c r="G3107" t="s">
        <v>3735</v>
      </c>
      <c r="H3107" t="s">
        <v>236</v>
      </c>
      <c r="I3107" t="s">
        <v>377</v>
      </c>
      <c r="J3107" s="4">
        <v>5814</v>
      </c>
      <c r="K3107" s="5">
        <v>0.16855865153078775</v>
      </c>
      <c r="L3107" s="5">
        <v>9.4599243206054343E-3</v>
      </c>
    </row>
    <row r="3108" spans="7:12">
      <c r="G3108" t="s">
        <v>3736</v>
      </c>
      <c r="H3108" t="s">
        <v>221</v>
      </c>
      <c r="I3108" t="s">
        <v>118</v>
      </c>
      <c r="J3108" s="4">
        <v>5506</v>
      </c>
      <c r="K3108" s="5">
        <v>0.1683617871413004</v>
      </c>
      <c r="L3108" s="5">
        <v>1.1260443152924083E-2</v>
      </c>
    </row>
    <row r="3109" spans="7:12">
      <c r="G3109" t="s">
        <v>3737</v>
      </c>
      <c r="H3109" t="s">
        <v>497</v>
      </c>
      <c r="I3109" t="s">
        <v>215</v>
      </c>
      <c r="J3109" s="4">
        <v>3137</v>
      </c>
      <c r="K3109" s="5">
        <v>0.16831367548613324</v>
      </c>
      <c r="L3109" s="5">
        <v>5.4191903092126233E-3</v>
      </c>
    </row>
    <row r="3110" spans="7:12">
      <c r="G3110" t="s">
        <v>3738</v>
      </c>
      <c r="H3110" t="s">
        <v>352</v>
      </c>
      <c r="I3110" t="s">
        <v>85</v>
      </c>
      <c r="J3110" s="4">
        <v>1426</v>
      </c>
      <c r="K3110" s="5">
        <v>0.16830294530154277</v>
      </c>
      <c r="L3110" s="5">
        <v>1.5427769985974754E-2</v>
      </c>
    </row>
    <row r="3111" spans="7:12">
      <c r="G3111" t="s">
        <v>3739</v>
      </c>
      <c r="H3111" t="s">
        <v>95</v>
      </c>
      <c r="I3111" t="s">
        <v>347</v>
      </c>
      <c r="J3111" s="4">
        <v>1866</v>
      </c>
      <c r="K3111" s="5">
        <v>0.16827438370846731</v>
      </c>
      <c r="L3111" s="5">
        <v>8.0385852090032149E-3</v>
      </c>
    </row>
    <row r="3112" spans="7:12">
      <c r="G3112" t="s">
        <v>3740</v>
      </c>
      <c r="H3112" t="s">
        <v>322</v>
      </c>
      <c r="I3112" t="s">
        <v>422</v>
      </c>
      <c r="J3112" s="4">
        <v>3780</v>
      </c>
      <c r="K3112" s="5">
        <v>0.16825396825396827</v>
      </c>
      <c r="L3112" s="5">
        <v>8.9947089947089946E-3</v>
      </c>
    </row>
    <row r="3113" spans="7:12">
      <c r="G3113" t="s">
        <v>3741</v>
      </c>
      <c r="H3113" t="s">
        <v>390</v>
      </c>
      <c r="I3113" t="s">
        <v>455</v>
      </c>
      <c r="J3113" s="4">
        <v>6785</v>
      </c>
      <c r="K3113" s="5">
        <v>0.16816507000736919</v>
      </c>
      <c r="L3113" s="5">
        <v>7.0744288872512896E-3</v>
      </c>
    </row>
    <row r="3114" spans="7:12">
      <c r="G3114" t="s">
        <v>3742</v>
      </c>
      <c r="H3114" t="s">
        <v>370</v>
      </c>
      <c r="I3114" t="s">
        <v>352</v>
      </c>
      <c r="J3114" s="4">
        <v>3907</v>
      </c>
      <c r="K3114" s="5">
        <v>0.16815971333503968</v>
      </c>
      <c r="L3114" s="5">
        <v>7.1666240081904274E-3</v>
      </c>
    </row>
    <row r="3115" spans="7:12">
      <c r="G3115" t="s">
        <v>3743</v>
      </c>
      <c r="H3115" t="s">
        <v>215</v>
      </c>
      <c r="I3115" t="s">
        <v>527</v>
      </c>
      <c r="J3115" s="4">
        <v>6150</v>
      </c>
      <c r="K3115" s="5">
        <v>0.168130081300813</v>
      </c>
      <c r="L3115" s="5">
        <v>5.0406504065040655E-3</v>
      </c>
    </row>
    <row r="3116" spans="7:12">
      <c r="G3116" t="s">
        <v>3744</v>
      </c>
      <c r="H3116" t="s">
        <v>461</v>
      </c>
      <c r="I3116" t="s">
        <v>352</v>
      </c>
      <c r="J3116" s="4">
        <v>2980</v>
      </c>
      <c r="K3116" s="5">
        <v>0.16812080536912752</v>
      </c>
      <c r="L3116" s="5">
        <v>8.0536912751677861E-3</v>
      </c>
    </row>
    <row r="3117" spans="7:12">
      <c r="G3117" t="s">
        <v>3745</v>
      </c>
      <c r="H3117" t="s">
        <v>326</v>
      </c>
      <c r="I3117" t="s">
        <v>197</v>
      </c>
      <c r="J3117" s="4">
        <v>1166</v>
      </c>
      <c r="K3117" s="5">
        <v>0.16809605488850771</v>
      </c>
      <c r="L3117" s="5">
        <v>3.4305317324185248E-3</v>
      </c>
    </row>
    <row r="3118" spans="7:12">
      <c r="G3118" t="s">
        <v>3746</v>
      </c>
      <c r="H3118" t="s">
        <v>451</v>
      </c>
      <c r="I3118" t="s">
        <v>416</v>
      </c>
      <c r="J3118" s="4">
        <v>2413</v>
      </c>
      <c r="K3118" s="5">
        <v>0.16784086199751347</v>
      </c>
      <c r="L3118" s="5">
        <v>5.387484459179445E-3</v>
      </c>
    </row>
    <row r="3119" spans="7:12">
      <c r="G3119" t="s">
        <v>3747</v>
      </c>
      <c r="H3119" t="s">
        <v>118</v>
      </c>
      <c r="I3119" t="s">
        <v>344</v>
      </c>
      <c r="J3119" s="4">
        <v>1305</v>
      </c>
      <c r="K3119" s="5">
        <v>0.167816091954023</v>
      </c>
      <c r="L3119" s="5">
        <v>7.6628352490421452E-3</v>
      </c>
    </row>
    <row r="3120" spans="7:12">
      <c r="G3120" t="s">
        <v>3748</v>
      </c>
      <c r="H3120" t="s">
        <v>461</v>
      </c>
      <c r="I3120" t="s">
        <v>236</v>
      </c>
      <c r="J3120" s="4">
        <v>2944</v>
      </c>
      <c r="K3120" s="5">
        <v>0.16779891304347827</v>
      </c>
      <c r="L3120" s="5">
        <v>3.736413043478261E-3</v>
      </c>
    </row>
    <row r="3121" spans="7:12">
      <c r="G3121" t="s">
        <v>3749</v>
      </c>
      <c r="H3121" t="s">
        <v>457</v>
      </c>
      <c r="I3121" t="s">
        <v>131</v>
      </c>
      <c r="J3121" s="4">
        <v>2086</v>
      </c>
      <c r="K3121" s="5">
        <v>0.16778523489932887</v>
      </c>
      <c r="L3121" s="5">
        <v>2.3969319271332696E-3</v>
      </c>
    </row>
    <row r="3122" spans="7:12">
      <c r="G3122" t="s">
        <v>3750</v>
      </c>
      <c r="H3122" t="s">
        <v>218</v>
      </c>
      <c r="I3122" t="s">
        <v>374</v>
      </c>
      <c r="J3122" s="4">
        <v>5938</v>
      </c>
      <c r="K3122" s="5">
        <v>0.16773324351633548</v>
      </c>
      <c r="L3122" s="5">
        <v>8.2519366790165041E-3</v>
      </c>
    </row>
    <row r="3123" spans="7:12">
      <c r="G3123" t="s">
        <v>3751</v>
      </c>
      <c r="H3123" t="s">
        <v>218</v>
      </c>
      <c r="I3123" t="s">
        <v>228</v>
      </c>
      <c r="J3123" s="4">
        <v>1109</v>
      </c>
      <c r="K3123" s="5">
        <v>0.16771866546438233</v>
      </c>
      <c r="L3123" s="5">
        <v>5.4102795311091077E-3</v>
      </c>
    </row>
    <row r="3124" spans="7:12">
      <c r="G3124" t="s">
        <v>3752</v>
      </c>
      <c r="H3124" t="s">
        <v>322</v>
      </c>
      <c r="I3124" t="s">
        <v>3753</v>
      </c>
      <c r="J3124" s="4">
        <v>1616</v>
      </c>
      <c r="K3124" s="5">
        <v>0.16769801980198021</v>
      </c>
      <c r="L3124" s="5">
        <v>3.155940594059406E-2</v>
      </c>
    </row>
    <row r="3125" spans="7:12">
      <c r="G3125" t="s">
        <v>3754</v>
      </c>
      <c r="H3125" t="s">
        <v>218</v>
      </c>
      <c r="I3125" t="s">
        <v>461</v>
      </c>
      <c r="J3125" s="4">
        <v>8940</v>
      </c>
      <c r="K3125" s="5">
        <v>0.16767337807606264</v>
      </c>
      <c r="L3125" s="5">
        <v>5.145413870246085E-3</v>
      </c>
    </row>
    <row r="3126" spans="7:12">
      <c r="G3126" t="s">
        <v>3755</v>
      </c>
      <c r="H3126" t="s">
        <v>226</v>
      </c>
      <c r="I3126" t="s">
        <v>491</v>
      </c>
      <c r="J3126" s="4">
        <v>1754</v>
      </c>
      <c r="K3126" s="5">
        <v>0.16761687571265679</v>
      </c>
      <c r="L3126" s="5">
        <v>6.2713797035347778E-3</v>
      </c>
    </row>
    <row r="3127" spans="7:12">
      <c r="G3127" t="s">
        <v>3756</v>
      </c>
      <c r="H3127" t="s">
        <v>317</v>
      </c>
      <c r="I3127" t="s">
        <v>140</v>
      </c>
      <c r="J3127" s="4">
        <v>2961</v>
      </c>
      <c r="K3127" s="5">
        <v>0.16751097602161433</v>
      </c>
      <c r="L3127" s="5">
        <v>2.6680175616345829E-2</v>
      </c>
    </row>
    <row r="3128" spans="7:12">
      <c r="G3128" t="s">
        <v>3757</v>
      </c>
      <c r="H3128" t="s">
        <v>313</v>
      </c>
      <c r="I3128" t="s">
        <v>160</v>
      </c>
      <c r="J3128" s="4">
        <v>1988</v>
      </c>
      <c r="K3128" s="5">
        <v>0.16750503018108651</v>
      </c>
      <c r="L3128" s="5">
        <v>8.5513078470824955E-3</v>
      </c>
    </row>
    <row r="3129" spans="7:12">
      <c r="G3129" t="s">
        <v>3758</v>
      </c>
      <c r="H3129" t="s">
        <v>103</v>
      </c>
      <c r="I3129" t="s">
        <v>3759</v>
      </c>
      <c r="J3129" s="4">
        <v>2102</v>
      </c>
      <c r="K3129" s="5">
        <v>0.16745956232159848</v>
      </c>
      <c r="L3129" s="5">
        <v>1.6175071360608945E-2</v>
      </c>
    </row>
    <row r="3130" spans="7:12">
      <c r="G3130" t="s">
        <v>3760</v>
      </c>
      <c r="H3130" t="s">
        <v>362</v>
      </c>
      <c r="I3130" t="s">
        <v>503</v>
      </c>
      <c r="J3130" s="4">
        <v>2156</v>
      </c>
      <c r="K3130" s="5">
        <v>0.16743970315398887</v>
      </c>
      <c r="L3130" s="5">
        <v>7.8849721706864568E-3</v>
      </c>
    </row>
    <row r="3131" spans="7:12">
      <c r="G3131" t="s">
        <v>3761</v>
      </c>
      <c r="H3131" t="s">
        <v>451</v>
      </c>
      <c r="I3131" t="s">
        <v>118</v>
      </c>
      <c r="J3131" s="4">
        <v>1894</v>
      </c>
      <c r="K3131" s="5">
        <v>0.16737064413938754</v>
      </c>
      <c r="L3131" s="5">
        <v>1.0559662090813094E-2</v>
      </c>
    </row>
    <row r="3132" spans="7:12">
      <c r="G3132" t="s">
        <v>3762</v>
      </c>
      <c r="H3132" t="s">
        <v>377</v>
      </c>
      <c r="I3132" t="s">
        <v>311</v>
      </c>
      <c r="J3132" s="4">
        <v>4792</v>
      </c>
      <c r="K3132" s="5">
        <v>0.16736227045075125</v>
      </c>
      <c r="L3132" s="5">
        <v>7.7212020033388985E-3</v>
      </c>
    </row>
    <row r="3133" spans="7:12">
      <c r="G3133" t="s">
        <v>3763</v>
      </c>
      <c r="H3133" t="s">
        <v>2742</v>
      </c>
      <c r="I3133" t="s">
        <v>322</v>
      </c>
      <c r="J3133" s="4">
        <v>2271</v>
      </c>
      <c r="K3133" s="5">
        <v>0.16732716864817263</v>
      </c>
      <c r="L3133" s="5">
        <v>5.7243505063848529E-3</v>
      </c>
    </row>
    <row r="3134" spans="7:12">
      <c r="G3134" t="s">
        <v>3764</v>
      </c>
      <c r="H3134" t="s">
        <v>218</v>
      </c>
      <c r="I3134" t="s">
        <v>493</v>
      </c>
      <c r="J3134" s="4">
        <v>4214</v>
      </c>
      <c r="K3134" s="5">
        <v>0.16729947793070718</v>
      </c>
      <c r="L3134" s="5">
        <v>1.0441385856668249E-2</v>
      </c>
    </row>
    <row r="3135" spans="7:12">
      <c r="G3135" t="s">
        <v>3765</v>
      </c>
      <c r="H3135" t="s">
        <v>297</v>
      </c>
      <c r="I3135" t="s">
        <v>218</v>
      </c>
      <c r="J3135" s="4">
        <v>7711</v>
      </c>
      <c r="K3135" s="5">
        <v>0.16729347685125145</v>
      </c>
      <c r="L3135" s="5">
        <v>1.0893528725197769E-2</v>
      </c>
    </row>
    <row r="3136" spans="7:12">
      <c r="G3136" t="s">
        <v>3766</v>
      </c>
      <c r="H3136" t="s">
        <v>282</v>
      </c>
      <c r="I3136" t="s">
        <v>103</v>
      </c>
      <c r="J3136" s="4">
        <v>2589</v>
      </c>
      <c r="K3136" s="5">
        <v>0.16724604094244883</v>
      </c>
      <c r="L3136" s="5">
        <v>6.1799922750096561E-3</v>
      </c>
    </row>
    <row r="3137" spans="7:12">
      <c r="G3137" t="s">
        <v>3767</v>
      </c>
      <c r="H3137" t="s">
        <v>370</v>
      </c>
      <c r="I3137" t="s">
        <v>443</v>
      </c>
      <c r="J3137" s="4">
        <v>1017</v>
      </c>
      <c r="K3137" s="5">
        <v>0.16715830875122911</v>
      </c>
      <c r="L3137" s="5">
        <v>4.9164208456243851E-3</v>
      </c>
    </row>
    <row r="3138" spans="7:12">
      <c r="G3138" t="s">
        <v>3768</v>
      </c>
      <c r="H3138" t="s">
        <v>499</v>
      </c>
      <c r="I3138" t="s">
        <v>189</v>
      </c>
      <c r="J3138" s="4">
        <v>2142</v>
      </c>
      <c r="K3138" s="5">
        <v>0.16713352007469653</v>
      </c>
      <c r="L3138" s="5">
        <v>1.3071895424836602E-2</v>
      </c>
    </row>
    <row r="3139" spans="7:12">
      <c r="G3139" t="s">
        <v>3769</v>
      </c>
      <c r="H3139" t="s">
        <v>149</v>
      </c>
      <c r="I3139" t="s">
        <v>3770</v>
      </c>
      <c r="J3139" s="4">
        <v>1442</v>
      </c>
      <c r="K3139" s="5">
        <v>0.16712898751733704</v>
      </c>
      <c r="L3139" s="5">
        <v>3.6754507628294034E-2</v>
      </c>
    </row>
    <row r="3140" spans="7:12">
      <c r="G3140" t="s">
        <v>3771</v>
      </c>
      <c r="H3140" t="s">
        <v>326</v>
      </c>
      <c r="I3140" t="s">
        <v>438</v>
      </c>
      <c r="J3140" s="4">
        <v>3860</v>
      </c>
      <c r="K3140" s="5">
        <v>0.16709844559585493</v>
      </c>
      <c r="L3140" s="5">
        <v>4.1450777202072537E-3</v>
      </c>
    </row>
    <row r="3141" spans="7:12">
      <c r="G3141" t="s">
        <v>3772</v>
      </c>
      <c r="H3141" t="s">
        <v>455</v>
      </c>
      <c r="I3141" t="s">
        <v>118</v>
      </c>
      <c r="J3141" s="4">
        <v>3519</v>
      </c>
      <c r="K3141" s="5">
        <v>0.16709292412617222</v>
      </c>
      <c r="L3141" s="5">
        <v>1.0230179028132993E-2</v>
      </c>
    </row>
    <row r="3142" spans="7:12">
      <c r="G3142" t="s">
        <v>3773</v>
      </c>
      <c r="H3142" t="s">
        <v>319</v>
      </c>
      <c r="I3142" t="s">
        <v>136</v>
      </c>
      <c r="J3142" s="4">
        <v>1963</v>
      </c>
      <c r="K3142" s="5">
        <v>0.16709118695873662</v>
      </c>
      <c r="L3142" s="5">
        <v>1.0697911360163017E-2</v>
      </c>
    </row>
    <row r="3143" spans="7:12">
      <c r="G3143" t="s">
        <v>3774</v>
      </c>
      <c r="H3143" t="s">
        <v>342</v>
      </c>
      <c r="I3143" t="s">
        <v>115</v>
      </c>
      <c r="J3143" s="4">
        <v>3621</v>
      </c>
      <c r="K3143" s="5">
        <v>0.16708091687379176</v>
      </c>
      <c r="L3143" s="5">
        <v>1.1046672190002762E-2</v>
      </c>
    </row>
    <row r="3144" spans="7:12">
      <c r="G3144" t="s">
        <v>3775</v>
      </c>
      <c r="H3144" t="s">
        <v>218</v>
      </c>
      <c r="I3144" t="s">
        <v>507</v>
      </c>
      <c r="J3144" s="4">
        <v>1425</v>
      </c>
      <c r="K3144" s="5">
        <v>0.16701754385964912</v>
      </c>
      <c r="L3144" s="5">
        <v>1.1228070175438596E-2</v>
      </c>
    </row>
    <row r="3145" spans="7:12">
      <c r="G3145" t="s">
        <v>3776</v>
      </c>
      <c r="H3145" t="s">
        <v>495</v>
      </c>
      <c r="I3145" t="s">
        <v>3777</v>
      </c>
      <c r="J3145" s="4">
        <v>1096</v>
      </c>
      <c r="K3145" s="5">
        <v>0.16697080291970803</v>
      </c>
      <c r="L3145" s="5">
        <v>1.3686131386861315E-2</v>
      </c>
    </row>
    <row r="3146" spans="7:12">
      <c r="G3146" t="s">
        <v>3778</v>
      </c>
      <c r="H3146" t="s">
        <v>215</v>
      </c>
      <c r="I3146" t="s">
        <v>331</v>
      </c>
      <c r="J3146" s="4">
        <v>2210</v>
      </c>
      <c r="K3146" s="5">
        <v>0.16696832579185519</v>
      </c>
      <c r="L3146" s="5">
        <v>8.5972850678733038E-3</v>
      </c>
    </row>
    <row r="3147" spans="7:12">
      <c r="G3147" t="s">
        <v>3779</v>
      </c>
      <c r="H3147" t="s">
        <v>463</v>
      </c>
      <c r="I3147" t="s">
        <v>495</v>
      </c>
      <c r="J3147" s="4">
        <v>1108</v>
      </c>
      <c r="K3147" s="5">
        <v>0.16696750902527077</v>
      </c>
      <c r="L3147" s="5">
        <v>9.0252707581227436E-3</v>
      </c>
    </row>
    <row r="3148" spans="7:12">
      <c r="G3148" t="s">
        <v>3780</v>
      </c>
      <c r="H3148" t="s">
        <v>457</v>
      </c>
      <c r="I3148" t="s">
        <v>100</v>
      </c>
      <c r="J3148" s="4">
        <v>2306</v>
      </c>
      <c r="K3148" s="5">
        <v>0.16695576756287944</v>
      </c>
      <c r="L3148" s="5">
        <v>1.3443191673894189E-2</v>
      </c>
    </row>
    <row r="3149" spans="7:12">
      <c r="G3149" t="s">
        <v>3781</v>
      </c>
      <c r="H3149" t="s">
        <v>326</v>
      </c>
      <c r="I3149" t="s">
        <v>85</v>
      </c>
      <c r="J3149" s="4">
        <v>5014</v>
      </c>
      <c r="K3149" s="5">
        <v>0.1669325887514958</v>
      </c>
      <c r="L3149" s="5">
        <v>6.7810131631431993E-3</v>
      </c>
    </row>
    <row r="3150" spans="7:12">
      <c r="G3150" t="s">
        <v>3782</v>
      </c>
      <c r="H3150" t="s">
        <v>259</v>
      </c>
      <c r="I3150" t="s">
        <v>798</v>
      </c>
      <c r="J3150" s="4">
        <v>1330</v>
      </c>
      <c r="K3150" s="5">
        <v>0.16691729323308271</v>
      </c>
      <c r="L3150" s="5">
        <v>3.2330827067669175E-2</v>
      </c>
    </row>
    <row r="3151" spans="7:12">
      <c r="G3151" t="s">
        <v>3783</v>
      </c>
      <c r="H3151" t="s">
        <v>511</v>
      </c>
      <c r="I3151" t="s">
        <v>100</v>
      </c>
      <c r="J3151" s="4">
        <v>3895</v>
      </c>
      <c r="K3151" s="5">
        <v>0.1668806161745828</v>
      </c>
      <c r="L3151" s="5">
        <v>2.0025673940949937E-2</v>
      </c>
    </row>
    <row r="3152" spans="7:12">
      <c r="G3152" t="s">
        <v>3784</v>
      </c>
      <c r="H3152" t="s">
        <v>404</v>
      </c>
      <c r="I3152" t="s">
        <v>103</v>
      </c>
      <c r="J3152" s="4">
        <v>5501</v>
      </c>
      <c r="K3152" s="5">
        <v>0.16687874931830576</v>
      </c>
      <c r="L3152" s="5">
        <v>5.8171241592437735E-3</v>
      </c>
    </row>
    <row r="3153" spans="7:12">
      <c r="G3153" t="s">
        <v>3785</v>
      </c>
      <c r="H3153" t="s">
        <v>416</v>
      </c>
      <c r="I3153" t="s">
        <v>451</v>
      </c>
      <c r="J3153" s="4">
        <v>2427</v>
      </c>
      <c r="K3153" s="5">
        <v>0.1668726823238566</v>
      </c>
      <c r="L3153" s="5">
        <v>4.5323444581788219E-3</v>
      </c>
    </row>
    <row r="3154" spans="7:12">
      <c r="G3154" t="s">
        <v>3786</v>
      </c>
      <c r="H3154" t="s">
        <v>231</v>
      </c>
      <c r="I3154" t="s">
        <v>218</v>
      </c>
      <c r="J3154" s="4">
        <v>5112</v>
      </c>
      <c r="K3154" s="5">
        <v>0.16686228482003129</v>
      </c>
      <c r="L3154" s="5">
        <v>1.1932707355242567E-2</v>
      </c>
    </row>
    <row r="3155" spans="7:12">
      <c r="G3155" t="s">
        <v>3787</v>
      </c>
      <c r="H3155" t="s">
        <v>218</v>
      </c>
      <c r="I3155" t="s">
        <v>231</v>
      </c>
      <c r="J3155" s="4">
        <v>5114</v>
      </c>
      <c r="K3155" s="5">
        <v>0.16679702776691435</v>
      </c>
      <c r="L3155" s="5">
        <v>1.1732499022291749E-2</v>
      </c>
    </row>
    <row r="3156" spans="7:12">
      <c r="G3156" t="s">
        <v>3788</v>
      </c>
      <c r="H3156" t="s">
        <v>408</v>
      </c>
      <c r="I3156" t="s">
        <v>118</v>
      </c>
      <c r="J3156" s="4">
        <v>12070</v>
      </c>
      <c r="K3156" s="5">
        <v>0.1667771333885667</v>
      </c>
      <c r="L3156" s="5">
        <v>1.6072908036454017E-2</v>
      </c>
    </row>
    <row r="3157" spans="7:12">
      <c r="G3157" t="s">
        <v>3789</v>
      </c>
      <c r="H3157" t="s">
        <v>331</v>
      </c>
      <c r="I3157" t="s">
        <v>134</v>
      </c>
      <c r="J3157" s="4">
        <v>1907</v>
      </c>
      <c r="K3157" s="5">
        <v>0.16675406397482959</v>
      </c>
      <c r="L3157" s="5">
        <v>1.4682747771368642E-2</v>
      </c>
    </row>
    <row r="3158" spans="7:12">
      <c r="G3158" t="s">
        <v>3790</v>
      </c>
      <c r="H3158" t="s">
        <v>390</v>
      </c>
      <c r="I3158" t="s">
        <v>118</v>
      </c>
      <c r="J3158" s="4">
        <v>6717</v>
      </c>
      <c r="K3158" s="5">
        <v>0.16674110465981837</v>
      </c>
      <c r="L3158" s="5">
        <v>6.9971713562602348E-3</v>
      </c>
    </row>
    <row r="3159" spans="7:12">
      <c r="G3159" t="s">
        <v>3791</v>
      </c>
      <c r="H3159" t="s">
        <v>3358</v>
      </c>
      <c r="I3159" t="s">
        <v>89</v>
      </c>
      <c r="J3159" s="4">
        <v>4552</v>
      </c>
      <c r="K3159" s="5">
        <v>0.16673989455184535</v>
      </c>
      <c r="L3159" s="5">
        <v>2.5483304042179262E-2</v>
      </c>
    </row>
    <row r="3160" spans="7:12">
      <c r="G3160" t="s">
        <v>3792</v>
      </c>
      <c r="H3160" t="s">
        <v>377</v>
      </c>
      <c r="I3160" t="s">
        <v>3431</v>
      </c>
      <c r="J3160" s="4">
        <v>1080</v>
      </c>
      <c r="K3160" s="5">
        <v>0.16666666666666666</v>
      </c>
      <c r="L3160" s="5">
        <v>1.4814814814814815E-2</v>
      </c>
    </row>
    <row r="3161" spans="7:12">
      <c r="G3161" t="s">
        <v>3793</v>
      </c>
      <c r="H3161" t="s">
        <v>386</v>
      </c>
      <c r="I3161" t="s">
        <v>377</v>
      </c>
      <c r="J3161" s="4">
        <v>1326</v>
      </c>
      <c r="K3161" s="5">
        <v>0.16666666666666666</v>
      </c>
      <c r="L3161" s="5">
        <v>1.0558069381598794E-2</v>
      </c>
    </row>
    <row r="3162" spans="7:12">
      <c r="G3162" t="s">
        <v>3794</v>
      </c>
      <c r="H3162" t="s">
        <v>3795</v>
      </c>
      <c r="I3162" t="s">
        <v>89</v>
      </c>
      <c r="J3162" s="4">
        <v>2184</v>
      </c>
      <c r="K3162" s="5">
        <v>0.16666666666666666</v>
      </c>
      <c r="L3162" s="5">
        <v>3.8003663003663E-2</v>
      </c>
    </row>
    <row r="3163" spans="7:12">
      <c r="G3163" t="s">
        <v>3796</v>
      </c>
      <c r="H3163" t="s">
        <v>489</v>
      </c>
      <c r="I3163" t="s">
        <v>160</v>
      </c>
      <c r="J3163" s="4">
        <v>1837</v>
      </c>
      <c r="K3163" s="5">
        <v>0.16657593903102885</v>
      </c>
      <c r="L3163" s="5">
        <v>8.1654872074033748E-3</v>
      </c>
    </row>
    <row r="3164" spans="7:12">
      <c r="G3164" t="s">
        <v>3797</v>
      </c>
      <c r="H3164" t="s">
        <v>342</v>
      </c>
      <c r="I3164" t="s">
        <v>322</v>
      </c>
      <c r="J3164" s="4">
        <v>1717</v>
      </c>
      <c r="K3164" s="5">
        <v>0.16656959813628422</v>
      </c>
      <c r="L3164" s="5">
        <v>1.28130460104834E-2</v>
      </c>
    </row>
    <row r="3165" spans="7:12">
      <c r="G3165" t="s">
        <v>3798</v>
      </c>
      <c r="H3165" t="s">
        <v>322</v>
      </c>
      <c r="I3165" t="s">
        <v>215</v>
      </c>
      <c r="J3165" s="4">
        <v>6155</v>
      </c>
      <c r="K3165" s="5">
        <v>0.16653127538586515</v>
      </c>
      <c r="L3165" s="5">
        <v>7.6360682372055236E-3</v>
      </c>
    </row>
    <row r="3166" spans="7:12">
      <c r="G3166" t="s">
        <v>3799</v>
      </c>
      <c r="H3166" t="s">
        <v>322</v>
      </c>
      <c r="I3166" t="s">
        <v>233</v>
      </c>
      <c r="J3166" s="4">
        <v>6810</v>
      </c>
      <c r="K3166" s="5">
        <v>0.16651982378854627</v>
      </c>
      <c r="L3166" s="5">
        <v>8.5168869309838469E-3</v>
      </c>
    </row>
    <row r="3167" spans="7:12">
      <c r="G3167" t="s">
        <v>3800</v>
      </c>
      <c r="H3167" t="s">
        <v>416</v>
      </c>
      <c r="I3167" t="s">
        <v>140</v>
      </c>
      <c r="J3167" s="4">
        <v>2048</v>
      </c>
      <c r="K3167" s="5">
        <v>0.16650390625</v>
      </c>
      <c r="L3167" s="5">
        <v>1.26953125E-2</v>
      </c>
    </row>
    <row r="3168" spans="7:12">
      <c r="G3168" t="s">
        <v>3801</v>
      </c>
      <c r="H3168" t="s">
        <v>226</v>
      </c>
      <c r="I3168" t="s">
        <v>202</v>
      </c>
      <c r="J3168" s="4">
        <v>1862</v>
      </c>
      <c r="K3168" s="5">
        <v>0.16648764769065522</v>
      </c>
      <c r="L3168" s="5">
        <v>1.020408163265306E-2</v>
      </c>
    </row>
    <row r="3169" spans="7:12">
      <c r="G3169" t="s">
        <v>3802</v>
      </c>
      <c r="H3169" t="s">
        <v>3290</v>
      </c>
      <c r="I3169" t="s">
        <v>89</v>
      </c>
      <c r="J3169" s="4">
        <v>4541</v>
      </c>
      <c r="K3169" s="5">
        <v>0.16648315349042062</v>
      </c>
      <c r="L3169" s="5">
        <v>2.4003523452983924E-2</v>
      </c>
    </row>
    <row r="3170" spans="7:12">
      <c r="G3170" t="s">
        <v>3803</v>
      </c>
      <c r="H3170" t="s">
        <v>326</v>
      </c>
      <c r="I3170" t="s">
        <v>218</v>
      </c>
      <c r="J3170" s="4">
        <v>11096</v>
      </c>
      <c r="K3170" s="5">
        <v>0.1664563806777217</v>
      </c>
      <c r="L3170" s="5">
        <v>6.2184571016582549E-3</v>
      </c>
    </row>
    <row r="3171" spans="7:12">
      <c r="G3171" t="s">
        <v>3804</v>
      </c>
      <c r="H3171" t="s">
        <v>1433</v>
      </c>
      <c r="I3171" t="s">
        <v>89</v>
      </c>
      <c r="J3171" s="4">
        <v>2181</v>
      </c>
      <c r="K3171" s="5">
        <v>0.16643741403026135</v>
      </c>
      <c r="L3171" s="5">
        <v>1.6047684548372305E-2</v>
      </c>
    </row>
    <row r="3172" spans="7:12">
      <c r="G3172" t="s">
        <v>3805</v>
      </c>
      <c r="H3172" t="s">
        <v>372</v>
      </c>
      <c r="I3172" t="s">
        <v>204</v>
      </c>
      <c r="J3172" s="4">
        <v>3594</v>
      </c>
      <c r="K3172" s="5">
        <v>0.16638842515303284</v>
      </c>
      <c r="L3172" s="5">
        <v>2.5041736227045076E-2</v>
      </c>
    </row>
    <row r="3173" spans="7:12">
      <c r="G3173" t="s">
        <v>3806</v>
      </c>
      <c r="H3173" t="s">
        <v>291</v>
      </c>
      <c r="I3173" t="s">
        <v>118</v>
      </c>
      <c r="J3173" s="4">
        <v>2128</v>
      </c>
      <c r="K3173" s="5">
        <v>0.16635338345864661</v>
      </c>
      <c r="L3173" s="5">
        <v>7.0488721804511274E-3</v>
      </c>
    </row>
    <row r="3174" spans="7:12">
      <c r="G3174" t="s">
        <v>3807</v>
      </c>
      <c r="H3174" t="s">
        <v>370</v>
      </c>
      <c r="I3174" t="s">
        <v>100</v>
      </c>
      <c r="J3174" s="4">
        <v>8029</v>
      </c>
      <c r="K3174" s="5">
        <v>0.16627226304645659</v>
      </c>
      <c r="L3174" s="5">
        <v>7.5974592103624358E-3</v>
      </c>
    </row>
    <row r="3175" spans="7:12">
      <c r="G3175" t="s">
        <v>3808</v>
      </c>
      <c r="H3175" t="s">
        <v>370</v>
      </c>
      <c r="I3175" t="s">
        <v>525</v>
      </c>
      <c r="J3175" s="4">
        <v>4950</v>
      </c>
      <c r="K3175" s="5">
        <v>0.16626262626262625</v>
      </c>
      <c r="L3175" s="5">
        <v>4.2424242424242429E-3</v>
      </c>
    </row>
    <row r="3176" spans="7:12">
      <c r="G3176" t="s">
        <v>3809</v>
      </c>
      <c r="H3176" t="s">
        <v>259</v>
      </c>
      <c r="I3176" t="s">
        <v>459</v>
      </c>
      <c r="J3176" s="4">
        <v>5914</v>
      </c>
      <c r="K3176" s="5">
        <v>0.16621575921542103</v>
      </c>
      <c r="L3176" s="5">
        <v>3.7538045316198851E-2</v>
      </c>
    </row>
    <row r="3177" spans="7:12">
      <c r="G3177" t="s">
        <v>3810</v>
      </c>
      <c r="H3177" t="s">
        <v>215</v>
      </c>
      <c r="I3177" t="s">
        <v>461</v>
      </c>
      <c r="J3177" s="4">
        <v>11780</v>
      </c>
      <c r="K3177" s="5">
        <v>0.16612903225806452</v>
      </c>
      <c r="L3177" s="5">
        <v>7.0458404074702887E-3</v>
      </c>
    </row>
    <row r="3178" spans="7:12">
      <c r="G3178" t="s">
        <v>3811</v>
      </c>
      <c r="H3178" t="s">
        <v>307</v>
      </c>
      <c r="I3178" t="s">
        <v>89</v>
      </c>
      <c r="J3178" s="4">
        <v>2354</v>
      </c>
      <c r="K3178" s="5">
        <v>0.16610025488530161</v>
      </c>
      <c r="L3178" s="5">
        <v>1.826677994902294E-2</v>
      </c>
    </row>
    <row r="3179" spans="7:12">
      <c r="G3179" t="s">
        <v>3812</v>
      </c>
      <c r="H3179" t="s">
        <v>400</v>
      </c>
      <c r="I3179" t="s">
        <v>398</v>
      </c>
      <c r="J3179" s="4">
        <v>1060</v>
      </c>
      <c r="K3179" s="5">
        <v>0.16603773584905659</v>
      </c>
      <c r="L3179" s="5">
        <v>8.4905660377358489E-3</v>
      </c>
    </row>
    <row r="3180" spans="7:12">
      <c r="G3180" t="s">
        <v>3813</v>
      </c>
      <c r="H3180" t="s">
        <v>218</v>
      </c>
      <c r="I3180" t="s">
        <v>484</v>
      </c>
      <c r="J3180" s="4">
        <v>1434</v>
      </c>
      <c r="K3180" s="5">
        <v>0.16596931659693165</v>
      </c>
      <c r="L3180" s="5">
        <v>1.0460251046025104E-2</v>
      </c>
    </row>
    <row r="3181" spans="7:12">
      <c r="G3181" t="s">
        <v>3814</v>
      </c>
      <c r="H3181" t="s">
        <v>280</v>
      </c>
      <c r="I3181" t="s">
        <v>100</v>
      </c>
      <c r="J3181" s="4">
        <v>3098</v>
      </c>
      <c r="K3181" s="5">
        <v>0.16591349257585539</v>
      </c>
      <c r="L3181" s="5">
        <v>1.4202711426726921E-2</v>
      </c>
    </row>
    <row r="3182" spans="7:12">
      <c r="G3182" t="s">
        <v>3815</v>
      </c>
      <c r="H3182" t="s">
        <v>202</v>
      </c>
      <c r="I3182" t="s">
        <v>252</v>
      </c>
      <c r="J3182" s="4">
        <v>3902</v>
      </c>
      <c r="K3182" s="5">
        <v>0.16581240389543825</v>
      </c>
      <c r="L3182" s="5">
        <v>1.3839056893900564E-2</v>
      </c>
    </row>
    <row r="3183" spans="7:12">
      <c r="G3183" t="s">
        <v>3816</v>
      </c>
      <c r="H3183" t="s">
        <v>236</v>
      </c>
      <c r="I3183" t="s">
        <v>136</v>
      </c>
      <c r="J3183" s="4">
        <v>5838</v>
      </c>
      <c r="K3183" s="5">
        <v>0.16581020897567661</v>
      </c>
      <c r="L3183" s="5">
        <v>1.3018156903048989E-2</v>
      </c>
    </row>
    <row r="3184" spans="7:12">
      <c r="G3184" t="s">
        <v>3817</v>
      </c>
      <c r="H3184" t="s">
        <v>484</v>
      </c>
      <c r="I3184" t="s">
        <v>418</v>
      </c>
      <c r="J3184" s="4">
        <v>1110</v>
      </c>
      <c r="K3184" s="5">
        <v>0.16576576576576577</v>
      </c>
      <c r="L3184" s="5">
        <v>1.8018018018018018E-3</v>
      </c>
    </row>
    <row r="3185" spans="7:12">
      <c r="G3185" t="s">
        <v>3818</v>
      </c>
      <c r="H3185" t="s">
        <v>259</v>
      </c>
      <c r="I3185" t="s">
        <v>297</v>
      </c>
      <c r="J3185" s="4">
        <v>5087</v>
      </c>
      <c r="K3185" s="5">
        <v>0.16571653233733044</v>
      </c>
      <c r="L3185" s="5">
        <v>4.2657755061922549E-2</v>
      </c>
    </row>
    <row r="3186" spans="7:12">
      <c r="G3186" t="s">
        <v>3819</v>
      </c>
      <c r="H3186" t="s">
        <v>326</v>
      </c>
      <c r="I3186" t="s">
        <v>278</v>
      </c>
      <c r="J3186" s="4">
        <v>3464</v>
      </c>
      <c r="K3186" s="5">
        <v>0.16570438799076212</v>
      </c>
      <c r="L3186" s="5">
        <v>4.3302540415704385E-3</v>
      </c>
    </row>
    <row r="3187" spans="7:12">
      <c r="G3187" t="s">
        <v>3820</v>
      </c>
      <c r="H3187" t="s">
        <v>342</v>
      </c>
      <c r="I3187" t="s">
        <v>118</v>
      </c>
      <c r="J3187" s="4">
        <v>4353</v>
      </c>
      <c r="K3187" s="5">
        <v>0.16563289685274524</v>
      </c>
      <c r="L3187" s="5">
        <v>1.5161957270847692E-2</v>
      </c>
    </row>
    <row r="3188" spans="7:12">
      <c r="G3188" t="s">
        <v>3821</v>
      </c>
      <c r="H3188" t="s">
        <v>513</v>
      </c>
      <c r="I3188" t="s">
        <v>215</v>
      </c>
      <c r="J3188" s="4">
        <v>4825</v>
      </c>
      <c r="K3188" s="5">
        <v>0.16559585492227979</v>
      </c>
      <c r="L3188" s="5">
        <v>1.6580310880829015E-2</v>
      </c>
    </row>
    <row r="3189" spans="7:12">
      <c r="G3189" t="s">
        <v>3822</v>
      </c>
      <c r="H3189" t="s">
        <v>218</v>
      </c>
      <c r="I3189" t="s">
        <v>455</v>
      </c>
      <c r="J3189" s="4">
        <v>2893</v>
      </c>
      <c r="K3189" s="5">
        <v>0.16557207051503631</v>
      </c>
      <c r="L3189" s="5">
        <v>8.2958866228828206E-3</v>
      </c>
    </row>
    <row r="3190" spans="7:12">
      <c r="G3190" t="s">
        <v>3823</v>
      </c>
      <c r="H3190" t="s">
        <v>414</v>
      </c>
      <c r="I3190" t="s">
        <v>236</v>
      </c>
      <c r="J3190" s="4">
        <v>1951</v>
      </c>
      <c r="K3190" s="5">
        <v>0.16555612506406972</v>
      </c>
      <c r="L3190" s="5">
        <v>8.7134802665299847E-3</v>
      </c>
    </row>
    <row r="3191" spans="7:12">
      <c r="G3191" t="s">
        <v>3824</v>
      </c>
      <c r="H3191" t="s">
        <v>226</v>
      </c>
      <c r="I3191" t="s">
        <v>115</v>
      </c>
      <c r="J3191" s="4">
        <v>1933</v>
      </c>
      <c r="K3191" s="5">
        <v>0.16554578375581996</v>
      </c>
      <c r="L3191" s="5">
        <v>6.725297465080186E-3</v>
      </c>
    </row>
    <row r="3192" spans="7:12">
      <c r="G3192" t="s">
        <v>3825</v>
      </c>
      <c r="H3192" t="s">
        <v>390</v>
      </c>
      <c r="I3192" t="s">
        <v>218</v>
      </c>
      <c r="J3192" s="4">
        <v>3144</v>
      </c>
      <c r="K3192" s="5">
        <v>0.16539440203562342</v>
      </c>
      <c r="L3192" s="5">
        <v>9.8600508905852414E-3</v>
      </c>
    </row>
    <row r="3193" spans="7:12">
      <c r="G3193" t="s">
        <v>3826</v>
      </c>
      <c r="H3193" t="s">
        <v>495</v>
      </c>
      <c r="I3193" t="s">
        <v>370</v>
      </c>
      <c r="J3193" s="4">
        <v>16260</v>
      </c>
      <c r="K3193" s="5">
        <v>0.16531365313653137</v>
      </c>
      <c r="L3193" s="5">
        <v>6.5190651906519067E-3</v>
      </c>
    </row>
    <row r="3194" spans="7:12">
      <c r="G3194" t="s">
        <v>3827</v>
      </c>
      <c r="H3194" t="s">
        <v>346</v>
      </c>
      <c r="I3194" t="s">
        <v>182</v>
      </c>
      <c r="J3194" s="4">
        <v>4422</v>
      </c>
      <c r="K3194" s="5">
        <v>0.1653098145635459</v>
      </c>
      <c r="L3194" s="5">
        <v>1.1307100859339666E-2</v>
      </c>
    </row>
    <row r="3195" spans="7:12">
      <c r="G3195" t="s">
        <v>3828</v>
      </c>
      <c r="H3195" t="s">
        <v>218</v>
      </c>
      <c r="I3195" t="s">
        <v>340</v>
      </c>
      <c r="J3195" s="4">
        <v>6733</v>
      </c>
      <c r="K3195" s="5">
        <v>0.16530521312936283</v>
      </c>
      <c r="L3195" s="5">
        <v>9.0598544482400119E-3</v>
      </c>
    </row>
    <row r="3196" spans="7:12">
      <c r="G3196" t="s">
        <v>3829</v>
      </c>
      <c r="H3196" t="s">
        <v>322</v>
      </c>
      <c r="I3196" t="s">
        <v>1100</v>
      </c>
      <c r="J3196" s="4">
        <v>1095</v>
      </c>
      <c r="K3196" s="5">
        <v>0.16529680365296803</v>
      </c>
      <c r="L3196" s="5">
        <v>2.3744292237442923E-2</v>
      </c>
    </row>
    <row r="3197" spans="7:12">
      <c r="G3197" t="s">
        <v>3830</v>
      </c>
      <c r="H3197" t="s">
        <v>303</v>
      </c>
      <c r="I3197" t="s">
        <v>218</v>
      </c>
      <c r="J3197" s="4">
        <v>2293</v>
      </c>
      <c r="K3197" s="5">
        <v>0.16528565198430004</v>
      </c>
      <c r="L3197" s="5">
        <v>7.849978194505015E-3</v>
      </c>
    </row>
    <row r="3198" spans="7:12">
      <c r="G3198" t="s">
        <v>3831</v>
      </c>
      <c r="H3198" t="s">
        <v>313</v>
      </c>
      <c r="I3198" t="s">
        <v>268</v>
      </c>
      <c r="J3198" s="4">
        <v>1235</v>
      </c>
      <c r="K3198" s="5">
        <v>0.16518218623481781</v>
      </c>
      <c r="L3198" s="5">
        <v>4.048582995951417E-3</v>
      </c>
    </row>
    <row r="3199" spans="7:12">
      <c r="G3199" t="s">
        <v>3832</v>
      </c>
      <c r="H3199" t="s">
        <v>189</v>
      </c>
      <c r="I3199" t="s">
        <v>218</v>
      </c>
      <c r="J3199" s="4">
        <v>13023</v>
      </c>
      <c r="K3199" s="5">
        <v>0.16516931582584657</v>
      </c>
      <c r="L3199" s="5">
        <v>1.0135913384012899E-2</v>
      </c>
    </row>
    <row r="3200" spans="7:12">
      <c r="G3200" t="s">
        <v>3833</v>
      </c>
      <c r="H3200" t="s">
        <v>297</v>
      </c>
      <c r="I3200" t="s">
        <v>322</v>
      </c>
      <c r="J3200" s="4">
        <v>2350</v>
      </c>
      <c r="K3200" s="5">
        <v>0.1651063829787234</v>
      </c>
      <c r="L3200" s="5">
        <v>8.0851063829787233E-3</v>
      </c>
    </row>
    <row r="3201" spans="7:12">
      <c r="G3201" t="s">
        <v>3834</v>
      </c>
      <c r="H3201" t="s">
        <v>189</v>
      </c>
      <c r="I3201" t="s">
        <v>461</v>
      </c>
      <c r="J3201" s="4">
        <v>5040</v>
      </c>
      <c r="K3201" s="5">
        <v>0.16507936507936508</v>
      </c>
      <c r="L3201" s="5">
        <v>5.1587301587301586E-3</v>
      </c>
    </row>
    <row r="3202" spans="7:12">
      <c r="G3202" t="s">
        <v>3835</v>
      </c>
      <c r="H3202" t="s">
        <v>400</v>
      </c>
      <c r="I3202" t="s">
        <v>103</v>
      </c>
      <c r="J3202" s="4">
        <v>3431</v>
      </c>
      <c r="K3202" s="5">
        <v>0.16496648207519674</v>
      </c>
      <c r="L3202" s="5">
        <v>1.6613232293791896E-2</v>
      </c>
    </row>
    <row r="3203" spans="7:12">
      <c r="G3203" t="s">
        <v>3836</v>
      </c>
      <c r="H3203" t="s">
        <v>134</v>
      </c>
      <c r="I3203" t="s">
        <v>3837</v>
      </c>
      <c r="J3203" s="4">
        <v>1861</v>
      </c>
      <c r="K3203" s="5">
        <v>0.16496507254164428</v>
      </c>
      <c r="L3203" s="5">
        <v>2.0419129500268671E-2</v>
      </c>
    </row>
    <row r="3204" spans="7:12">
      <c r="G3204" t="s">
        <v>3838</v>
      </c>
      <c r="H3204" t="s">
        <v>162</v>
      </c>
      <c r="I3204" t="s">
        <v>346</v>
      </c>
      <c r="J3204" s="4">
        <v>4462</v>
      </c>
      <c r="K3204" s="5">
        <v>0.16494845360824742</v>
      </c>
      <c r="L3204" s="5">
        <v>1.0757507844016136E-2</v>
      </c>
    </row>
    <row r="3205" spans="7:12">
      <c r="G3205" t="s">
        <v>3839</v>
      </c>
      <c r="H3205" t="s">
        <v>204</v>
      </c>
      <c r="I3205" t="s">
        <v>408</v>
      </c>
      <c r="J3205" s="4">
        <v>6039</v>
      </c>
      <c r="K3205" s="5">
        <v>0.16492796820665673</v>
      </c>
      <c r="L3205" s="5">
        <v>2.0367610531544959E-2</v>
      </c>
    </row>
    <row r="3206" spans="7:12">
      <c r="G3206" t="s">
        <v>3840</v>
      </c>
      <c r="H3206" t="s">
        <v>182</v>
      </c>
      <c r="I3206" t="s">
        <v>218</v>
      </c>
      <c r="J3206" s="4">
        <v>7113</v>
      </c>
      <c r="K3206" s="5">
        <v>0.16490932096161956</v>
      </c>
      <c r="L3206" s="5">
        <v>8.5758470406298321E-3</v>
      </c>
    </row>
    <row r="3207" spans="7:12">
      <c r="G3207" t="s">
        <v>3841</v>
      </c>
      <c r="H3207" t="s">
        <v>282</v>
      </c>
      <c r="I3207" t="s">
        <v>377</v>
      </c>
      <c r="J3207" s="4">
        <v>1037</v>
      </c>
      <c r="K3207" s="5">
        <v>0.16489874638379942</v>
      </c>
      <c r="L3207" s="5">
        <v>1.446480231436837E-2</v>
      </c>
    </row>
    <row r="3208" spans="7:12">
      <c r="G3208" t="s">
        <v>3842</v>
      </c>
      <c r="H3208" t="s">
        <v>226</v>
      </c>
      <c r="I3208" t="s">
        <v>322</v>
      </c>
      <c r="J3208" s="4">
        <v>4797</v>
      </c>
      <c r="K3208" s="5">
        <v>0.16489472587033563</v>
      </c>
      <c r="L3208" s="5">
        <v>9.3808630393996256E-3</v>
      </c>
    </row>
    <row r="3209" spans="7:12">
      <c r="G3209" t="s">
        <v>3843</v>
      </c>
      <c r="H3209" t="s">
        <v>443</v>
      </c>
      <c r="I3209" t="s">
        <v>326</v>
      </c>
      <c r="J3209" s="4">
        <v>1656</v>
      </c>
      <c r="K3209" s="5">
        <v>0.16485507246376813</v>
      </c>
      <c r="L3209" s="5">
        <v>7.85024154589372E-3</v>
      </c>
    </row>
    <row r="3210" spans="7:12">
      <c r="G3210" t="s">
        <v>3844</v>
      </c>
      <c r="H3210" t="s">
        <v>428</v>
      </c>
      <c r="I3210" t="s">
        <v>100</v>
      </c>
      <c r="J3210" s="4">
        <v>7324</v>
      </c>
      <c r="K3210" s="5">
        <v>0.164800655379574</v>
      </c>
      <c r="L3210" s="5">
        <v>1.4336428181321682E-2</v>
      </c>
    </row>
    <row r="3211" spans="7:12">
      <c r="G3211" t="s">
        <v>3845</v>
      </c>
      <c r="H3211" t="s">
        <v>297</v>
      </c>
      <c r="I3211" t="s">
        <v>115</v>
      </c>
      <c r="J3211" s="4">
        <v>4612</v>
      </c>
      <c r="K3211" s="5">
        <v>0.1647875108412836</v>
      </c>
      <c r="L3211" s="5">
        <v>7.8057241977450131E-3</v>
      </c>
    </row>
    <row r="3212" spans="7:12">
      <c r="G3212" t="s">
        <v>3846</v>
      </c>
      <c r="H3212" t="s">
        <v>259</v>
      </c>
      <c r="I3212" t="s">
        <v>329</v>
      </c>
      <c r="J3212" s="4">
        <v>4145</v>
      </c>
      <c r="K3212" s="5">
        <v>0.16477683956574185</v>
      </c>
      <c r="L3212" s="5">
        <v>3.594692400482509E-2</v>
      </c>
    </row>
    <row r="3213" spans="7:12">
      <c r="G3213" t="s">
        <v>3847</v>
      </c>
      <c r="H3213" t="s">
        <v>218</v>
      </c>
      <c r="I3213" t="s">
        <v>434</v>
      </c>
      <c r="J3213" s="4">
        <v>2950</v>
      </c>
      <c r="K3213" s="5">
        <v>0.16474576271186442</v>
      </c>
      <c r="L3213" s="5">
        <v>7.7966101694915257E-3</v>
      </c>
    </row>
    <row r="3214" spans="7:12">
      <c r="G3214" t="s">
        <v>3848</v>
      </c>
      <c r="H3214" t="s">
        <v>472</v>
      </c>
      <c r="I3214" t="s">
        <v>189</v>
      </c>
      <c r="J3214" s="4">
        <v>2317</v>
      </c>
      <c r="K3214" s="5">
        <v>0.16443677168752696</v>
      </c>
      <c r="L3214" s="5">
        <v>3.8843331894691411E-3</v>
      </c>
    </row>
    <row r="3215" spans="7:12">
      <c r="G3215" t="s">
        <v>3849</v>
      </c>
      <c r="H3215" t="s">
        <v>377</v>
      </c>
      <c r="I3215" t="s">
        <v>218</v>
      </c>
      <c r="J3215" s="4">
        <v>11032</v>
      </c>
      <c r="K3215" s="5">
        <v>0.16443074691805656</v>
      </c>
      <c r="L3215" s="5">
        <v>5.5293691080493109E-3</v>
      </c>
    </row>
    <row r="3216" spans="7:12">
      <c r="G3216" t="s">
        <v>3850</v>
      </c>
      <c r="H3216" t="s">
        <v>215</v>
      </c>
      <c r="I3216" t="s">
        <v>100</v>
      </c>
      <c r="J3216" s="4">
        <v>3783</v>
      </c>
      <c r="K3216" s="5">
        <v>0.16441977266719535</v>
      </c>
      <c r="L3216" s="5">
        <v>9.5162569389373505E-3</v>
      </c>
    </row>
    <row r="3217" spans="7:12">
      <c r="G3217" t="s">
        <v>3851</v>
      </c>
      <c r="H3217" t="s">
        <v>489</v>
      </c>
      <c r="I3217" t="s">
        <v>103</v>
      </c>
      <c r="J3217" s="4">
        <v>8880</v>
      </c>
      <c r="K3217" s="5">
        <v>0.16441441441441443</v>
      </c>
      <c r="L3217" s="5">
        <v>6.9819819819819818E-3</v>
      </c>
    </row>
    <row r="3218" spans="7:12">
      <c r="G3218" t="s">
        <v>3852</v>
      </c>
      <c r="H3218" t="s">
        <v>301</v>
      </c>
      <c r="I3218" t="s">
        <v>218</v>
      </c>
      <c r="J3218" s="4">
        <v>3157</v>
      </c>
      <c r="K3218" s="5">
        <v>0.16439657903072538</v>
      </c>
      <c r="L3218" s="5">
        <v>1.2353500158378208E-2</v>
      </c>
    </row>
    <row r="3219" spans="7:12">
      <c r="G3219" t="s">
        <v>3853</v>
      </c>
      <c r="H3219" t="s">
        <v>218</v>
      </c>
      <c r="I3219" t="s">
        <v>388</v>
      </c>
      <c r="J3219" s="4">
        <v>8802</v>
      </c>
      <c r="K3219" s="5">
        <v>0.16439445580549875</v>
      </c>
      <c r="L3219" s="5">
        <v>1.2269938650306749E-2</v>
      </c>
    </row>
    <row r="3220" spans="7:12">
      <c r="G3220" t="s">
        <v>3854</v>
      </c>
      <c r="H3220" t="s">
        <v>408</v>
      </c>
      <c r="I3220" t="s">
        <v>115</v>
      </c>
      <c r="J3220" s="4">
        <v>3553</v>
      </c>
      <c r="K3220" s="5">
        <v>0.16436813960033775</v>
      </c>
      <c r="L3220" s="5">
        <v>8.7250211089220375E-3</v>
      </c>
    </row>
    <row r="3221" spans="7:12">
      <c r="G3221" t="s">
        <v>3855</v>
      </c>
      <c r="H3221" t="s">
        <v>305</v>
      </c>
      <c r="I3221" t="s">
        <v>259</v>
      </c>
      <c r="J3221" s="4">
        <v>2332</v>
      </c>
      <c r="K3221" s="5">
        <v>0.16423670668953688</v>
      </c>
      <c r="L3221" s="5">
        <v>2.6586620926243566E-2</v>
      </c>
    </row>
    <row r="3222" spans="7:12">
      <c r="G3222" t="s">
        <v>3856</v>
      </c>
      <c r="H3222" t="s">
        <v>509</v>
      </c>
      <c r="I3222" t="s">
        <v>100</v>
      </c>
      <c r="J3222" s="4">
        <v>2716</v>
      </c>
      <c r="K3222" s="5">
        <v>0.1642120765832106</v>
      </c>
      <c r="L3222" s="5">
        <v>2.0250368188512519E-2</v>
      </c>
    </row>
    <row r="3223" spans="7:12">
      <c r="G3223" t="s">
        <v>3857</v>
      </c>
      <c r="H3223" t="s">
        <v>398</v>
      </c>
      <c r="I3223" t="s">
        <v>352</v>
      </c>
      <c r="J3223" s="4">
        <v>1072</v>
      </c>
      <c r="K3223" s="5">
        <v>0.16417910447761194</v>
      </c>
      <c r="L3223" s="5">
        <v>2.798507462686567E-3</v>
      </c>
    </row>
    <row r="3224" spans="7:12">
      <c r="G3224" t="s">
        <v>3858</v>
      </c>
      <c r="H3224" t="s">
        <v>278</v>
      </c>
      <c r="I3224" t="s">
        <v>103</v>
      </c>
      <c r="J3224" s="4">
        <v>2175</v>
      </c>
      <c r="K3224" s="5">
        <v>0.16413793103448276</v>
      </c>
      <c r="L3224" s="5">
        <v>9.1954022988505746E-3</v>
      </c>
    </row>
    <row r="3225" spans="7:12">
      <c r="G3225" t="s">
        <v>3859</v>
      </c>
      <c r="H3225" t="s">
        <v>322</v>
      </c>
      <c r="I3225" t="s">
        <v>408</v>
      </c>
      <c r="J3225" s="4">
        <v>3479</v>
      </c>
      <c r="K3225" s="5">
        <v>0.16412762288013796</v>
      </c>
      <c r="L3225" s="5">
        <v>6.8985340615119288E-3</v>
      </c>
    </row>
    <row r="3226" spans="7:12">
      <c r="G3226" t="s">
        <v>3860</v>
      </c>
      <c r="H3226" t="s">
        <v>484</v>
      </c>
      <c r="I3226" t="s">
        <v>455</v>
      </c>
      <c r="J3226" s="4">
        <v>2608</v>
      </c>
      <c r="K3226" s="5">
        <v>0.16411042944785276</v>
      </c>
      <c r="L3226" s="5">
        <v>7.668711656441718E-4</v>
      </c>
    </row>
    <row r="3227" spans="7:12">
      <c r="G3227" t="s">
        <v>3861</v>
      </c>
      <c r="H3227" t="s">
        <v>358</v>
      </c>
      <c r="I3227" t="s">
        <v>218</v>
      </c>
      <c r="J3227" s="4">
        <v>9738</v>
      </c>
      <c r="K3227" s="5">
        <v>0.164099404395153</v>
      </c>
      <c r="L3227" s="5">
        <v>1.1295953994660095E-2</v>
      </c>
    </row>
    <row r="3228" spans="7:12">
      <c r="G3228" t="s">
        <v>3862</v>
      </c>
      <c r="H3228" t="s">
        <v>495</v>
      </c>
      <c r="I3228" t="s">
        <v>131</v>
      </c>
      <c r="J3228" s="4">
        <v>5180</v>
      </c>
      <c r="K3228" s="5">
        <v>0.1640926640926641</v>
      </c>
      <c r="L3228" s="5">
        <v>1.1583011583011582E-3</v>
      </c>
    </row>
    <row r="3229" spans="7:12">
      <c r="G3229" t="s">
        <v>3863</v>
      </c>
      <c r="H3229" t="s">
        <v>204</v>
      </c>
      <c r="I3229" t="s">
        <v>377</v>
      </c>
      <c r="J3229" s="4">
        <v>7194</v>
      </c>
      <c r="K3229" s="5">
        <v>0.16402557686961355</v>
      </c>
      <c r="L3229" s="5">
        <v>1.570753405615791E-2</v>
      </c>
    </row>
    <row r="3230" spans="7:12">
      <c r="G3230" t="s">
        <v>3864</v>
      </c>
      <c r="H3230" t="s">
        <v>204</v>
      </c>
      <c r="I3230" t="s">
        <v>129</v>
      </c>
      <c r="J3230" s="4">
        <v>1549</v>
      </c>
      <c r="K3230" s="5">
        <v>0.16397675919948354</v>
      </c>
      <c r="L3230" s="5">
        <v>9.6836668818592632E-3</v>
      </c>
    </row>
    <row r="3231" spans="7:12">
      <c r="G3231" t="s">
        <v>3865</v>
      </c>
      <c r="H3231" t="s">
        <v>243</v>
      </c>
      <c r="I3231" t="s">
        <v>322</v>
      </c>
      <c r="J3231" s="4">
        <v>3289</v>
      </c>
      <c r="K3231" s="5">
        <v>0.16387959866220736</v>
      </c>
      <c r="L3231" s="5">
        <v>8.817269686834904E-3</v>
      </c>
    </row>
    <row r="3232" spans="7:12">
      <c r="G3232" t="s">
        <v>3866</v>
      </c>
      <c r="H3232" t="s">
        <v>226</v>
      </c>
      <c r="I3232" t="s">
        <v>204</v>
      </c>
      <c r="J3232" s="4">
        <v>2508</v>
      </c>
      <c r="K3232" s="5">
        <v>0.1638755980861244</v>
      </c>
      <c r="L3232" s="5">
        <v>3.5885167464114833E-3</v>
      </c>
    </row>
    <row r="3233" spans="7:12">
      <c r="G3233" t="s">
        <v>3867</v>
      </c>
      <c r="H3233" t="s">
        <v>509</v>
      </c>
      <c r="I3233" t="s">
        <v>89</v>
      </c>
      <c r="J3233" s="4">
        <v>3125</v>
      </c>
      <c r="K3233" s="5">
        <v>0.16384000000000001</v>
      </c>
      <c r="L3233" s="5">
        <v>2.6239999999999999E-2</v>
      </c>
    </row>
    <row r="3234" spans="7:12">
      <c r="G3234" t="s">
        <v>3868</v>
      </c>
      <c r="H3234" t="s">
        <v>233</v>
      </c>
      <c r="I3234" t="s">
        <v>236</v>
      </c>
      <c r="J3234" s="4">
        <v>3809</v>
      </c>
      <c r="K3234" s="5">
        <v>0.16382252559726962</v>
      </c>
      <c r="L3234" s="5">
        <v>1.0763980047256498E-2</v>
      </c>
    </row>
    <row r="3235" spans="7:12">
      <c r="G3235" t="s">
        <v>3869</v>
      </c>
      <c r="H3235" t="s">
        <v>149</v>
      </c>
      <c r="I3235" t="s">
        <v>414</v>
      </c>
      <c r="J3235" s="4">
        <v>5770</v>
      </c>
      <c r="K3235" s="5">
        <v>0.16377816291161179</v>
      </c>
      <c r="L3235" s="5">
        <v>2.6169844020797226E-2</v>
      </c>
    </row>
    <row r="3236" spans="7:12">
      <c r="G3236" t="s">
        <v>3870</v>
      </c>
      <c r="H3236" t="s">
        <v>418</v>
      </c>
      <c r="I3236" t="s">
        <v>160</v>
      </c>
      <c r="J3236" s="4">
        <v>1258</v>
      </c>
      <c r="K3236" s="5">
        <v>0.16375198728139906</v>
      </c>
      <c r="L3236" s="5">
        <v>9.538950715421303E-3</v>
      </c>
    </row>
    <row r="3237" spans="7:12">
      <c r="G3237" t="s">
        <v>3871</v>
      </c>
      <c r="H3237" t="s">
        <v>297</v>
      </c>
      <c r="I3237" t="s">
        <v>85</v>
      </c>
      <c r="J3237" s="4">
        <v>1454</v>
      </c>
      <c r="K3237" s="5">
        <v>0.16368638239339753</v>
      </c>
      <c r="L3237" s="5">
        <v>1.7193947730398899E-2</v>
      </c>
    </row>
    <row r="3238" spans="7:12">
      <c r="G3238" t="s">
        <v>3872</v>
      </c>
      <c r="H3238" t="s">
        <v>3759</v>
      </c>
      <c r="I3238" t="s">
        <v>103</v>
      </c>
      <c r="J3238" s="4">
        <v>2102</v>
      </c>
      <c r="K3238" s="5">
        <v>0.16365366317792579</v>
      </c>
      <c r="L3238" s="5">
        <v>1.7126546146527116E-2</v>
      </c>
    </row>
    <row r="3239" spans="7:12">
      <c r="G3239" t="s">
        <v>3873</v>
      </c>
      <c r="H3239" t="s">
        <v>268</v>
      </c>
      <c r="I3239" t="s">
        <v>503</v>
      </c>
      <c r="J3239" s="4">
        <v>1815</v>
      </c>
      <c r="K3239" s="5">
        <v>0.16363636363636364</v>
      </c>
      <c r="L3239" s="5">
        <v>6.0606060606060606E-3</v>
      </c>
    </row>
    <row r="3240" spans="7:12">
      <c r="G3240" t="s">
        <v>3874</v>
      </c>
      <c r="H3240" t="s">
        <v>218</v>
      </c>
      <c r="I3240" t="s">
        <v>356</v>
      </c>
      <c r="J3240" s="4">
        <v>6525</v>
      </c>
      <c r="K3240" s="5">
        <v>0.1635249042145594</v>
      </c>
      <c r="L3240" s="5">
        <v>1.2873563218390805E-2</v>
      </c>
    </row>
    <row r="3241" spans="7:12">
      <c r="G3241" t="s">
        <v>3875</v>
      </c>
      <c r="H3241" t="s">
        <v>268</v>
      </c>
      <c r="I3241" t="s">
        <v>221</v>
      </c>
      <c r="J3241" s="4">
        <v>6748</v>
      </c>
      <c r="K3241" s="5">
        <v>0.16345583876704209</v>
      </c>
      <c r="L3241" s="5">
        <v>8.0023710729104913E-3</v>
      </c>
    </row>
    <row r="3242" spans="7:12">
      <c r="G3242" t="s">
        <v>3876</v>
      </c>
      <c r="H3242" t="s">
        <v>463</v>
      </c>
      <c r="I3242" t="s">
        <v>326</v>
      </c>
      <c r="J3242" s="4">
        <v>1010</v>
      </c>
      <c r="K3242" s="5">
        <v>0.16336633663366337</v>
      </c>
      <c r="L3242" s="5">
        <v>6.9306930693069308E-3</v>
      </c>
    </row>
    <row r="3243" spans="7:12">
      <c r="G3243" t="s">
        <v>3877</v>
      </c>
      <c r="H3243" t="s">
        <v>3608</v>
      </c>
      <c r="I3243" t="s">
        <v>103</v>
      </c>
      <c r="J3243" s="4">
        <v>2106</v>
      </c>
      <c r="K3243" s="5">
        <v>0.16334283000949668</v>
      </c>
      <c r="L3243" s="5">
        <v>1.5194681861348529E-2</v>
      </c>
    </row>
    <row r="3244" spans="7:12">
      <c r="G3244" t="s">
        <v>3878</v>
      </c>
      <c r="H3244" t="s">
        <v>377</v>
      </c>
      <c r="I3244" t="s">
        <v>295</v>
      </c>
      <c r="J3244" s="4">
        <v>1402</v>
      </c>
      <c r="K3244" s="5">
        <v>0.16333808844507847</v>
      </c>
      <c r="L3244" s="5">
        <v>6.4194008559201139E-3</v>
      </c>
    </row>
    <row r="3245" spans="7:12">
      <c r="G3245" t="s">
        <v>3879</v>
      </c>
      <c r="H3245" t="s">
        <v>182</v>
      </c>
      <c r="I3245" t="s">
        <v>461</v>
      </c>
      <c r="J3245" s="4">
        <v>7635</v>
      </c>
      <c r="K3245" s="5">
        <v>0.16332678454485919</v>
      </c>
      <c r="L3245" s="5">
        <v>5.6319580877537655E-3</v>
      </c>
    </row>
    <row r="3246" spans="7:12">
      <c r="G3246" t="s">
        <v>3880</v>
      </c>
      <c r="H3246" t="s">
        <v>89</v>
      </c>
      <c r="I3246" t="s">
        <v>499</v>
      </c>
      <c r="J3246" s="4">
        <v>4618</v>
      </c>
      <c r="K3246" s="5">
        <v>0.16327414465136422</v>
      </c>
      <c r="L3246" s="5">
        <v>2.4469467301862276E-2</v>
      </c>
    </row>
    <row r="3247" spans="7:12">
      <c r="G3247" t="s">
        <v>3881</v>
      </c>
      <c r="H3247" t="s">
        <v>259</v>
      </c>
      <c r="I3247" t="s">
        <v>331</v>
      </c>
      <c r="J3247" s="4">
        <v>5838</v>
      </c>
      <c r="K3247" s="5">
        <v>0.16324083590270641</v>
      </c>
      <c r="L3247" s="5">
        <v>3.066118533744433E-2</v>
      </c>
    </row>
    <row r="3248" spans="7:12">
      <c r="G3248" t="s">
        <v>3882</v>
      </c>
      <c r="H3248" t="s">
        <v>434</v>
      </c>
      <c r="I3248" t="s">
        <v>160</v>
      </c>
      <c r="J3248" s="4">
        <v>5091</v>
      </c>
      <c r="K3248" s="5">
        <v>0.1632292280494991</v>
      </c>
      <c r="L3248" s="5">
        <v>1.198192889412689E-2</v>
      </c>
    </row>
    <row r="3249" spans="7:12">
      <c r="G3249" t="s">
        <v>3883</v>
      </c>
      <c r="H3249" t="s">
        <v>377</v>
      </c>
      <c r="I3249" t="s">
        <v>346</v>
      </c>
      <c r="J3249" s="4">
        <v>2714</v>
      </c>
      <c r="K3249" s="5">
        <v>0.16322770817980839</v>
      </c>
      <c r="L3249" s="5">
        <v>6.263817243920413E-3</v>
      </c>
    </row>
    <row r="3250" spans="7:12">
      <c r="G3250" t="s">
        <v>3884</v>
      </c>
      <c r="H3250" t="s">
        <v>89</v>
      </c>
      <c r="I3250" t="s">
        <v>482</v>
      </c>
      <c r="J3250" s="4">
        <v>1771</v>
      </c>
      <c r="K3250" s="5">
        <v>0.16318464144551101</v>
      </c>
      <c r="L3250" s="5">
        <v>1.1857707509881422E-2</v>
      </c>
    </row>
    <row r="3251" spans="7:12">
      <c r="G3251" t="s">
        <v>3885</v>
      </c>
      <c r="H3251" t="s">
        <v>404</v>
      </c>
      <c r="I3251" t="s">
        <v>89</v>
      </c>
      <c r="J3251" s="4">
        <v>2985</v>
      </c>
      <c r="K3251" s="5">
        <v>0.16314907872696818</v>
      </c>
      <c r="L3251" s="5">
        <v>1.8090452261306532E-2</v>
      </c>
    </row>
    <row r="3252" spans="7:12">
      <c r="G3252" t="s">
        <v>3886</v>
      </c>
      <c r="H3252" t="s">
        <v>416</v>
      </c>
      <c r="I3252" t="s">
        <v>115</v>
      </c>
      <c r="J3252" s="4">
        <v>2552</v>
      </c>
      <c r="K3252" s="5">
        <v>0.16300940438871472</v>
      </c>
      <c r="L3252" s="5">
        <v>1.0971786833855799E-2</v>
      </c>
    </row>
    <row r="3253" spans="7:12">
      <c r="G3253" t="s">
        <v>3887</v>
      </c>
      <c r="H3253" t="s">
        <v>259</v>
      </c>
      <c r="I3253" t="s">
        <v>288</v>
      </c>
      <c r="J3253" s="4">
        <v>5847</v>
      </c>
      <c r="K3253" s="5">
        <v>0.16298956729946981</v>
      </c>
      <c r="L3253" s="5">
        <v>4.0362579100393363E-2</v>
      </c>
    </row>
    <row r="3254" spans="7:12">
      <c r="G3254" t="s">
        <v>3888</v>
      </c>
      <c r="H3254" t="s">
        <v>301</v>
      </c>
      <c r="I3254" t="s">
        <v>149</v>
      </c>
      <c r="J3254" s="4">
        <v>3688</v>
      </c>
      <c r="K3254" s="5">
        <v>0.16296095444685466</v>
      </c>
      <c r="L3254" s="5">
        <v>3.6605206073752714E-2</v>
      </c>
    </row>
    <row r="3255" spans="7:12">
      <c r="G3255" t="s">
        <v>3889</v>
      </c>
      <c r="H3255" t="s">
        <v>495</v>
      </c>
      <c r="I3255" t="s">
        <v>398</v>
      </c>
      <c r="J3255" s="4">
        <v>3002</v>
      </c>
      <c r="K3255" s="5">
        <v>0.16289140572951366</v>
      </c>
      <c r="L3255" s="5">
        <v>1.2658227848101266E-2</v>
      </c>
    </row>
    <row r="3256" spans="7:12">
      <c r="G3256" t="s">
        <v>3890</v>
      </c>
      <c r="H3256" t="s">
        <v>455</v>
      </c>
      <c r="I3256" t="s">
        <v>449</v>
      </c>
      <c r="J3256" s="4">
        <v>5434</v>
      </c>
      <c r="K3256" s="5">
        <v>0.16286345233713656</v>
      </c>
      <c r="L3256" s="5">
        <v>5.1527419948472581E-3</v>
      </c>
    </row>
    <row r="3257" spans="7:12">
      <c r="G3257" t="s">
        <v>3891</v>
      </c>
      <c r="H3257" t="s">
        <v>2626</v>
      </c>
      <c r="I3257" t="s">
        <v>463</v>
      </c>
      <c r="J3257" s="4">
        <v>1087</v>
      </c>
      <c r="K3257" s="5">
        <v>0.16283348666053357</v>
      </c>
      <c r="L3257" s="5">
        <v>3.0358785648574058E-2</v>
      </c>
    </row>
    <row r="3258" spans="7:12">
      <c r="G3258" t="s">
        <v>3892</v>
      </c>
      <c r="H3258" t="s">
        <v>2531</v>
      </c>
      <c r="I3258" t="s">
        <v>89</v>
      </c>
      <c r="J3258" s="4">
        <v>4877</v>
      </c>
      <c r="K3258" s="5">
        <v>0.16280500307566126</v>
      </c>
      <c r="L3258" s="5">
        <v>1.4968218166905885E-2</v>
      </c>
    </row>
    <row r="3259" spans="7:12">
      <c r="G3259" t="s">
        <v>3893</v>
      </c>
      <c r="H3259" t="s">
        <v>140</v>
      </c>
      <c r="I3259" t="s">
        <v>422</v>
      </c>
      <c r="J3259" s="4">
        <v>7323</v>
      </c>
      <c r="K3259" s="5">
        <v>0.16277481906322547</v>
      </c>
      <c r="L3259" s="5">
        <v>4.5200054622422506E-2</v>
      </c>
    </row>
    <row r="3260" spans="7:12">
      <c r="G3260" t="s">
        <v>3894</v>
      </c>
      <c r="H3260" t="s">
        <v>218</v>
      </c>
      <c r="I3260" t="s">
        <v>313</v>
      </c>
      <c r="J3260" s="4">
        <v>6532</v>
      </c>
      <c r="K3260" s="5">
        <v>0.1627372933251684</v>
      </c>
      <c r="L3260" s="5">
        <v>1.0869565217391304E-2</v>
      </c>
    </row>
    <row r="3261" spans="7:12">
      <c r="G3261" t="s">
        <v>3895</v>
      </c>
      <c r="H3261" t="s">
        <v>215</v>
      </c>
      <c r="I3261" t="s">
        <v>440</v>
      </c>
      <c r="J3261" s="4">
        <v>5279</v>
      </c>
      <c r="K3261" s="5">
        <v>0.16272021216139421</v>
      </c>
      <c r="L3261" s="5">
        <v>1.1176359158931616E-2</v>
      </c>
    </row>
    <row r="3262" spans="7:12">
      <c r="G3262" t="s">
        <v>3896</v>
      </c>
      <c r="H3262" t="s">
        <v>372</v>
      </c>
      <c r="I3262" t="s">
        <v>137</v>
      </c>
      <c r="J3262" s="4">
        <v>1850</v>
      </c>
      <c r="K3262" s="5">
        <v>0.16270270270270271</v>
      </c>
      <c r="L3262" s="5">
        <v>1.6216216216216217E-2</v>
      </c>
    </row>
    <row r="3263" spans="7:12">
      <c r="G3263" t="s">
        <v>3897</v>
      </c>
      <c r="H3263" t="s">
        <v>336</v>
      </c>
      <c r="I3263" t="s">
        <v>259</v>
      </c>
      <c r="J3263" s="4">
        <v>2865</v>
      </c>
      <c r="K3263" s="5">
        <v>0.16265270506108204</v>
      </c>
      <c r="L3263" s="5">
        <v>3.2460732984293195E-2</v>
      </c>
    </row>
    <row r="3264" spans="7:12">
      <c r="G3264" t="s">
        <v>3898</v>
      </c>
      <c r="H3264" t="s">
        <v>406</v>
      </c>
      <c r="I3264" t="s">
        <v>322</v>
      </c>
      <c r="J3264" s="4">
        <v>3185</v>
      </c>
      <c r="K3264" s="5">
        <v>0.16263736263736264</v>
      </c>
      <c r="L3264" s="5">
        <v>5.6514913657770803E-3</v>
      </c>
    </row>
    <row r="3265" spans="7:12">
      <c r="G3265" t="s">
        <v>3899</v>
      </c>
      <c r="H3265" t="s">
        <v>370</v>
      </c>
      <c r="I3265" t="s">
        <v>221</v>
      </c>
      <c r="J3265" s="4">
        <v>5036</v>
      </c>
      <c r="K3265" s="5">
        <v>0.16262907069102461</v>
      </c>
      <c r="L3265" s="5">
        <v>1.0325655281969817E-2</v>
      </c>
    </row>
    <row r="3266" spans="7:12">
      <c r="G3266" t="s">
        <v>3900</v>
      </c>
      <c r="H3266" t="s">
        <v>218</v>
      </c>
      <c r="I3266" t="s">
        <v>3650</v>
      </c>
      <c r="J3266" s="4">
        <v>1759</v>
      </c>
      <c r="K3266" s="5">
        <v>0.16259238203524731</v>
      </c>
      <c r="L3266" s="5">
        <v>1.137009664582149E-2</v>
      </c>
    </row>
    <row r="3267" spans="7:12">
      <c r="G3267" t="s">
        <v>3901</v>
      </c>
      <c r="H3267" t="s">
        <v>377</v>
      </c>
      <c r="I3267" t="s">
        <v>422</v>
      </c>
      <c r="J3267" s="4">
        <v>3039</v>
      </c>
      <c r="K3267" s="5">
        <v>0.1625534715366897</v>
      </c>
      <c r="L3267" s="5">
        <v>6.5811122079631459E-3</v>
      </c>
    </row>
    <row r="3268" spans="7:12">
      <c r="G3268" t="s">
        <v>3902</v>
      </c>
      <c r="H3268" t="s">
        <v>326</v>
      </c>
      <c r="I3268" t="s">
        <v>191</v>
      </c>
      <c r="J3268" s="4">
        <v>1243</v>
      </c>
      <c r="K3268" s="5">
        <v>0.16251005631536605</v>
      </c>
      <c r="L3268" s="5">
        <v>4.8270313757039418E-3</v>
      </c>
    </row>
    <row r="3269" spans="7:12">
      <c r="G3269" t="s">
        <v>3903</v>
      </c>
      <c r="H3269" t="s">
        <v>463</v>
      </c>
      <c r="I3269" t="s">
        <v>377</v>
      </c>
      <c r="J3269" s="4">
        <v>2000</v>
      </c>
      <c r="K3269" s="5">
        <v>0.16250000000000001</v>
      </c>
      <c r="L3269" s="5">
        <v>6.0000000000000001E-3</v>
      </c>
    </row>
    <row r="3270" spans="7:12">
      <c r="G3270" t="s">
        <v>3904</v>
      </c>
      <c r="H3270" t="s">
        <v>336</v>
      </c>
      <c r="I3270" t="s">
        <v>100</v>
      </c>
      <c r="J3270" s="4">
        <v>7947</v>
      </c>
      <c r="K3270" s="5">
        <v>0.16245123946143197</v>
      </c>
      <c r="L3270" s="5">
        <v>1.447086951050711E-2</v>
      </c>
    </row>
    <row r="3271" spans="7:12">
      <c r="G3271" t="s">
        <v>3905</v>
      </c>
      <c r="H3271" t="s">
        <v>115</v>
      </c>
      <c r="I3271" t="s">
        <v>149</v>
      </c>
      <c r="J3271" s="4">
        <v>1533</v>
      </c>
      <c r="K3271" s="5">
        <v>0.16242661448140899</v>
      </c>
      <c r="L3271" s="5">
        <v>4.5009784735812131E-2</v>
      </c>
    </row>
    <row r="3272" spans="7:12">
      <c r="G3272" t="s">
        <v>3906</v>
      </c>
      <c r="H3272" t="s">
        <v>268</v>
      </c>
      <c r="I3272" t="s">
        <v>461</v>
      </c>
      <c r="J3272" s="4">
        <v>1176</v>
      </c>
      <c r="K3272" s="5">
        <v>0.16241496598639457</v>
      </c>
      <c r="L3272" s="5">
        <v>2.5510204081632651E-3</v>
      </c>
    </row>
    <row r="3273" spans="7:12">
      <c r="G3273" t="s">
        <v>3907</v>
      </c>
      <c r="H3273" t="s">
        <v>259</v>
      </c>
      <c r="I3273" t="s">
        <v>388</v>
      </c>
      <c r="J3273" s="4">
        <v>1946</v>
      </c>
      <c r="K3273" s="5">
        <v>0.16238437821171633</v>
      </c>
      <c r="L3273" s="5">
        <v>3.7512846865364852E-2</v>
      </c>
    </row>
    <row r="3274" spans="7:12">
      <c r="G3274" t="s">
        <v>3908</v>
      </c>
      <c r="H3274" t="s">
        <v>422</v>
      </c>
      <c r="I3274" t="s">
        <v>118</v>
      </c>
      <c r="J3274" s="4">
        <v>9306</v>
      </c>
      <c r="K3274" s="5">
        <v>0.16236836449602407</v>
      </c>
      <c r="L3274" s="5">
        <v>1.1712873415001074E-2</v>
      </c>
    </row>
    <row r="3275" spans="7:12">
      <c r="G3275" t="s">
        <v>3909</v>
      </c>
      <c r="H3275" t="s">
        <v>406</v>
      </c>
      <c r="I3275" t="s">
        <v>377</v>
      </c>
      <c r="J3275" s="4">
        <v>4097</v>
      </c>
      <c r="K3275" s="5">
        <v>0.16231388821088602</v>
      </c>
      <c r="L3275" s="5">
        <v>6.8342689773004638E-3</v>
      </c>
    </row>
    <row r="3276" spans="7:12">
      <c r="G3276" t="s">
        <v>3910</v>
      </c>
      <c r="H3276" t="s">
        <v>377</v>
      </c>
      <c r="I3276" t="s">
        <v>309</v>
      </c>
      <c r="J3276" s="4">
        <v>4303</v>
      </c>
      <c r="K3276" s="5">
        <v>0.16221240994654892</v>
      </c>
      <c r="L3276" s="5">
        <v>7.6690680920288171E-3</v>
      </c>
    </row>
    <row r="3277" spans="7:12">
      <c r="G3277" t="s">
        <v>3911</v>
      </c>
      <c r="H3277" t="s">
        <v>259</v>
      </c>
      <c r="I3277" t="s">
        <v>340</v>
      </c>
      <c r="J3277" s="4">
        <v>3163</v>
      </c>
      <c r="K3277" s="5">
        <v>0.16218779639582676</v>
      </c>
      <c r="L3277" s="5">
        <v>3.4777110338286434E-2</v>
      </c>
    </row>
    <row r="3278" spans="7:12">
      <c r="G3278" t="s">
        <v>3912</v>
      </c>
      <c r="H3278" t="s">
        <v>410</v>
      </c>
      <c r="I3278" t="s">
        <v>202</v>
      </c>
      <c r="J3278" s="4">
        <v>1338</v>
      </c>
      <c r="K3278" s="5">
        <v>0.16218236173393125</v>
      </c>
      <c r="L3278" s="5">
        <v>1.3452914798206279E-2</v>
      </c>
    </row>
    <row r="3279" spans="7:12">
      <c r="G3279" t="s">
        <v>3913</v>
      </c>
      <c r="H3279" t="s">
        <v>406</v>
      </c>
      <c r="I3279" t="s">
        <v>136</v>
      </c>
      <c r="J3279" s="4">
        <v>4434</v>
      </c>
      <c r="K3279" s="5">
        <v>0.16215606675687866</v>
      </c>
      <c r="L3279" s="5">
        <v>1.3306269733874606E-2</v>
      </c>
    </row>
    <row r="3280" spans="7:12">
      <c r="G3280" t="s">
        <v>3914</v>
      </c>
      <c r="H3280" t="s">
        <v>416</v>
      </c>
      <c r="I3280" t="s">
        <v>326</v>
      </c>
      <c r="J3280" s="4">
        <v>7729</v>
      </c>
      <c r="K3280" s="5">
        <v>0.16211670332513908</v>
      </c>
      <c r="L3280" s="5">
        <v>4.3990166903868548E-3</v>
      </c>
    </row>
    <row r="3281" spans="7:12">
      <c r="G3281" t="s">
        <v>3915</v>
      </c>
      <c r="H3281" t="s">
        <v>89</v>
      </c>
      <c r="I3281" t="s">
        <v>3916</v>
      </c>
      <c r="J3281" s="4">
        <v>2184</v>
      </c>
      <c r="K3281" s="5">
        <v>0.16208791208791209</v>
      </c>
      <c r="L3281" s="5">
        <v>2.60989010989011E-2</v>
      </c>
    </row>
    <row r="3282" spans="7:12">
      <c r="G3282" t="s">
        <v>3917</v>
      </c>
      <c r="H3282" t="s">
        <v>329</v>
      </c>
      <c r="I3282" t="s">
        <v>259</v>
      </c>
      <c r="J3282" s="4">
        <v>4146</v>
      </c>
      <c r="K3282" s="5">
        <v>0.16208393632416787</v>
      </c>
      <c r="L3282" s="5">
        <v>3.6179450072358899E-2</v>
      </c>
    </row>
    <row r="3283" spans="7:12">
      <c r="G3283" t="s">
        <v>3918</v>
      </c>
      <c r="H3283" t="s">
        <v>215</v>
      </c>
      <c r="I3283" t="s">
        <v>404</v>
      </c>
      <c r="J3283" s="4">
        <v>4794</v>
      </c>
      <c r="K3283" s="5">
        <v>0.1620775969962453</v>
      </c>
      <c r="L3283" s="5">
        <v>8.7609511889862324E-3</v>
      </c>
    </row>
    <row r="3284" spans="7:12">
      <c r="G3284" t="s">
        <v>3919</v>
      </c>
      <c r="H3284" t="s">
        <v>182</v>
      </c>
      <c r="I3284" t="s">
        <v>118</v>
      </c>
      <c r="J3284" s="4">
        <v>8853</v>
      </c>
      <c r="K3284" s="5">
        <v>0.16197899017282277</v>
      </c>
      <c r="L3284" s="5">
        <v>1.1295606009262396E-2</v>
      </c>
    </row>
    <row r="3285" spans="7:12">
      <c r="G3285" t="s">
        <v>3920</v>
      </c>
      <c r="H3285" t="s">
        <v>513</v>
      </c>
      <c r="I3285" t="s">
        <v>3921</v>
      </c>
      <c r="J3285" s="4">
        <v>1087</v>
      </c>
      <c r="K3285" s="5">
        <v>0.16191352345906163</v>
      </c>
      <c r="L3285" s="5">
        <v>1.655933762649494E-2</v>
      </c>
    </row>
    <row r="3286" spans="7:12">
      <c r="G3286" t="s">
        <v>3922</v>
      </c>
      <c r="H3286" t="s">
        <v>322</v>
      </c>
      <c r="I3286" t="s">
        <v>236</v>
      </c>
      <c r="J3286" s="4">
        <v>5672</v>
      </c>
      <c r="K3286" s="5">
        <v>0.16184767277856135</v>
      </c>
      <c r="L3286" s="5">
        <v>6.1706629055007052E-3</v>
      </c>
    </row>
    <row r="3287" spans="7:12">
      <c r="G3287" t="s">
        <v>3923</v>
      </c>
      <c r="H3287" t="s">
        <v>326</v>
      </c>
      <c r="I3287" t="s">
        <v>322</v>
      </c>
      <c r="J3287" s="4">
        <v>7121</v>
      </c>
      <c r="K3287" s="5">
        <v>0.16177503159668585</v>
      </c>
      <c r="L3287" s="5">
        <v>8.1449234658053649E-3</v>
      </c>
    </row>
    <row r="3288" spans="7:12">
      <c r="G3288" t="s">
        <v>3924</v>
      </c>
      <c r="H3288" t="s">
        <v>131</v>
      </c>
      <c r="I3288" t="s">
        <v>346</v>
      </c>
      <c r="J3288" s="4">
        <v>2992</v>
      </c>
      <c r="K3288" s="5">
        <v>0.16176470588235295</v>
      </c>
      <c r="L3288" s="5">
        <v>9.6925133689839578E-3</v>
      </c>
    </row>
    <row r="3289" spans="7:12">
      <c r="G3289" t="s">
        <v>3925</v>
      </c>
      <c r="H3289" t="s">
        <v>240</v>
      </c>
      <c r="I3289" t="s">
        <v>218</v>
      </c>
      <c r="J3289" s="4">
        <v>6467</v>
      </c>
      <c r="K3289" s="5">
        <v>0.16174423998762949</v>
      </c>
      <c r="L3289" s="5">
        <v>9.4325034792021034E-3</v>
      </c>
    </row>
    <row r="3290" spans="7:12">
      <c r="G3290" t="s">
        <v>3926</v>
      </c>
      <c r="H3290" t="s">
        <v>218</v>
      </c>
      <c r="I3290" t="s">
        <v>144</v>
      </c>
      <c r="J3290" s="4">
        <v>6140</v>
      </c>
      <c r="K3290" s="5">
        <v>0.16172638436482084</v>
      </c>
      <c r="L3290" s="5">
        <v>1.4006514657980456E-2</v>
      </c>
    </row>
    <row r="3291" spans="7:12">
      <c r="G3291" t="s">
        <v>3927</v>
      </c>
      <c r="H3291" t="s">
        <v>347</v>
      </c>
      <c r="I3291" t="s">
        <v>115</v>
      </c>
      <c r="J3291" s="4">
        <v>3377</v>
      </c>
      <c r="K3291" s="5">
        <v>0.16168196624222683</v>
      </c>
      <c r="L3291" s="5">
        <v>7.403020432336393E-3</v>
      </c>
    </row>
    <row r="3292" spans="7:12">
      <c r="G3292" t="s">
        <v>3928</v>
      </c>
      <c r="H3292" t="s">
        <v>218</v>
      </c>
      <c r="I3292" t="s">
        <v>453</v>
      </c>
      <c r="J3292" s="4">
        <v>9012</v>
      </c>
      <c r="K3292" s="5">
        <v>0.16167332445628052</v>
      </c>
      <c r="L3292" s="5">
        <v>6.879715934309809E-3</v>
      </c>
    </row>
    <row r="3293" spans="7:12">
      <c r="G3293" t="s">
        <v>3929</v>
      </c>
      <c r="H3293" t="s">
        <v>408</v>
      </c>
      <c r="I3293" t="s">
        <v>352</v>
      </c>
      <c r="J3293" s="4">
        <v>1163</v>
      </c>
      <c r="K3293" s="5">
        <v>0.16165090283748926</v>
      </c>
      <c r="L3293" s="5">
        <v>2.5795356835769563E-3</v>
      </c>
    </row>
    <row r="3294" spans="7:12">
      <c r="G3294" t="s">
        <v>3930</v>
      </c>
      <c r="H3294" t="s">
        <v>89</v>
      </c>
      <c r="I3294" t="s">
        <v>3795</v>
      </c>
      <c r="J3294" s="4">
        <v>2184</v>
      </c>
      <c r="K3294" s="5">
        <v>0.16163003663003664</v>
      </c>
      <c r="L3294" s="5">
        <v>4.1666666666666664E-2</v>
      </c>
    </row>
    <row r="3295" spans="7:12">
      <c r="G3295" t="s">
        <v>3931</v>
      </c>
      <c r="H3295" t="s">
        <v>218</v>
      </c>
      <c r="I3295" t="s">
        <v>286</v>
      </c>
      <c r="J3295" s="4">
        <v>6157</v>
      </c>
      <c r="K3295" s="5">
        <v>0.16160467760272859</v>
      </c>
      <c r="L3295" s="5">
        <v>8.2832548318986527E-3</v>
      </c>
    </row>
    <row r="3296" spans="7:12">
      <c r="G3296" t="s">
        <v>3932</v>
      </c>
      <c r="H3296" t="s">
        <v>457</v>
      </c>
      <c r="I3296" t="s">
        <v>268</v>
      </c>
      <c r="J3296" s="4">
        <v>2104</v>
      </c>
      <c r="K3296" s="5">
        <v>0.16159695817490494</v>
      </c>
      <c r="L3296" s="5">
        <v>5.2281368821292772E-3</v>
      </c>
    </row>
    <row r="3297" spans="7:12">
      <c r="G3297" t="s">
        <v>3933</v>
      </c>
      <c r="H3297" t="s">
        <v>140</v>
      </c>
      <c r="I3297" t="s">
        <v>360</v>
      </c>
      <c r="J3297" s="4">
        <v>2546</v>
      </c>
      <c r="K3297" s="5">
        <v>0.16142969363707776</v>
      </c>
      <c r="L3297" s="5">
        <v>4.9882168106834247E-2</v>
      </c>
    </row>
    <row r="3298" spans="7:12">
      <c r="G3298" t="s">
        <v>3934</v>
      </c>
      <c r="H3298" t="s">
        <v>370</v>
      </c>
      <c r="I3298" t="s">
        <v>398</v>
      </c>
      <c r="J3298" s="4">
        <v>9983</v>
      </c>
      <c r="K3298" s="5">
        <v>0.16137433637183213</v>
      </c>
      <c r="L3298" s="5">
        <v>8.1137934488630676E-3</v>
      </c>
    </row>
    <row r="3299" spans="7:12">
      <c r="G3299" t="s">
        <v>3935</v>
      </c>
      <c r="H3299" t="s">
        <v>259</v>
      </c>
      <c r="I3299" t="s">
        <v>299</v>
      </c>
      <c r="J3299" s="4">
        <v>2932</v>
      </c>
      <c r="K3299" s="5">
        <v>0.16132332878581174</v>
      </c>
      <c r="L3299" s="5">
        <v>3.3424283765347888E-2</v>
      </c>
    </row>
    <row r="3300" spans="7:12">
      <c r="G3300" t="s">
        <v>3936</v>
      </c>
      <c r="H3300" t="s">
        <v>317</v>
      </c>
      <c r="I3300" t="s">
        <v>233</v>
      </c>
      <c r="J3300" s="4">
        <v>2015</v>
      </c>
      <c r="K3300" s="5">
        <v>0.16129032258064516</v>
      </c>
      <c r="L3300" s="5">
        <v>1.3895781637717122E-2</v>
      </c>
    </row>
    <row r="3301" spans="7:12">
      <c r="G3301" t="s">
        <v>3937</v>
      </c>
      <c r="H3301" t="s">
        <v>3125</v>
      </c>
      <c r="I3301" t="s">
        <v>226</v>
      </c>
      <c r="J3301" s="4">
        <v>2790</v>
      </c>
      <c r="K3301" s="5">
        <v>0.16129032258064516</v>
      </c>
      <c r="L3301" s="5">
        <v>1.2186379928315413E-2</v>
      </c>
    </row>
    <row r="3302" spans="7:12">
      <c r="G3302" t="s">
        <v>3938</v>
      </c>
      <c r="H3302" t="s">
        <v>236</v>
      </c>
      <c r="I3302" t="s">
        <v>252</v>
      </c>
      <c r="J3302" s="4">
        <v>1718</v>
      </c>
      <c r="K3302" s="5">
        <v>0.16123399301513389</v>
      </c>
      <c r="L3302" s="5">
        <v>3.4924330616996507E-3</v>
      </c>
    </row>
    <row r="3303" spans="7:12">
      <c r="G3303" t="s">
        <v>3939</v>
      </c>
      <c r="H3303" t="s">
        <v>326</v>
      </c>
      <c r="I3303" t="s">
        <v>134</v>
      </c>
      <c r="J3303" s="4">
        <v>7963</v>
      </c>
      <c r="K3303" s="5">
        <v>0.1611201808363682</v>
      </c>
      <c r="L3303" s="5">
        <v>1.0172045711415296E-2</v>
      </c>
    </row>
    <row r="3304" spans="7:12">
      <c r="G3304" t="s">
        <v>3940</v>
      </c>
      <c r="H3304" t="s">
        <v>233</v>
      </c>
      <c r="I3304" t="s">
        <v>136</v>
      </c>
      <c r="J3304" s="4">
        <v>6000</v>
      </c>
      <c r="K3304" s="5">
        <v>0.161</v>
      </c>
      <c r="L3304" s="5">
        <v>1.35E-2</v>
      </c>
    </row>
    <row r="3305" spans="7:12">
      <c r="G3305" t="s">
        <v>3941</v>
      </c>
      <c r="H3305" t="s">
        <v>2998</v>
      </c>
      <c r="I3305" t="s">
        <v>103</v>
      </c>
      <c r="J3305" s="4">
        <v>1783</v>
      </c>
      <c r="K3305" s="5">
        <v>0.16096466629276501</v>
      </c>
      <c r="L3305" s="5">
        <v>1.9629837352776219E-2</v>
      </c>
    </row>
    <row r="3306" spans="7:12">
      <c r="G3306" t="s">
        <v>3942</v>
      </c>
      <c r="H3306" t="s">
        <v>406</v>
      </c>
      <c r="I3306" t="s">
        <v>370</v>
      </c>
      <c r="J3306" s="4">
        <v>1280</v>
      </c>
      <c r="K3306" s="5">
        <v>0.16093750000000001</v>
      </c>
      <c r="L3306" s="5">
        <v>3.1250000000000002E-3</v>
      </c>
    </row>
    <row r="3307" spans="7:12">
      <c r="G3307" t="s">
        <v>3943</v>
      </c>
      <c r="H3307" t="s">
        <v>301</v>
      </c>
      <c r="I3307" t="s">
        <v>259</v>
      </c>
      <c r="J3307" s="4">
        <v>2237</v>
      </c>
      <c r="K3307" s="5">
        <v>0.16092981671881984</v>
      </c>
      <c r="L3307" s="5">
        <v>2.8609745194456863E-2</v>
      </c>
    </row>
    <row r="3308" spans="7:12">
      <c r="G3308" t="s">
        <v>3944</v>
      </c>
      <c r="H3308" t="s">
        <v>377</v>
      </c>
      <c r="I3308" t="s">
        <v>324</v>
      </c>
      <c r="J3308" s="4">
        <v>2088</v>
      </c>
      <c r="K3308" s="5">
        <v>0.16091954022988506</v>
      </c>
      <c r="L3308" s="5">
        <v>9.5785440613026813E-3</v>
      </c>
    </row>
    <row r="3309" spans="7:12">
      <c r="G3309" t="s">
        <v>3945</v>
      </c>
      <c r="H3309" t="s">
        <v>259</v>
      </c>
      <c r="I3309" t="s">
        <v>273</v>
      </c>
      <c r="J3309" s="4">
        <v>1903</v>
      </c>
      <c r="K3309" s="5">
        <v>0.16079873883342091</v>
      </c>
      <c r="L3309" s="5">
        <v>3.1003678402522335E-2</v>
      </c>
    </row>
    <row r="3310" spans="7:12">
      <c r="G3310" t="s">
        <v>3946</v>
      </c>
      <c r="H3310" t="s">
        <v>377</v>
      </c>
      <c r="I3310" t="s">
        <v>384</v>
      </c>
      <c r="J3310" s="4">
        <v>2811</v>
      </c>
      <c r="K3310" s="5">
        <v>0.16079686944147989</v>
      </c>
      <c r="L3310" s="5">
        <v>1.031661330487371E-2</v>
      </c>
    </row>
    <row r="3311" spans="7:12">
      <c r="G3311" t="s">
        <v>3947</v>
      </c>
      <c r="H3311" t="s">
        <v>515</v>
      </c>
      <c r="I3311" t="s">
        <v>215</v>
      </c>
      <c r="J3311" s="4">
        <v>3091</v>
      </c>
      <c r="K3311" s="5">
        <v>0.16078938854739566</v>
      </c>
      <c r="L3311" s="5">
        <v>1.6175994823681657E-2</v>
      </c>
    </row>
    <row r="3312" spans="7:12">
      <c r="G3312" t="s">
        <v>3948</v>
      </c>
      <c r="H3312" t="s">
        <v>89</v>
      </c>
      <c r="I3312" t="s">
        <v>424</v>
      </c>
      <c r="J3312" s="4">
        <v>2085</v>
      </c>
      <c r="K3312" s="5">
        <v>0.16067146282973621</v>
      </c>
      <c r="L3312" s="5">
        <v>1.4388489208633094E-2</v>
      </c>
    </row>
    <row r="3313" spans="7:12">
      <c r="G3313" t="s">
        <v>3949</v>
      </c>
      <c r="H3313" t="s">
        <v>523</v>
      </c>
      <c r="I3313" t="s">
        <v>326</v>
      </c>
      <c r="J3313" s="4">
        <v>2011</v>
      </c>
      <c r="K3313" s="5">
        <v>0.16061660865241173</v>
      </c>
      <c r="L3313" s="5">
        <v>0</v>
      </c>
    </row>
    <row r="3314" spans="7:12">
      <c r="G3314" t="s">
        <v>3950</v>
      </c>
      <c r="H3314" t="s">
        <v>3951</v>
      </c>
      <c r="I3314" t="s">
        <v>103</v>
      </c>
      <c r="J3314" s="4">
        <v>1071</v>
      </c>
      <c r="K3314" s="5">
        <v>0.16059757236227826</v>
      </c>
      <c r="L3314" s="5">
        <v>3.081232492997199E-2</v>
      </c>
    </row>
    <row r="3315" spans="7:12">
      <c r="G3315" t="s">
        <v>3952</v>
      </c>
      <c r="H3315" t="s">
        <v>342</v>
      </c>
      <c r="I3315" t="s">
        <v>233</v>
      </c>
      <c r="J3315" s="4">
        <v>2435</v>
      </c>
      <c r="K3315" s="5">
        <v>0.16057494866529773</v>
      </c>
      <c r="L3315" s="5">
        <v>6.570841889117043E-3</v>
      </c>
    </row>
    <row r="3316" spans="7:12">
      <c r="G3316" t="s">
        <v>3953</v>
      </c>
      <c r="H3316" t="s">
        <v>346</v>
      </c>
      <c r="I3316" t="s">
        <v>252</v>
      </c>
      <c r="J3316" s="4">
        <v>3033</v>
      </c>
      <c r="K3316" s="5">
        <v>0.16056709528519617</v>
      </c>
      <c r="L3316" s="5">
        <v>1.0880316518298714E-2</v>
      </c>
    </row>
    <row r="3317" spans="7:12">
      <c r="G3317" t="s">
        <v>3954</v>
      </c>
      <c r="H3317" t="s">
        <v>416</v>
      </c>
      <c r="I3317" t="s">
        <v>100</v>
      </c>
      <c r="J3317" s="4">
        <v>4198</v>
      </c>
      <c r="K3317" s="5">
        <v>0.16055264411624584</v>
      </c>
      <c r="L3317" s="5">
        <v>7.146260123868509E-3</v>
      </c>
    </row>
    <row r="3318" spans="7:12">
      <c r="G3318" t="s">
        <v>3955</v>
      </c>
      <c r="H3318" t="s">
        <v>131</v>
      </c>
      <c r="I3318" t="s">
        <v>377</v>
      </c>
      <c r="J3318" s="4">
        <v>7904</v>
      </c>
      <c r="K3318" s="5">
        <v>0.16055161943319837</v>
      </c>
      <c r="L3318" s="5">
        <v>8.2236842105263153E-3</v>
      </c>
    </row>
    <row r="3319" spans="7:12">
      <c r="G3319" t="s">
        <v>3956</v>
      </c>
      <c r="H3319" t="s">
        <v>140</v>
      </c>
      <c r="I3319" t="s">
        <v>390</v>
      </c>
      <c r="J3319" s="4">
        <v>3265</v>
      </c>
      <c r="K3319" s="5">
        <v>0.16049004594180705</v>
      </c>
      <c r="L3319" s="5">
        <v>1.653905053598775E-2</v>
      </c>
    </row>
    <row r="3320" spans="7:12">
      <c r="G3320" t="s">
        <v>3957</v>
      </c>
      <c r="H3320" t="s">
        <v>233</v>
      </c>
      <c r="I3320" t="s">
        <v>322</v>
      </c>
      <c r="J3320" s="4">
        <v>6807</v>
      </c>
      <c r="K3320" s="5">
        <v>0.16042309387395329</v>
      </c>
      <c r="L3320" s="5">
        <v>8.8144557073600704E-3</v>
      </c>
    </row>
    <row r="3321" spans="7:12">
      <c r="G3321" t="s">
        <v>3958</v>
      </c>
      <c r="H3321" t="s">
        <v>457</v>
      </c>
      <c r="I3321" t="s">
        <v>326</v>
      </c>
      <c r="J3321" s="4">
        <v>3167</v>
      </c>
      <c r="K3321" s="5">
        <v>0.16040416798231766</v>
      </c>
      <c r="L3321" s="5">
        <v>1.8945374171139881E-3</v>
      </c>
    </row>
    <row r="3322" spans="7:12">
      <c r="G3322" t="s">
        <v>3959</v>
      </c>
      <c r="H3322" t="s">
        <v>3341</v>
      </c>
      <c r="I3322" t="s">
        <v>218</v>
      </c>
      <c r="J3322" s="4">
        <v>2469</v>
      </c>
      <c r="K3322" s="5">
        <v>0.16038882138517618</v>
      </c>
      <c r="L3322" s="5">
        <v>1.0935601458080195E-2</v>
      </c>
    </row>
    <row r="3323" spans="7:12">
      <c r="G3323" t="s">
        <v>3960</v>
      </c>
      <c r="H3323" t="s">
        <v>398</v>
      </c>
      <c r="I3323" t="s">
        <v>486</v>
      </c>
      <c r="J3323" s="4">
        <v>2575</v>
      </c>
      <c r="K3323" s="5">
        <v>0.1603883495145631</v>
      </c>
      <c r="L3323" s="5">
        <v>1.0485436893203883E-2</v>
      </c>
    </row>
    <row r="3324" spans="7:12">
      <c r="G3324" t="s">
        <v>3961</v>
      </c>
      <c r="H3324" t="s">
        <v>505</v>
      </c>
      <c r="I3324" t="s">
        <v>89</v>
      </c>
      <c r="J3324" s="4">
        <v>7109</v>
      </c>
      <c r="K3324" s="5">
        <v>0.16036010690673794</v>
      </c>
      <c r="L3324" s="5">
        <v>1.997467998311999E-2</v>
      </c>
    </row>
    <row r="3325" spans="7:12">
      <c r="G3325" t="s">
        <v>3962</v>
      </c>
      <c r="H3325" t="s">
        <v>218</v>
      </c>
      <c r="I3325" t="s">
        <v>410</v>
      </c>
      <c r="J3325" s="4">
        <v>8550</v>
      </c>
      <c r="K3325" s="5">
        <v>0.16035087719298247</v>
      </c>
      <c r="L3325" s="5">
        <v>9.3567251461988306E-3</v>
      </c>
    </row>
    <row r="3326" spans="7:12">
      <c r="G3326" t="s">
        <v>3963</v>
      </c>
      <c r="H3326" t="s">
        <v>68</v>
      </c>
      <c r="I3326" t="s">
        <v>218</v>
      </c>
      <c r="J3326" s="4">
        <v>2183</v>
      </c>
      <c r="K3326" s="5">
        <v>0.16032982134677051</v>
      </c>
      <c r="L3326" s="5">
        <v>1.0535959688502062E-2</v>
      </c>
    </row>
    <row r="3327" spans="7:12">
      <c r="G3327" t="s">
        <v>3964</v>
      </c>
      <c r="H3327" t="s">
        <v>503</v>
      </c>
      <c r="I3327" t="s">
        <v>160</v>
      </c>
      <c r="J3327" s="4">
        <v>1853</v>
      </c>
      <c r="K3327" s="5">
        <v>0.16028062601187265</v>
      </c>
      <c r="L3327" s="5">
        <v>8.094981111710739E-3</v>
      </c>
    </row>
    <row r="3328" spans="7:12">
      <c r="G3328" t="s">
        <v>3965</v>
      </c>
      <c r="H3328" t="s">
        <v>236</v>
      </c>
      <c r="I3328" t="s">
        <v>233</v>
      </c>
      <c r="J3328" s="4">
        <v>3802</v>
      </c>
      <c r="K3328" s="5">
        <v>0.16017885323513939</v>
      </c>
      <c r="L3328" s="5">
        <v>8.9426617569700155E-3</v>
      </c>
    </row>
    <row r="3329" spans="7:12">
      <c r="G3329" t="s">
        <v>3966</v>
      </c>
      <c r="H3329" t="s">
        <v>377</v>
      </c>
      <c r="I3329" t="s">
        <v>410</v>
      </c>
      <c r="J3329" s="4">
        <v>2229</v>
      </c>
      <c r="K3329" s="5">
        <v>0.1601615074024226</v>
      </c>
      <c r="L3329" s="5">
        <v>6.7294751009421266E-3</v>
      </c>
    </row>
    <row r="3330" spans="7:12">
      <c r="G3330" t="s">
        <v>3967</v>
      </c>
      <c r="H3330" t="s">
        <v>326</v>
      </c>
      <c r="I3330" t="s">
        <v>486</v>
      </c>
      <c r="J3330" s="4">
        <v>2254</v>
      </c>
      <c r="K3330" s="5">
        <v>0.16015971606033719</v>
      </c>
      <c r="L3330" s="5">
        <v>8.8731144631765753E-4</v>
      </c>
    </row>
    <row r="3331" spans="7:12">
      <c r="G3331" t="s">
        <v>3968</v>
      </c>
      <c r="H3331" t="s">
        <v>420</v>
      </c>
      <c r="I3331" t="s">
        <v>259</v>
      </c>
      <c r="J3331" s="4">
        <v>2011</v>
      </c>
      <c r="K3331" s="5">
        <v>0.16011934361014421</v>
      </c>
      <c r="L3331" s="5">
        <v>3.8289408254599699E-2</v>
      </c>
    </row>
    <row r="3332" spans="7:12">
      <c r="G3332" t="s">
        <v>3969</v>
      </c>
      <c r="H3332" t="s">
        <v>408</v>
      </c>
      <c r="I3332" t="s">
        <v>204</v>
      </c>
      <c r="J3332" s="4">
        <v>6041</v>
      </c>
      <c r="K3332" s="5">
        <v>0.16007283562324118</v>
      </c>
      <c r="L3332" s="5">
        <v>2.0526402913424929E-2</v>
      </c>
    </row>
    <row r="3333" spans="7:12">
      <c r="G3333" t="s">
        <v>3970</v>
      </c>
      <c r="H3333" t="s">
        <v>322</v>
      </c>
      <c r="I3333" t="s">
        <v>240</v>
      </c>
      <c r="J3333" s="4">
        <v>3782</v>
      </c>
      <c r="K3333" s="5">
        <v>0.15996827075621364</v>
      </c>
      <c r="L3333" s="5">
        <v>7.9323109465891072E-3</v>
      </c>
    </row>
    <row r="3334" spans="7:12">
      <c r="G3334" t="s">
        <v>3971</v>
      </c>
      <c r="H3334" t="s">
        <v>140</v>
      </c>
      <c r="I3334" t="s">
        <v>453</v>
      </c>
      <c r="J3334" s="4">
        <v>2470</v>
      </c>
      <c r="K3334" s="5">
        <v>0.15991902834008098</v>
      </c>
      <c r="L3334" s="5">
        <v>4.4129554655870443E-2</v>
      </c>
    </row>
    <row r="3335" spans="7:12">
      <c r="G3335" t="s">
        <v>3972</v>
      </c>
      <c r="H3335" t="s">
        <v>461</v>
      </c>
      <c r="I3335" t="s">
        <v>390</v>
      </c>
      <c r="J3335" s="4">
        <v>5072</v>
      </c>
      <c r="K3335" s="5">
        <v>0.15989747634069401</v>
      </c>
      <c r="L3335" s="5">
        <v>2.7602523659305996E-3</v>
      </c>
    </row>
    <row r="3336" spans="7:12">
      <c r="G3336" t="s">
        <v>3973</v>
      </c>
      <c r="H3336" t="s">
        <v>377</v>
      </c>
      <c r="I3336" t="s">
        <v>370</v>
      </c>
      <c r="J3336" s="4">
        <v>6966</v>
      </c>
      <c r="K3336" s="5">
        <v>0.15977605512489235</v>
      </c>
      <c r="L3336" s="5">
        <v>7.3212747631352286E-3</v>
      </c>
    </row>
    <row r="3337" spans="7:12">
      <c r="G3337" t="s">
        <v>3974</v>
      </c>
      <c r="H3337" t="s">
        <v>252</v>
      </c>
      <c r="I3337" t="s">
        <v>236</v>
      </c>
      <c r="J3337" s="4">
        <v>1715</v>
      </c>
      <c r="K3337" s="5">
        <v>0.1597667638483965</v>
      </c>
      <c r="L3337" s="5">
        <v>4.0816326530612249E-3</v>
      </c>
    </row>
    <row r="3338" spans="7:12">
      <c r="G3338" t="s">
        <v>3975</v>
      </c>
      <c r="H3338" t="s">
        <v>218</v>
      </c>
      <c r="I3338" t="s">
        <v>447</v>
      </c>
      <c r="J3338" s="4">
        <v>3424</v>
      </c>
      <c r="K3338" s="5">
        <v>0.15975467289719625</v>
      </c>
      <c r="L3338" s="5">
        <v>9.637850467289719E-3</v>
      </c>
    </row>
    <row r="3339" spans="7:12">
      <c r="G3339" t="s">
        <v>3976</v>
      </c>
      <c r="H3339" t="s">
        <v>398</v>
      </c>
      <c r="I3339" t="s">
        <v>370</v>
      </c>
      <c r="J3339" s="4">
        <v>10042</v>
      </c>
      <c r="K3339" s="5">
        <v>0.15972913762198765</v>
      </c>
      <c r="L3339" s="5">
        <v>8.2652857996415065E-3</v>
      </c>
    </row>
    <row r="3340" spans="7:12">
      <c r="G3340" t="s">
        <v>3977</v>
      </c>
      <c r="H3340" t="s">
        <v>182</v>
      </c>
      <c r="I3340" t="s">
        <v>134</v>
      </c>
      <c r="J3340" s="4">
        <v>5294</v>
      </c>
      <c r="K3340" s="5">
        <v>0.15961465810351341</v>
      </c>
      <c r="L3340" s="5">
        <v>1.4544767661503588E-2</v>
      </c>
    </row>
    <row r="3341" spans="7:12">
      <c r="G3341" t="s">
        <v>3978</v>
      </c>
      <c r="H3341" t="s">
        <v>400</v>
      </c>
      <c r="I3341" t="s">
        <v>131</v>
      </c>
      <c r="J3341" s="4">
        <v>2714</v>
      </c>
      <c r="K3341" s="5">
        <v>0.15954310980103167</v>
      </c>
      <c r="L3341" s="5">
        <v>1.2896094325718496E-2</v>
      </c>
    </row>
    <row r="3342" spans="7:12">
      <c r="G3342" t="s">
        <v>3979</v>
      </c>
      <c r="H3342" t="s">
        <v>259</v>
      </c>
      <c r="I3342" t="s">
        <v>293</v>
      </c>
      <c r="J3342" s="4">
        <v>1567</v>
      </c>
      <c r="K3342" s="5">
        <v>0.1595405232929164</v>
      </c>
      <c r="L3342" s="5">
        <v>3.5737077217613274E-2</v>
      </c>
    </row>
    <row r="3343" spans="7:12">
      <c r="G3343" t="s">
        <v>3980</v>
      </c>
      <c r="H3343" t="s">
        <v>497</v>
      </c>
      <c r="I3343" t="s">
        <v>118</v>
      </c>
      <c r="J3343" s="4">
        <v>2871</v>
      </c>
      <c r="K3343" s="5">
        <v>0.15952629745733193</v>
      </c>
      <c r="L3343" s="5">
        <v>8.7077673284569838E-3</v>
      </c>
    </row>
    <row r="3344" spans="7:12">
      <c r="G3344" t="s">
        <v>3981</v>
      </c>
      <c r="H3344" t="s">
        <v>140</v>
      </c>
      <c r="I3344" t="s">
        <v>414</v>
      </c>
      <c r="J3344" s="4">
        <v>5811</v>
      </c>
      <c r="K3344" s="5">
        <v>0.15952503871966958</v>
      </c>
      <c r="L3344" s="5">
        <v>4.0784718637067632E-2</v>
      </c>
    </row>
    <row r="3345" spans="7:12">
      <c r="G3345" t="s">
        <v>3982</v>
      </c>
      <c r="H3345" t="s">
        <v>140</v>
      </c>
      <c r="I3345" t="s">
        <v>299</v>
      </c>
      <c r="J3345" s="4">
        <v>2520</v>
      </c>
      <c r="K3345" s="5">
        <v>0.15952380952380951</v>
      </c>
      <c r="L3345" s="5">
        <v>4.3650793650793648E-2</v>
      </c>
    </row>
    <row r="3346" spans="7:12">
      <c r="G3346" t="s">
        <v>3983</v>
      </c>
      <c r="H3346" t="s">
        <v>268</v>
      </c>
      <c r="I3346" t="s">
        <v>236</v>
      </c>
      <c r="J3346" s="4">
        <v>4508</v>
      </c>
      <c r="K3346" s="5">
        <v>0.15949423247559893</v>
      </c>
      <c r="L3346" s="5">
        <v>7.9858030168589167E-3</v>
      </c>
    </row>
    <row r="3347" spans="7:12">
      <c r="G3347" t="s">
        <v>3984</v>
      </c>
      <c r="H3347" t="s">
        <v>390</v>
      </c>
      <c r="I3347" t="s">
        <v>377</v>
      </c>
      <c r="J3347" s="4">
        <v>1737</v>
      </c>
      <c r="K3347" s="5">
        <v>0.15947035118019573</v>
      </c>
      <c r="L3347" s="5">
        <v>6.3327576280944155E-3</v>
      </c>
    </row>
    <row r="3348" spans="7:12">
      <c r="G3348" t="s">
        <v>3985</v>
      </c>
      <c r="H3348" t="s">
        <v>370</v>
      </c>
      <c r="I3348" t="s">
        <v>322</v>
      </c>
      <c r="J3348" s="4">
        <v>8221</v>
      </c>
      <c r="K3348" s="5">
        <v>0.15946965089405182</v>
      </c>
      <c r="L3348" s="5">
        <v>1.0217735068726433E-2</v>
      </c>
    </row>
    <row r="3349" spans="7:12">
      <c r="G3349" t="s">
        <v>3986</v>
      </c>
      <c r="H3349" t="s">
        <v>194</v>
      </c>
      <c r="I3349" t="s">
        <v>204</v>
      </c>
      <c r="J3349" s="4">
        <v>1079</v>
      </c>
      <c r="K3349" s="5">
        <v>0.15940685820203893</v>
      </c>
      <c r="L3349" s="5">
        <v>1.5755329008341055E-2</v>
      </c>
    </row>
    <row r="3350" spans="7:12">
      <c r="G3350" t="s">
        <v>3987</v>
      </c>
      <c r="H3350" t="s">
        <v>259</v>
      </c>
      <c r="I3350" t="s">
        <v>368</v>
      </c>
      <c r="J3350" s="4">
        <v>3118</v>
      </c>
      <c r="K3350" s="5">
        <v>0.15939704939063501</v>
      </c>
      <c r="L3350" s="5">
        <v>2.7261064785118666E-2</v>
      </c>
    </row>
    <row r="3351" spans="7:12">
      <c r="G3351" t="s">
        <v>3988</v>
      </c>
      <c r="H3351" t="s">
        <v>233</v>
      </c>
      <c r="I3351" t="s">
        <v>297</v>
      </c>
      <c r="J3351" s="4">
        <v>1236</v>
      </c>
      <c r="K3351" s="5">
        <v>0.15938511326860841</v>
      </c>
      <c r="L3351" s="5">
        <v>8.090614886731392E-4</v>
      </c>
    </row>
    <row r="3352" spans="7:12">
      <c r="G3352" t="s">
        <v>3989</v>
      </c>
      <c r="H3352" t="s">
        <v>149</v>
      </c>
      <c r="I3352" t="s">
        <v>269</v>
      </c>
      <c r="J3352" s="4">
        <v>1820</v>
      </c>
      <c r="K3352" s="5">
        <v>0.15934065934065933</v>
      </c>
      <c r="L3352" s="5">
        <v>2.8021978021978023E-2</v>
      </c>
    </row>
    <row r="3353" spans="7:12">
      <c r="G3353" t="s">
        <v>3990</v>
      </c>
      <c r="H3353" t="s">
        <v>317</v>
      </c>
      <c r="I3353" t="s">
        <v>115</v>
      </c>
      <c r="J3353" s="4">
        <v>4175</v>
      </c>
      <c r="K3353" s="5">
        <v>0.15928143712574849</v>
      </c>
      <c r="L3353" s="5">
        <v>1.7485029940119759E-2</v>
      </c>
    </row>
    <row r="3354" spans="7:12">
      <c r="G3354" t="s">
        <v>3991</v>
      </c>
      <c r="H3354" t="s">
        <v>400</v>
      </c>
      <c r="I3354" t="s">
        <v>326</v>
      </c>
      <c r="J3354" s="4">
        <v>3780</v>
      </c>
      <c r="K3354" s="5">
        <v>0.15925925925925927</v>
      </c>
      <c r="L3354" s="5">
        <v>8.4656084656084662E-3</v>
      </c>
    </row>
    <row r="3355" spans="7:12">
      <c r="G3355" t="s">
        <v>3992</v>
      </c>
      <c r="H3355" t="s">
        <v>352</v>
      </c>
      <c r="I3355" t="s">
        <v>136</v>
      </c>
      <c r="J3355" s="4">
        <v>6709</v>
      </c>
      <c r="K3355" s="5">
        <v>0.15918914890445671</v>
      </c>
      <c r="L3355" s="5">
        <v>1.3116708898494559E-2</v>
      </c>
    </row>
    <row r="3356" spans="7:12">
      <c r="G3356" t="s">
        <v>3993</v>
      </c>
      <c r="H3356" t="s">
        <v>449</v>
      </c>
      <c r="I3356" t="s">
        <v>507</v>
      </c>
      <c r="J3356" s="4">
        <v>1596</v>
      </c>
      <c r="K3356" s="5">
        <v>0.15914786967418545</v>
      </c>
      <c r="L3356" s="5">
        <v>7.5187969924812026E-3</v>
      </c>
    </row>
    <row r="3357" spans="7:12">
      <c r="G3357" t="s">
        <v>3994</v>
      </c>
      <c r="H3357" t="s">
        <v>449</v>
      </c>
      <c r="I3357" t="s">
        <v>455</v>
      </c>
      <c r="J3357" s="4">
        <v>5419</v>
      </c>
      <c r="K3357" s="5">
        <v>0.15906993910315556</v>
      </c>
      <c r="L3357" s="5">
        <v>6.8278280125484408E-3</v>
      </c>
    </row>
    <row r="3358" spans="7:12">
      <c r="G3358" t="s">
        <v>3995</v>
      </c>
      <c r="H3358" t="s">
        <v>360</v>
      </c>
      <c r="I3358" t="s">
        <v>233</v>
      </c>
      <c r="J3358" s="4">
        <v>2509</v>
      </c>
      <c r="K3358" s="5">
        <v>0.15902750099641291</v>
      </c>
      <c r="L3358" s="5">
        <v>9.5655639697090466E-3</v>
      </c>
    </row>
    <row r="3359" spans="7:12">
      <c r="G3359" t="s">
        <v>3996</v>
      </c>
      <c r="H3359" t="s">
        <v>3650</v>
      </c>
      <c r="I3359" t="s">
        <v>100</v>
      </c>
      <c r="J3359" s="4">
        <v>1026</v>
      </c>
      <c r="K3359" s="5">
        <v>0.15886939571150097</v>
      </c>
      <c r="L3359" s="5">
        <v>1.1695906432748537E-2</v>
      </c>
    </row>
    <row r="3360" spans="7:12">
      <c r="G3360" t="s">
        <v>3997</v>
      </c>
      <c r="H3360" t="s">
        <v>202</v>
      </c>
      <c r="I3360" t="s">
        <v>410</v>
      </c>
      <c r="J3360" s="4">
        <v>1341</v>
      </c>
      <c r="K3360" s="5">
        <v>0.15883668903803133</v>
      </c>
      <c r="L3360" s="5">
        <v>8.2028337061894104E-3</v>
      </c>
    </row>
    <row r="3361" spans="7:12">
      <c r="G3361" t="s">
        <v>3998</v>
      </c>
      <c r="H3361" t="s">
        <v>273</v>
      </c>
      <c r="I3361" t="s">
        <v>149</v>
      </c>
      <c r="J3361" s="4">
        <v>2399</v>
      </c>
      <c r="K3361" s="5">
        <v>0.15881617340558565</v>
      </c>
      <c r="L3361" s="5">
        <v>2.8761984160066693E-2</v>
      </c>
    </row>
    <row r="3362" spans="7:12">
      <c r="G3362" t="s">
        <v>3999</v>
      </c>
      <c r="H3362" t="s">
        <v>406</v>
      </c>
      <c r="I3362" t="s">
        <v>326</v>
      </c>
      <c r="J3362" s="4">
        <v>5264</v>
      </c>
      <c r="K3362" s="5">
        <v>0.15881458966565348</v>
      </c>
      <c r="L3362" s="5">
        <v>6.648936170212766E-3</v>
      </c>
    </row>
    <row r="3363" spans="7:12">
      <c r="G3363" t="s">
        <v>4000</v>
      </c>
      <c r="H3363" t="s">
        <v>416</v>
      </c>
      <c r="I3363" t="s">
        <v>160</v>
      </c>
      <c r="J3363" s="4">
        <v>8426</v>
      </c>
      <c r="K3363" s="5">
        <v>0.1587942084025635</v>
      </c>
      <c r="L3363" s="5">
        <v>1.5072394967956326E-2</v>
      </c>
    </row>
    <row r="3364" spans="7:12">
      <c r="G3364" t="s">
        <v>4001</v>
      </c>
      <c r="H3364" t="s">
        <v>479</v>
      </c>
      <c r="I3364" t="s">
        <v>268</v>
      </c>
      <c r="J3364" s="4">
        <v>2602</v>
      </c>
      <c r="K3364" s="5">
        <v>0.15872405841660261</v>
      </c>
      <c r="L3364" s="5">
        <v>7.6863950807071479E-3</v>
      </c>
    </row>
    <row r="3365" spans="7:12">
      <c r="G3365" t="s">
        <v>4002</v>
      </c>
      <c r="H3365" t="s">
        <v>326</v>
      </c>
      <c r="I3365" t="s">
        <v>377</v>
      </c>
      <c r="J3365" s="4">
        <v>9949</v>
      </c>
      <c r="K3365" s="5">
        <v>0.15870941803196301</v>
      </c>
      <c r="L3365" s="5">
        <v>7.3374208463162123E-3</v>
      </c>
    </row>
    <row r="3366" spans="7:12">
      <c r="G3366" t="s">
        <v>4003</v>
      </c>
      <c r="H3366" t="s">
        <v>3596</v>
      </c>
      <c r="I3366" t="s">
        <v>322</v>
      </c>
      <c r="J3366" s="4">
        <v>2818</v>
      </c>
      <c r="K3366" s="5">
        <v>0.15862313697657912</v>
      </c>
      <c r="L3366" s="5">
        <v>1.2775017743080199E-2</v>
      </c>
    </row>
    <row r="3367" spans="7:12">
      <c r="G3367" t="s">
        <v>4004</v>
      </c>
      <c r="H3367" t="s">
        <v>449</v>
      </c>
      <c r="I3367" t="s">
        <v>398</v>
      </c>
      <c r="J3367" s="4">
        <v>5573</v>
      </c>
      <c r="K3367" s="5">
        <v>0.15862192714875292</v>
      </c>
      <c r="L3367" s="5">
        <v>7.8952090436030867E-3</v>
      </c>
    </row>
    <row r="3368" spans="7:12">
      <c r="G3368" t="s">
        <v>4005</v>
      </c>
      <c r="H3368" t="s">
        <v>149</v>
      </c>
      <c r="I3368" t="s">
        <v>115</v>
      </c>
      <c r="J3368" s="4">
        <v>1532</v>
      </c>
      <c r="K3368" s="5">
        <v>0.15861618798955612</v>
      </c>
      <c r="L3368" s="5">
        <v>4.6344647519582248E-2</v>
      </c>
    </row>
    <row r="3369" spans="7:12">
      <c r="G3369" t="s">
        <v>4006</v>
      </c>
      <c r="H3369" t="s">
        <v>252</v>
      </c>
      <c r="I3369" t="s">
        <v>115</v>
      </c>
      <c r="J3369" s="4">
        <v>5425</v>
      </c>
      <c r="K3369" s="5">
        <v>0.15852534562211981</v>
      </c>
      <c r="L3369" s="5">
        <v>1.0506912442396314E-2</v>
      </c>
    </row>
    <row r="3370" spans="7:12">
      <c r="G3370" t="s">
        <v>4007</v>
      </c>
      <c r="H3370" t="s">
        <v>215</v>
      </c>
      <c r="I3370" t="s">
        <v>484</v>
      </c>
      <c r="J3370" s="4">
        <v>12242</v>
      </c>
      <c r="K3370" s="5">
        <v>0.15847083809834994</v>
      </c>
      <c r="L3370" s="5">
        <v>2.0421499754942002E-3</v>
      </c>
    </row>
    <row r="3371" spans="7:12">
      <c r="G3371" t="s">
        <v>4008</v>
      </c>
      <c r="H3371" t="s">
        <v>326</v>
      </c>
      <c r="I3371" t="s">
        <v>137</v>
      </c>
      <c r="J3371" s="4">
        <v>7327</v>
      </c>
      <c r="K3371" s="5">
        <v>0.15845502934352396</v>
      </c>
      <c r="L3371" s="5">
        <v>9.0077794458850828E-3</v>
      </c>
    </row>
    <row r="3372" spans="7:12">
      <c r="G3372" t="s">
        <v>4009</v>
      </c>
      <c r="H3372" t="s">
        <v>263</v>
      </c>
      <c r="I3372" t="s">
        <v>259</v>
      </c>
      <c r="J3372" s="4">
        <v>1439</v>
      </c>
      <c r="K3372" s="5">
        <v>0.15844336344683807</v>
      </c>
      <c r="L3372" s="5">
        <v>1.4593467685892982E-2</v>
      </c>
    </row>
    <row r="3373" spans="7:12">
      <c r="G3373" t="s">
        <v>4010</v>
      </c>
      <c r="H3373" t="s">
        <v>131</v>
      </c>
      <c r="I3373" t="s">
        <v>372</v>
      </c>
      <c r="J3373" s="4">
        <v>1925</v>
      </c>
      <c r="K3373" s="5">
        <v>0.15844155844155844</v>
      </c>
      <c r="L3373" s="5">
        <v>4.6753246753246753E-3</v>
      </c>
    </row>
    <row r="3374" spans="7:12">
      <c r="G3374" t="s">
        <v>4011</v>
      </c>
      <c r="H3374" t="s">
        <v>158</v>
      </c>
      <c r="I3374" t="s">
        <v>218</v>
      </c>
      <c r="J3374" s="4">
        <v>2727</v>
      </c>
      <c r="K3374" s="5">
        <v>0.15841584158415842</v>
      </c>
      <c r="L3374" s="5">
        <v>5.1338467180051337E-3</v>
      </c>
    </row>
    <row r="3375" spans="7:12">
      <c r="G3375" t="s">
        <v>4012</v>
      </c>
      <c r="H3375" t="s">
        <v>259</v>
      </c>
      <c r="I3375" t="s">
        <v>422</v>
      </c>
      <c r="J3375" s="4">
        <v>9381</v>
      </c>
      <c r="K3375" s="5">
        <v>0.15829868883914294</v>
      </c>
      <c r="L3375" s="5">
        <v>2.8568382901609637E-2</v>
      </c>
    </row>
    <row r="3376" spans="7:12">
      <c r="G3376" t="s">
        <v>4013</v>
      </c>
      <c r="H3376" t="s">
        <v>377</v>
      </c>
      <c r="I3376" t="s">
        <v>360</v>
      </c>
      <c r="J3376" s="4">
        <v>4388</v>
      </c>
      <c r="K3376" s="5">
        <v>0.15815861440291704</v>
      </c>
      <c r="L3376" s="5">
        <v>1.0483135824977211E-2</v>
      </c>
    </row>
    <row r="3377" spans="7:12">
      <c r="G3377" t="s">
        <v>4014</v>
      </c>
      <c r="H3377" t="s">
        <v>377</v>
      </c>
      <c r="I3377" t="s">
        <v>495</v>
      </c>
      <c r="J3377" s="4">
        <v>1094</v>
      </c>
      <c r="K3377" s="5">
        <v>0.15813528336380256</v>
      </c>
      <c r="L3377" s="5">
        <v>8.2266910420475316E-3</v>
      </c>
    </row>
    <row r="3378" spans="7:12">
      <c r="G3378" t="s">
        <v>4015</v>
      </c>
      <c r="H3378" t="s">
        <v>317</v>
      </c>
      <c r="I3378" t="s">
        <v>236</v>
      </c>
      <c r="J3378" s="4">
        <v>1069</v>
      </c>
      <c r="K3378" s="5">
        <v>0.15809167446211411</v>
      </c>
      <c r="L3378" s="5">
        <v>1.216089803554724E-2</v>
      </c>
    </row>
    <row r="3379" spans="7:12">
      <c r="G3379" t="s">
        <v>4016</v>
      </c>
      <c r="H3379" t="s">
        <v>301</v>
      </c>
      <c r="I3379" t="s">
        <v>115</v>
      </c>
      <c r="J3379" s="4">
        <v>1684</v>
      </c>
      <c r="K3379" s="5">
        <v>0.15795724465558195</v>
      </c>
      <c r="L3379" s="5">
        <v>8.3135391923990498E-3</v>
      </c>
    </row>
    <row r="3380" spans="7:12">
      <c r="G3380" t="s">
        <v>4017</v>
      </c>
      <c r="H3380" t="s">
        <v>406</v>
      </c>
      <c r="I3380" t="s">
        <v>215</v>
      </c>
      <c r="J3380" s="4">
        <v>1368</v>
      </c>
      <c r="K3380" s="5">
        <v>0.15789473684210525</v>
      </c>
      <c r="L3380" s="5">
        <v>8.771929824561403E-3</v>
      </c>
    </row>
    <row r="3381" spans="7:12">
      <c r="G3381" t="s">
        <v>4018</v>
      </c>
      <c r="H3381" t="s">
        <v>404</v>
      </c>
      <c r="I3381" t="s">
        <v>398</v>
      </c>
      <c r="J3381" s="4">
        <v>1634</v>
      </c>
      <c r="K3381" s="5">
        <v>0.15789473684210525</v>
      </c>
      <c r="L3381" s="5">
        <v>4.8959608323133411E-3</v>
      </c>
    </row>
    <row r="3382" spans="7:12">
      <c r="G3382" t="s">
        <v>4019</v>
      </c>
      <c r="H3382" t="s">
        <v>352</v>
      </c>
      <c r="I3382" t="s">
        <v>233</v>
      </c>
      <c r="J3382" s="4">
        <v>3731</v>
      </c>
      <c r="K3382" s="5">
        <v>0.15786652372018226</v>
      </c>
      <c r="L3382" s="5">
        <v>8.3087644063253828E-3</v>
      </c>
    </row>
    <row r="3383" spans="7:12">
      <c r="G3383" t="s">
        <v>4020</v>
      </c>
      <c r="H3383" t="s">
        <v>226</v>
      </c>
      <c r="I3383" t="s">
        <v>416</v>
      </c>
      <c r="J3383" s="4">
        <v>1305</v>
      </c>
      <c r="K3383" s="5">
        <v>0.15785440613026819</v>
      </c>
      <c r="L3383" s="5">
        <v>4.5977011494252873E-3</v>
      </c>
    </row>
    <row r="3384" spans="7:12">
      <c r="G3384" t="s">
        <v>4021</v>
      </c>
      <c r="H3384" t="s">
        <v>2727</v>
      </c>
      <c r="I3384" t="s">
        <v>103</v>
      </c>
      <c r="J3384" s="4">
        <v>1508</v>
      </c>
      <c r="K3384" s="5">
        <v>0.15782493368700265</v>
      </c>
      <c r="L3384" s="5">
        <v>2.2546419098143235E-2</v>
      </c>
    </row>
    <row r="3385" spans="7:12">
      <c r="G3385" t="s">
        <v>4022</v>
      </c>
      <c r="H3385" t="s">
        <v>360</v>
      </c>
      <c r="I3385" t="s">
        <v>259</v>
      </c>
      <c r="J3385" s="4">
        <v>3213</v>
      </c>
      <c r="K3385" s="5">
        <v>0.15779645191409897</v>
      </c>
      <c r="L3385" s="5">
        <v>3.081232492997199E-2</v>
      </c>
    </row>
    <row r="3386" spans="7:12">
      <c r="G3386" t="s">
        <v>4023</v>
      </c>
      <c r="H3386" t="s">
        <v>218</v>
      </c>
      <c r="I3386" t="s">
        <v>445</v>
      </c>
      <c r="J3386" s="4">
        <v>5419</v>
      </c>
      <c r="K3386" s="5">
        <v>0.1577781878575383</v>
      </c>
      <c r="L3386" s="5">
        <v>1.1256689426093374E-2</v>
      </c>
    </row>
    <row r="3387" spans="7:12">
      <c r="G3387" t="s">
        <v>4024</v>
      </c>
      <c r="H3387" t="s">
        <v>140</v>
      </c>
      <c r="I3387" t="s">
        <v>416</v>
      </c>
      <c r="J3387" s="4">
        <v>2048</v>
      </c>
      <c r="K3387" s="5">
        <v>0.15771484375</v>
      </c>
      <c r="L3387" s="5">
        <v>7.8125E-3</v>
      </c>
    </row>
    <row r="3388" spans="7:12">
      <c r="G3388" t="s">
        <v>4025</v>
      </c>
      <c r="H3388" t="s">
        <v>461</v>
      </c>
      <c r="I3388" t="s">
        <v>372</v>
      </c>
      <c r="J3388" s="4">
        <v>1097</v>
      </c>
      <c r="K3388" s="5">
        <v>0.15770282588878759</v>
      </c>
      <c r="L3388" s="5">
        <v>6.3810391978122152E-3</v>
      </c>
    </row>
    <row r="3389" spans="7:12">
      <c r="G3389" t="s">
        <v>4026</v>
      </c>
      <c r="H3389" t="s">
        <v>3753</v>
      </c>
      <c r="I3389" t="s">
        <v>322</v>
      </c>
      <c r="J3389" s="4">
        <v>1643</v>
      </c>
      <c r="K3389" s="5">
        <v>0.15763846622032868</v>
      </c>
      <c r="L3389" s="5">
        <v>3.2866707242848445E-2</v>
      </c>
    </row>
    <row r="3390" spans="7:12">
      <c r="G3390" t="s">
        <v>4027</v>
      </c>
      <c r="H3390" t="s">
        <v>340</v>
      </c>
      <c r="I3390" t="s">
        <v>85</v>
      </c>
      <c r="J3390" s="4">
        <v>1142</v>
      </c>
      <c r="K3390" s="5">
        <v>0.15761821366024517</v>
      </c>
      <c r="L3390" s="5">
        <v>3.5026269702276708E-3</v>
      </c>
    </row>
    <row r="3391" spans="7:12">
      <c r="G3391" t="s">
        <v>4028</v>
      </c>
      <c r="H3391" t="s">
        <v>322</v>
      </c>
      <c r="I3391" t="s">
        <v>410</v>
      </c>
      <c r="J3391" s="4">
        <v>3459</v>
      </c>
      <c r="K3391" s="5">
        <v>0.15755998843596414</v>
      </c>
      <c r="L3391" s="5">
        <v>6.6493206128938999E-3</v>
      </c>
    </row>
    <row r="3392" spans="7:12">
      <c r="G3392" t="s">
        <v>4029</v>
      </c>
      <c r="H3392" t="s">
        <v>218</v>
      </c>
      <c r="I3392" t="s">
        <v>4030</v>
      </c>
      <c r="J3392" s="4">
        <v>1949</v>
      </c>
      <c r="K3392" s="5">
        <v>0.15751667521806054</v>
      </c>
      <c r="L3392" s="5">
        <v>1.3340174448435094E-2</v>
      </c>
    </row>
    <row r="3393" spans="7:12">
      <c r="G3393" t="s">
        <v>4031</v>
      </c>
      <c r="H3393" t="s">
        <v>453</v>
      </c>
      <c r="I3393" t="s">
        <v>115</v>
      </c>
      <c r="J3393" s="4">
        <v>1651</v>
      </c>
      <c r="K3393" s="5">
        <v>0.15748031496062992</v>
      </c>
      <c r="L3393" s="5">
        <v>4.8455481526347667E-3</v>
      </c>
    </row>
    <row r="3394" spans="7:12">
      <c r="G3394" t="s">
        <v>4032</v>
      </c>
      <c r="H3394" t="s">
        <v>424</v>
      </c>
      <c r="I3394" t="s">
        <v>89</v>
      </c>
      <c r="J3394" s="4">
        <v>2083</v>
      </c>
      <c r="K3394" s="5">
        <v>0.15746519443110898</v>
      </c>
      <c r="L3394" s="5">
        <v>1.5362457993278924E-2</v>
      </c>
    </row>
    <row r="3395" spans="7:12">
      <c r="G3395" t="s">
        <v>4033</v>
      </c>
      <c r="H3395" t="s">
        <v>299</v>
      </c>
      <c r="I3395" t="s">
        <v>322</v>
      </c>
      <c r="J3395" s="4">
        <v>4389</v>
      </c>
      <c r="K3395" s="5">
        <v>0.15743905217589427</v>
      </c>
      <c r="L3395" s="5">
        <v>8.658008658008658E-3</v>
      </c>
    </row>
    <row r="3396" spans="7:12">
      <c r="G3396" t="s">
        <v>4034</v>
      </c>
      <c r="H3396" t="s">
        <v>422</v>
      </c>
      <c r="I3396" t="s">
        <v>233</v>
      </c>
      <c r="J3396" s="4">
        <v>2903</v>
      </c>
      <c r="K3396" s="5">
        <v>0.15742335514984498</v>
      </c>
      <c r="L3396" s="5">
        <v>3.7891836031691355E-3</v>
      </c>
    </row>
    <row r="3397" spans="7:12">
      <c r="G3397" t="s">
        <v>4035</v>
      </c>
      <c r="H3397" t="s">
        <v>414</v>
      </c>
      <c r="I3397" t="s">
        <v>136</v>
      </c>
      <c r="J3397" s="4">
        <v>4317</v>
      </c>
      <c r="K3397" s="5">
        <v>0.15728515172573546</v>
      </c>
      <c r="L3397" s="5">
        <v>1.2740328932128793E-2</v>
      </c>
    </row>
    <row r="3398" spans="7:12">
      <c r="G3398" t="s">
        <v>4036</v>
      </c>
      <c r="H3398" t="s">
        <v>440</v>
      </c>
      <c r="I3398" t="s">
        <v>215</v>
      </c>
      <c r="J3398" s="4">
        <v>5277</v>
      </c>
      <c r="K3398" s="5">
        <v>0.15709683532310026</v>
      </c>
      <c r="L3398" s="5">
        <v>1.0801591813530414E-2</v>
      </c>
    </row>
    <row r="3399" spans="7:12">
      <c r="G3399" t="s">
        <v>4037</v>
      </c>
      <c r="H3399" t="s">
        <v>503</v>
      </c>
      <c r="I3399" t="s">
        <v>326</v>
      </c>
      <c r="J3399" s="4">
        <v>4184</v>
      </c>
      <c r="K3399" s="5">
        <v>0.15702676864244741</v>
      </c>
      <c r="L3399" s="5">
        <v>5.7361376673040155E-3</v>
      </c>
    </row>
    <row r="3400" spans="7:12">
      <c r="G3400" t="s">
        <v>4038</v>
      </c>
      <c r="H3400" t="s">
        <v>252</v>
      </c>
      <c r="I3400" t="s">
        <v>461</v>
      </c>
      <c r="J3400" s="4">
        <v>1223</v>
      </c>
      <c r="K3400" s="5">
        <v>0.15699100572363042</v>
      </c>
      <c r="L3400" s="5">
        <v>8.1766148814390836E-3</v>
      </c>
    </row>
    <row r="3401" spans="7:12">
      <c r="G3401" t="s">
        <v>4039</v>
      </c>
      <c r="H3401" t="s">
        <v>204</v>
      </c>
      <c r="I3401" t="s">
        <v>245</v>
      </c>
      <c r="J3401" s="4">
        <v>1224</v>
      </c>
      <c r="K3401" s="5">
        <v>0.15686274509803921</v>
      </c>
      <c r="L3401" s="5">
        <v>3.0228758169934641E-2</v>
      </c>
    </row>
    <row r="3402" spans="7:12">
      <c r="G3402" t="s">
        <v>4040</v>
      </c>
      <c r="H3402" t="s">
        <v>240</v>
      </c>
      <c r="I3402" t="s">
        <v>115</v>
      </c>
      <c r="J3402" s="4">
        <v>5113</v>
      </c>
      <c r="K3402" s="5">
        <v>0.15685507529825934</v>
      </c>
      <c r="L3402" s="5">
        <v>1.0952474085663993E-2</v>
      </c>
    </row>
    <row r="3403" spans="7:12">
      <c r="G3403" t="s">
        <v>4041</v>
      </c>
      <c r="H3403" t="s">
        <v>3325</v>
      </c>
      <c r="I3403" t="s">
        <v>322</v>
      </c>
      <c r="J3403" s="4">
        <v>2162</v>
      </c>
      <c r="K3403" s="5">
        <v>0.15679925994449584</v>
      </c>
      <c r="L3403" s="5">
        <v>2.6827012025901941E-2</v>
      </c>
    </row>
    <row r="3404" spans="7:12">
      <c r="G3404" t="s">
        <v>4042</v>
      </c>
      <c r="H3404" t="s">
        <v>377</v>
      </c>
      <c r="I3404" t="s">
        <v>322</v>
      </c>
      <c r="J3404" s="4">
        <v>6671</v>
      </c>
      <c r="K3404" s="5">
        <v>0.15679808124718933</v>
      </c>
      <c r="L3404" s="5">
        <v>5.246589716684155E-3</v>
      </c>
    </row>
    <row r="3405" spans="7:12">
      <c r="G3405" t="s">
        <v>4043</v>
      </c>
      <c r="H3405" t="s">
        <v>218</v>
      </c>
      <c r="I3405" t="s">
        <v>459</v>
      </c>
      <c r="J3405" s="4">
        <v>7436</v>
      </c>
      <c r="K3405" s="5">
        <v>0.15667025282409897</v>
      </c>
      <c r="L3405" s="5">
        <v>9.010220548682087E-3</v>
      </c>
    </row>
    <row r="3406" spans="7:12">
      <c r="G3406" t="s">
        <v>4044</v>
      </c>
      <c r="H3406" t="s">
        <v>221</v>
      </c>
      <c r="I3406" t="s">
        <v>322</v>
      </c>
      <c r="J3406" s="4">
        <v>2407</v>
      </c>
      <c r="K3406" s="5">
        <v>0.15662650602409639</v>
      </c>
      <c r="L3406" s="5">
        <v>1.5371832156211051E-2</v>
      </c>
    </row>
    <row r="3407" spans="7:12">
      <c r="G3407" t="s">
        <v>4045</v>
      </c>
      <c r="H3407" t="s">
        <v>404</v>
      </c>
      <c r="I3407" t="s">
        <v>326</v>
      </c>
      <c r="J3407" s="4">
        <v>4668</v>
      </c>
      <c r="K3407" s="5">
        <v>0.15659811482433592</v>
      </c>
      <c r="L3407" s="5">
        <v>4.7129391602399318E-3</v>
      </c>
    </row>
    <row r="3408" spans="7:12">
      <c r="G3408" t="s">
        <v>4046</v>
      </c>
      <c r="H3408" t="s">
        <v>218</v>
      </c>
      <c r="I3408" t="s">
        <v>263</v>
      </c>
      <c r="J3408" s="4">
        <v>6801</v>
      </c>
      <c r="K3408" s="5">
        <v>0.15659461843846492</v>
      </c>
      <c r="L3408" s="5">
        <v>7.2048228201735042E-3</v>
      </c>
    </row>
    <row r="3409" spans="7:12">
      <c r="G3409" t="s">
        <v>4047</v>
      </c>
      <c r="H3409" t="s">
        <v>85</v>
      </c>
      <c r="I3409" t="s">
        <v>129</v>
      </c>
      <c r="J3409" s="4">
        <v>3628</v>
      </c>
      <c r="K3409" s="5">
        <v>0.1565600882028666</v>
      </c>
      <c r="L3409" s="5">
        <v>1.5711135611907387E-2</v>
      </c>
    </row>
    <row r="3410" spans="7:12">
      <c r="G3410" t="s">
        <v>4048</v>
      </c>
      <c r="H3410" t="s">
        <v>459</v>
      </c>
      <c r="I3410" t="s">
        <v>259</v>
      </c>
      <c r="J3410" s="4">
        <v>5916</v>
      </c>
      <c r="K3410" s="5">
        <v>0.15635564570655849</v>
      </c>
      <c r="L3410" s="5">
        <v>3.5835023664638269E-2</v>
      </c>
    </row>
    <row r="3411" spans="7:12">
      <c r="G3411" t="s">
        <v>4049</v>
      </c>
      <c r="H3411" t="s">
        <v>140</v>
      </c>
      <c r="I3411" t="s">
        <v>410</v>
      </c>
      <c r="J3411" s="4">
        <v>2976</v>
      </c>
      <c r="K3411" s="5">
        <v>0.15625</v>
      </c>
      <c r="L3411" s="5">
        <v>3.864247311827957E-2</v>
      </c>
    </row>
    <row r="3412" spans="7:12">
      <c r="G3412" t="s">
        <v>4050</v>
      </c>
      <c r="H3412" t="s">
        <v>3916</v>
      </c>
      <c r="I3412" t="s">
        <v>89</v>
      </c>
      <c r="J3412" s="4">
        <v>2184</v>
      </c>
      <c r="K3412" s="5">
        <v>0.15613553113553114</v>
      </c>
      <c r="L3412" s="5">
        <v>2.60989010989011E-2</v>
      </c>
    </row>
    <row r="3413" spans="7:12">
      <c r="G3413" t="s">
        <v>4051</v>
      </c>
      <c r="H3413" t="s">
        <v>218</v>
      </c>
      <c r="I3413" t="s">
        <v>420</v>
      </c>
      <c r="J3413" s="4">
        <v>6082</v>
      </c>
      <c r="K3413" s="5">
        <v>0.15603419927655376</v>
      </c>
      <c r="L3413" s="5">
        <v>7.8921407431765869E-3</v>
      </c>
    </row>
    <row r="3414" spans="7:12">
      <c r="G3414" t="s">
        <v>4052</v>
      </c>
      <c r="H3414" t="s">
        <v>110</v>
      </c>
      <c r="I3414" t="s">
        <v>461</v>
      </c>
      <c r="J3414" s="4">
        <v>3321</v>
      </c>
      <c r="K3414" s="5">
        <v>0.15597711532670883</v>
      </c>
      <c r="L3414" s="5">
        <v>6.9256248118036738E-3</v>
      </c>
    </row>
    <row r="3415" spans="7:12">
      <c r="G3415" t="s">
        <v>4053</v>
      </c>
      <c r="H3415" t="s">
        <v>484</v>
      </c>
      <c r="I3415" t="s">
        <v>326</v>
      </c>
      <c r="J3415" s="4">
        <v>5188</v>
      </c>
      <c r="K3415" s="5">
        <v>0.15593677717810331</v>
      </c>
      <c r="L3415" s="5">
        <v>2.5057825751734772E-3</v>
      </c>
    </row>
    <row r="3416" spans="7:12">
      <c r="G3416" t="s">
        <v>4054</v>
      </c>
      <c r="H3416" t="s">
        <v>428</v>
      </c>
      <c r="I3416" t="s">
        <v>259</v>
      </c>
      <c r="J3416" s="4">
        <v>4422</v>
      </c>
      <c r="K3416" s="5">
        <v>0.1558118498417006</v>
      </c>
      <c r="L3416" s="5">
        <v>3.7765716870194484E-2</v>
      </c>
    </row>
    <row r="3417" spans="7:12">
      <c r="G3417" t="s">
        <v>4055</v>
      </c>
      <c r="H3417" t="s">
        <v>461</v>
      </c>
      <c r="I3417" t="s">
        <v>346</v>
      </c>
      <c r="J3417" s="4">
        <v>1457</v>
      </c>
      <c r="K3417" s="5">
        <v>0.15579958819492107</v>
      </c>
      <c r="L3417" s="5">
        <v>7.5497597803706245E-3</v>
      </c>
    </row>
    <row r="3418" spans="7:12">
      <c r="G3418" t="s">
        <v>4056</v>
      </c>
      <c r="H3418" t="s">
        <v>182</v>
      </c>
      <c r="I3418" t="s">
        <v>85</v>
      </c>
      <c r="J3418" s="4">
        <v>1502</v>
      </c>
      <c r="K3418" s="5">
        <v>0.15579227696404793</v>
      </c>
      <c r="L3418" s="5">
        <v>8.6551264980026625E-3</v>
      </c>
    </row>
    <row r="3419" spans="7:12">
      <c r="G3419" t="s">
        <v>4057</v>
      </c>
      <c r="H3419" t="s">
        <v>309</v>
      </c>
      <c r="I3419" t="s">
        <v>377</v>
      </c>
      <c r="J3419" s="4">
        <v>4303</v>
      </c>
      <c r="K3419" s="5">
        <v>0.15570532186846386</v>
      </c>
      <c r="L3419" s="5">
        <v>8.3662561003950732E-3</v>
      </c>
    </row>
    <row r="3420" spans="7:12">
      <c r="G3420" t="s">
        <v>4058</v>
      </c>
      <c r="H3420" t="s">
        <v>218</v>
      </c>
      <c r="I3420" t="s">
        <v>424</v>
      </c>
      <c r="J3420" s="4">
        <v>1601</v>
      </c>
      <c r="K3420" s="5">
        <v>0.15552779512804496</v>
      </c>
      <c r="L3420" s="5">
        <v>5.6214865708931914E-3</v>
      </c>
    </row>
    <row r="3421" spans="7:12">
      <c r="G3421" t="s">
        <v>4059</v>
      </c>
      <c r="H3421" t="s">
        <v>329</v>
      </c>
      <c r="I3421" t="s">
        <v>140</v>
      </c>
      <c r="J3421" s="4">
        <v>3273</v>
      </c>
      <c r="K3421" s="5">
        <v>0.15551481820959365</v>
      </c>
      <c r="L3421" s="5">
        <v>3.8802322028719832E-2</v>
      </c>
    </row>
    <row r="3422" spans="7:12">
      <c r="G3422" t="s">
        <v>4060</v>
      </c>
      <c r="H3422" t="s">
        <v>360</v>
      </c>
      <c r="I3422" t="s">
        <v>322</v>
      </c>
      <c r="J3422" s="4">
        <v>4305</v>
      </c>
      <c r="K3422" s="5">
        <v>0.15540069686411151</v>
      </c>
      <c r="L3422" s="5">
        <v>6.9686411149825784E-3</v>
      </c>
    </row>
    <row r="3423" spans="7:12">
      <c r="G3423" t="s">
        <v>4061</v>
      </c>
      <c r="H3423" t="s">
        <v>245</v>
      </c>
      <c r="I3423" t="s">
        <v>377</v>
      </c>
      <c r="J3423" s="4">
        <v>1995</v>
      </c>
      <c r="K3423" s="5">
        <v>0.15538847117794485</v>
      </c>
      <c r="L3423" s="5">
        <v>1.4035087719298246E-2</v>
      </c>
    </row>
    <row r="3424" spans="7:12">
      <c r="G3424" t="s">
        <v>4062</v>
      </c>
      <c r="H3424" t="s">
        <v>189</v>
      </c>
      <c r="I3424" t="s">
        <v>322</v>
      </c>
      <c r="J3424" s="4">
        <v>4106</v>
      </c>
      <c r="K3424" s="5">
        <v>0.15538236726741353</v>
      </c>
      <c r="L3424" s="5">
        <v>8.2805650267900634E-3</v>
      </c>
    </row>
    <row r="3425" spans="7:12">
      <c r="G3425" t="s">
        <v>4063</v>
      </c>
      <c r="H3425" t="s">
        <v>121</v>
      </c>
      <c r="I3425" t="s">
        <v>402</v>
      </c>
      <c r="J3425" s="4">
        <v>1120</v>
      </c>
      <c r="K3425" s="5">
        <v>0.15535714285714286</v>
      </c>
      <c r="L3425" s="5">
        <v>1.5178571428571428E-2</v>
      </c>
    </row>
    <row r="3426" spans="7:12">
      <c r="G3426" t="s">
        <v>4064</v>
      </c>
      <c r="H3426" t="s">
        <v>352</v>
      </c>
      <c r="I3426" t="s">
        <v>134</v>
      </c>
      <c r="J3426" s="4">
        <v>1532</v>
      </c>
      <c r="K3426" s="5">
        <v>0.15535248041775457</v>
      </c>
      <c r="L3426" s="5">
        <v>2.5456919060052218E-2</v>
      </c>
    </row>
    <row r="3427" spans="7:12">
      <c r="G3427" t="s">
        <v>4065</v>
      </c>
      <c r="H3427" t="s">
        <v>497</v>
      </c>
      <c r="I3427" t="s">
        <v>268</v>
      </c>
      <c r="J3427" s="4">
        <v>1056</v>
      </c>
      <c r="K3427" s="5">
        <v>0.1553030303030303</v>
      </c>
      <c r="L3427" s="5">
        <v>5.681818181818182E-3</v>
      </c>
    </row>
    <row r="3428" spans="7:12">
      <c r="G3428" t="s">
        <v>4066</v>
      </c>
      <c r="H3428" t="s">
        <v>346</v>
      </c>
      <c r="I3428" t="s">
        <v>358</v>
      </c>
      <c r="J3428" s="4">
        <v>2473</v>
      </c>
      <c r="K3428" s="5">
        <v>0.15527699150828952</v>
      </c>
      <c r="L3428" s="5">
        <v>1.293974929235746E-2</v>
      </c>
    </row>
    <row r="3429" spans="7:12">
      <c r="G3429" t="s">
        <v>4067</v>
      </c>
      <c r="H3429" t="s">
        <v>406</v>
      </c>
      <c r="I3429" t="s">
        <v>268</v>
      </c>
      <c r="J3429" s="4">
        <v>1134</v>
      </c>
      <c r="K3429" s="5">
        <v>0.15520282186948853</v>
      </c>
      <c r="L3429" s="5">
        <v>8.8183421516754845E-3</v>
      </c>
    </row>
    <row r="3430" spans="7:12">
      <c r="G3430" t="s">
        <v>4068</v>
      </c>
      <c r="H3430" t="s">
        <v>202</v>
      </c>
      <c r="I3430" t="s">
        <v>377</v>
      </c>
      <c r="J3430" s="4">
        <v>3589</v>
      </c>
      <c r="K3430" s="5">
        <v>0.15519643354694901</v>
      </c>
      <c r="L3430" s="5">
        <v>1.4210086375034828E-2</v>
      </c>
    </row>
    <row r="3431" spans="7:12">
      <c r="G3431" t="s">
        <v>4069</v>
      </c>
      <c r="H3431" t="s">
        <v>449</v>
      </c>
      <c r="I3431" t="s">
        <v>100</v>
      </c>
      <c r="J3431" s="4">
        <v>1160</v>
      </c>
      <c r="K3431" s="5">
        <v>0.15517241379310345</v>
      </c>
      <c r="L3431" s="5">
        <v>1.1206896551724138E-2</v>
      </c>
    </row>
    <row r="3432" spans="7:12">
      <c r="G3432" t="s">
        <v>4070</v>
      </c>
      <c r="H3432" t="s">
        <v>218</v>
      </c>
      <c r="I3432" t="s">
        <v>479</v>
      </c>
      <c r="J3432" s="4">
        <v>8083</v>
      </c>
      <c r="K3432" s="5">
        <v>0.15501670171965853</v>
      </c>
      <c r="L3432" s="5">
        <v>6.8044043053321788E-3</v>
      </c>
    </row>
    <row r="3433" spans="7:12">
      <c r="G3433" t="s">
        <v>4071</v>
      </c>
      <c r="H3433" t="s">
        <v>215</v>
      </c>
      <c r="I3433" t="s">
        <v>443</v>
      </c>
      <c r="J3433" s="4">
        <v>4756</v>
      </c>
      <c r="K3433" s="5">
        <v>0.15496215306980657</v>
      </c>
      <c r="L3433" s="5">
        <v>7.7796467619848609E-3</v>
      </c>
    </row>
    <row r="3434" spans="7:12">
      <c r="G3434" t="s">
        <v>4072</v>
      </c>
      <c r="H3434" t="s">
        <v>414</v>
      </c>
      <c r="I3434" t="s">
        <v>268</v>
      </c>
      <c r="J3434" s="4">
        <v>1078</v>
      </c>
      <c r="K3434" s="5">
        <v>0.15491651205936921</v>
      </c>
      <c r="L3434" s="5">
        <v>7.4211502782931356E-3</v>
      </c>
    </row>
    <row r="3435" spans="7:12">
      <c r="G3435" t="s">
        <v>4073</v>
      </c>
      <c r="H3435" t="s">
        <v>416</v>
      </c>
      <c r="I3435" t="s">
        <v>118</v>
      </c>
      <c r="J3435" s="4">
        <v>4637</v>
      </c>
      <c r="K3435" s="5">
        <v>0.15484149234418806</v>
      </c>
      <c r="L3435" s="5">
        <v>1.4664653871037308E-2</v>
      </c>
    </row>
    <row r="3436" spans="7:12">
      <c r="G3436" t="s">
        <v>4074</v>
      </c>
      <c r="H3436" t="s">
        <v>370</v>
      </c>
      <c r="I3436" t="s">
        <v>202</v>
      </c>
      <c r="J3436" s="4">
        <v>3244</v>
      </c>
      <c r="K3436" s="5">
        <v>0.15474722564734894</v>
      </c>
      <c r="L3436" s="5">
        <v>1.2022194821208384E-2</v>
      </c>
    </row>
    <row r="3437" spans="7:12">
      <c r="G3437" t="s">
        <v>4075</v>
      </c>
      <c r="H3437" t="s">
        <v>377</v>
      </c>
      <c r="I3437" t="s">
        <v>202</v>
      </c>
      <c r="J3437" s="4">
        <v>3589</v>
      </c>
      <c r="K3437" s="5">
        <v>0.15463917525773196</v>
      </c>
      <c r="L3437" s="5">
        <v>1.3652828085817777E-2</v>
      </c>
    </row>
    <row r="3438" spans="7:12">
      <c r="G3438" t="s">
        <v>4076</v>
      </c>
      <c r="H3438" t="s">
        <v>144</v>
      </c>
      <c r="I3438" t="s">
        <v>218</v>
      </c>
      <c r="J3438" s="4">
        <v>6137</v>
      </c>
      <c r="K3438" s="5">
        <v>0.15463581554505459</v>
      </c>
      <c r="L3438" s="5">
        <v>1.4013361577317907E-2</v>
      </c>
    </row>
    <row r="3439" spans="7:12">
      <c r="G3439" t="s">
        <v>4077</v>
      </c>
      <c r="H3439" t="s">
        <v>322</v>
      </c>
      <c r="I3439" t="s">
        <v>100</v>
      </c>
      <c r="J3439" s="4">
        <v>10619</v>
      </c>
      <c r="K3439" s="5">
        <v>0.15462849609191073</v>
      </c>
      <c r="L3439" s="5">
        <v>8.8520576325454379E-3</v>
      </c>
    </row>
    <row r="3440" spans="7:12">
      <c r="G3440" t="s">
        <v>4078</v>
      </c>
      <c r="H3440" t="s">
        <v>238</v>
      </c>
      <c r="I3440" t="s">
        <v>218</v>
      </c>
      <c r="J3440" s="4">
        <v>3603</v>
      </c>
      <c r="K3440" s="5">
        <v>0.15459339439356093</v>
      </c>
      <c r="L3440" s="5">
        <v>1.3044684984734944E-2</v>
      </c>
    </row>
    <row r="3441" spans="7:12">
      <c r="G3441" t="s">
        <v>4079</v>
      </c>
      <c r="H3441" t="s">
        <v>455</v>
      </c>
      <c r="I3441" t="s">
        <v>326</v>
      </c>
      <c r="J3441" s="4">
        <v>10650</v>
      </c>
      <c r="K3441" s="5">
        <v>0.15446009389671361</v>
      </c>
      <c r="L3441" s="5">
        <v>3.5680751173708921E-3</v>
      </c>
    </row>
    <row r="3442" spans="7:12">
      <c r="G3442" t="s">
        <v>4080</v>
      </c>
      <c r="H3442" t="s">
        <v>271</v>
      </c>
      <c r="I3442" t="s">
        <v>326</v>
      </c>
      <c r="J3442" s="4">
        <v>2734</v>
      </c>
      <c r="K3442" s="5">
        <v>0.15435259692757863</v>
      </c>
      <c r="L3442" s="5">
        <v>2.926115581565472E-3</v>
      </c>
    </row>
    <row r="3443" spans="7:12">
      <c r="G3443" t="s">
        <v>4081</v>
      </c>
      <c r="H3443" t="s">
        <v>461</v>
      </c>
      <c r="I3443" t="s">
        <v>218</v>
      </c>
      <c r="J3443" s="4">
        <v>8952</v>
      </c>
      <c r="K3443" s="5">
        <v>0.15426720285969617</v>
      </c>
      <c r="L3443" s="5">
        <v>5.4736371760500443E-3</v>
      </c>
    </row>
    <row r="3444" spans="7:12">
      <c r="G3444" t="s">
        <v>4082</v>
      </c>
      <c r="H3444" t="s">
        <v>461</v>
      </c>
      <c r="I3444" t="s">
        <v>331</v>
      </c>
      <c r="J3444" s="4">
        <v>2120</v>
      </c>
      <c r="K3444" s="5">
        <v>0.15424528301886792</v>
      </c>
      <c r="L3444" s="5">
        <v>5.1886792452830186E-3</v>
      </c>
    </row>
    <row r="3445" spans="7:12">
      <c r="G3445" t="s">
        <v>4083</v>
      </c>
      <c r="H3445" t="s">
        <v>218</v>
      </c>
      <c r="I3445" t="s">
        <v>307</v>
      </c>
      <c r="J3445" s="4">
        <v>1459</v>
      </c>
      <c r="K3445" s="5">
        <v>0.15421521590130227</v>
      </c>
      <c r="L3445" s="5">
        <v>1.0966415352981495E-2</v>
      </c>
    </row>
    <row r="3446" spans="7:12">
      <c r="G3446" t="s">
        <v>4084</v>
      </c>
      <c r="H3446" t="s">
        <v>268</v>
      </c>
      <c r="I3446" t="s">
        <v>406</v>
      </c>
      <c r="J3446" s="4">
        <v>1136</v>
      </c>
      <c r="K3446" s="5">
        <v>0.15404929577464788</v>
      </c>
      <c r="L3446" s="5">
        <v>7.9225352112676055E-3</v>
      </c>
    </row>
    <row r="3447" spans="7:12">
      <c r="G3447" t="s">
        <v>4085</v>
      </c>
      <c r="H3447" t="s">
        <v>463</v>
      </c>
      <c r="I3447" t="s">
        <v>215</v>
      </c>
      <c r="J3447" s="4">
        <v>21982</v>
      </c>
      <c r="K3447" s="5">
        <v>0.15403511964334454</v>
      </c>
      <c r="L3447" s="5">
        <v>9.0528614320807936E-3</v>
      </c>
    </row>
    <row r="3448" spans="7:12">
      <c r="G3448" t="s">
        <v>4086</v>
      </c>
      <c r="H3448" t="s">
        <v>489</v>
      </c>
      <c r="I3448" t="s">
        <v>215</v>
      </c>
      <c r="J3448" s="4">
        <v>13904</v>
      </c>
      <c r="K3448" s="5">
        <v>0.15384062140391255</v>
      </c>
      <c r="L3448" s="5">
        <v>8.199079401611048E-3</v>
      </c>
    </row>
    <row r="3449" spans="7:12">
      <c r="G3449" t="s">
        <v>4087</v>
      </c>
      <c r="H3449" t="s">
        <v>489</v>
      </c>
      <c r="I3449" t="s">
        <v>495</v>
      </c>
      <c r="J3449" s="4">
        <v>3716</v>
      </c>
      <c r="K3449" s="5">
        <v>0.15365984930032292</v>
      </c>
      <c r="L3449" s="5">
        <v>3.7674919268030141E-3</v>
      </c>
    </row>
    <row r="3450" spans="7:12">
      <c r="G3450" t="s">
        <v>4088</v>
      </c>
      <c r="H3450" t="s">
        <v>215</v>
      </c>
      <c r="I3450" t="s">
        <v>322</v>
      </c>
      <c r="J3450" s="4">
        <v>6150</v>
      </c>
      <c r="K3450" s="5">
        <v>0.15365853658536585</v>
      </c>
      <c r="L3450" s="5">
        <v>7.3170731707317077E-3</v>
      </c>
    </row>
    <row r="3451" spans="7:12">
      <c r="G3451" t="s">
        <v>4089</v>
      </c>
      <c r="H3451" t="s">
        <v>326</v>
      </c>
      <c r="I3451" t="s">
        <v>491</v>
      </c>
      <c r="J3451" s="4">
        <v>3508</v>
      </c>
      <c r="K3451" s="5">
        <v>0.15364880273660206</v>
      </c>
      <c r="L3451" s="5">
        <v>4.8460661345496011E-3</v>
      </c>
    </row>
    <row r="3452" spans="7:12">
      <c r="G3452" t="s">
        <v>4090</v>
      </c>
      <c r="H3452" t="s">
        <v>331</v>
      </c>
      <c r="I3452" t="s">
        <v>259</v>
      </c>
      <c r="J3452" s="4">
        <v>5838</v>
      </c>
      <c r="K3452" s="5">
        <v>0.15364850976361769</v>
      </c>
      <c r="L3452" s="5">
        <v>2.5865022267899964E-2</v>
      </c>
    </row>
    <row r="3453" spans="7:12">
      <c r="G3453" t="s">
        <v>4091</v>
      </c>
      <c r="H3453" t="s">
        <v>326</v>
      </c>
      <c r="I3453" t="s">
        <v>155</v>
      </c>
      <c r="J3453" s="4">
        <v>1628</v>
      </c>
      <c r="K3453" s="5">
        <v>0.15356265356265356</v>
      </c>
      <c r="L3453" s="5">
        <v>2.4570024570024569E-3</v>
      </c>
    </row>
    <row r="3454" spans="7:12">
      <c r="G3454" t="s">
        <v>4092</v>
      </c>
      <c r="H3454" t="s">
        <v>269</v>
      </c>
      <c r="I3454" t="s">
        <v>322</v>
      </c>
      <c r="J3454" s="4">
        <v>2716</v>
      </c>
      <c r="K3454" s="5">
        <v>0.15353460972017674</v>
      </c>
      <c r="L3454" s="5">
        <v>7.7319587628865982E-3</v>
      </c>
    </row>
    <row r="3455" spans="7:12">
      <c r="G3455" t="s">
        <v>4093</v>
      </c>
      <c r="H3455" t="s">
        <v>352</v>
      </c>
      <c r="I3455" t="s">
        <v>215</v>
      </c>
      <c r="J3455" s="4">
        <v>3439</v>
      </c>
      <c r="K3455" s="5">
        <v>0.15353300378016865</v>
      </c>
      <c r="L3455" s="5">
        <v>1.1340505961035184E-2</v>
      </c>
    </row>
    <row r="3456" spans="7:12">
      <c r="G3456" t="s">
        <v>4094</v>
      </c>
      <c r="H3456" t="s">
        <v>322</v>
      </c>
      <c r="I3456" t="s">
        <v>252</v>
      </c>
      <c r="J3456" s="4">
        <v>4583</v>
      </c>
      <c r="K3456" s="5">
        <v>0.15339297403447524</v>
      </c>
      <c r="L3456" s="5">
        <v>9.8188959197032504E-3</v>
      </c>
    </row>
    <row r="3457" spans="7:12">
      <c r="G3457" t="s">
        <v>4095</v>
      </c>
      <c r="H3457" t="s">
        <v>162</v>
      </c>
      <c r="I3457" t="s">
        <v>414</v>
      </c>
      <c r="J3457" s="4">
        <v>5360</v>
      </c>
      <c r="K3457" s="5">
        <v>0.15335820895522387</v>
      </c>
      <c r="L3457" s="5">
        <v>1.3619402985074627E-2</v>
      </c>
    </row>
    <row r="3458" spans="7:12">
      <c r="G3458" t="s">
        <v>4096</v>
      </c>
      <c r="H3458" t="s">
        <v>451</v>
      </c>
      <c r="I3458" t="s">
        <v>326</v>
      </c>
      <c r="J3458" s="4">
        <v>7742</v>
      </c>
      <c r="K3458" s="5">
        <v>0.15331955567036942</v>
      </c>
      <c r="L3458" s="5">
        <v>5.0374580211831567E-3</v>
      </c>
    </row>
    <row r="3459" spans="7:12">
      <c r="G3459" t="s">
        <v>4097</v>
      </c>
      <c r="H3459" t="s">
        <v>319</v>
      </c>
      <c r="I3459" t="s">
        <v>322</v>
      </c>
      <c r="J3459" s="4">
        <v>2185</v>
      </c>
      <c r="K3459" s="5">
        <v>0.15331807780320367</v>
      </c>
      <c r="L3459" s="5">
        <v>1.3272311212814645E-2</v>
      </c>
    </row>
    <row r="3460" spans="7:12">
      <c r="G3460" t="s">
        <v>4098</v>
      </c>
      <c r="H3460" t="s">
        <v>240</v>
      </c>
      <c r="I3460" t="s">
        <v>136</v>
      </c>
      <c r="J3460" s="4">
        <v>2205</v>
      </c>
      <c r="K3460" s="5">
        <v>0.15328798185941042</v>
      </c>
      <c r="L3460" s="5">
        <v>1.1337868480725623E-2</v>
      </c>
    </row>
    <row r="3461" spans="7:12">
      <c r="G3461" t="s">
        <v>4099</v>
      </c>
      <c r="H3461" t="s">
        <v>466</v>
      </c>
      <c r="I3461" t="s">
        <v>326</v>
      </c>
      <c r="J3461" s="4">
        <v>9293</v>
      </c>
      <c r="K3461" s="5">
        <v>0.15323361670074248</v>
      </c>
      <c r="L3461" s="5">
        <v>5.4880017217260307E-3</v>
      </c>
    </row>
    <row r="3462" spans="7:12">
      <c r="G3462" t="s">
        <v>4100</v>
      </c>
      <c r="H3462" t="s">
        <v>259</v>
      </c>
      <c r="I3462" t="s">
        <v>338</v>
      </c>
      <c r="J3462" s="4">
        <v>3224</v>
      </c>
      <c r="K3462" s="5">
        <v>0.15322580645161291</v>
      </c>
      <c r="L3462" s="5">
        <v>3.3188585607940448E-2</v>
      </c>
    </row>
    <row r="3463" spans="7:12">
      <c r="G3463" t="s">
        <v>4101</v>
      </c>
      <c r="H3463" t="s">
        <v>259</v>
      </c>
      <c r="I3463" t="s">
        <v>360</v>
      </c>
      <c r="J3463" s="4">
        <v>3211</v>
      </c>
      <c r="K3463" s="5">
        <v>0.15322329492369979</v>
      </c>
      <c r="L3463" s="5">
        <v>2.8340080971659919E-2</v>
      </c>
    </row>
    <row r="3464" spans="7:12">
      <c r="G3464" t="s">
        <v>4102</v>
      </c>
      <c r="H3464" t="s">
        <v>226</v>
      </c>
      <c r="I3464" t="s">
        <v>519</v>
      </c>
      <c r="J3464" s="4">
        <v>2846</v>
      </c>
      <c r="K3464" s="5">
        <v>0.15319747013352072</v>
      </c>
      <c r="L3464" s="5">
        <v>9.1356289529163741E-3</v>
      </c>
    </row>
    <row r="3465" spans="7:12">
      <c r="G3465" t="s">
        <v>4103</v>
      </c>
      <c r="H3465" t="s">
        <v>336</v>
      </c>
      <c r="I3465" t="s">
        <v>85</v>
      </c>
      <c r="J3465" s="4">
        <v>2292</v>
      </c>
      <c r="K3465" s="5">
        <v>0.15314136125654451</v>
      </c>
      <c r="L3465" s="5">
        <v>1.7015706806282723E-2</v>
      </c>
    </row>
    <row r="3466" spans="7:12">
      <c r="G3466" t="s">
        <v>4104</v>
      </c>
      <c r="H3466" t="s">
        <v>252</v>
      </c>
      <c r="I3466" t="s">
        <v>233</v>
      </c>
      <c r="J3466" s="4">
        <v>6466</v>
      </c>
      <c r="K3466" s="5">
        <v>0.15310856789359728</v>
      </c>
      <c r="L3466" s="5">
        <v>7.423445716053201E-3</v>
      </c>
    </row>
    <row r="3467" spans="7:12">
      <c r="G3467" t="s">
        <v>4105</v>
      </c>
      <c r="H3467" t="s">
        <v>482</v>
      </c>
      <c r="I3467" t="s">
        <v>89</v>
      </c>
      <c r="J3467" s="4">
        <v>1770</v>
      </c>
      <c r="K3467" s="5">
        <v>0.15310734463276837</v>
      </c>
      <c r="L3467" s="5">
        <v>1.2994350282485875E-2</v>
      </c>
    </row>
    <row r="3468" spans="7:12">
      <c r="G3468" t="s">
        <v>4106</v>
      </c>
      <c r="H3468" t="s">
        <v>499</v>
      </c>
      <c r="I3468" t="s">
        <v>268</v>
      </c>
      <c r="J3468" s="4">
        <v>4037</v>
      </c>
      <c r="K3468" s="5">
        <v>0.15308397324746098</v>
      </c>
      <c r="L3468" s="5">
        <v>9.6606390884320034E-3</v>
      </c>
    </row>
    <row r="3469" spans="7:12">
      <c r="G3469" t="s">
        <v>4107</v>
      </c>
      <c r="H3469" t="s">
        <v>370</v>
      </c>
      <c r="I3469" t="s">
        <v>400</v>
      </c>
      <c r="J3469" s="4">
        <v>1941</v>
      </c>
      <c r="K3469" s="5">
        <v>0.15301391035548687</v>
      </c>
      <c r="L3469" s="5">
        <v>1.4940752189592994E-2</v>
      </c>
    </row>
    <row r="3470" spans="7:12">
      <c r="G3470" t="s">
        <v>4108</v>
      </c>
      <c r="H3470" t="s">
        <v>354</v>
      </c>
      <c r="I3470" t="s">
        <v>322</v>
      </c>
      <c r="J3470" s="4">
        <v>1314</v>
      </c>
      <c r="K3470" s="5">
        <v>0.15296803652968036</v>
      </c>
      <c r="L3470" s="5">
        <v>5.3272450532724502E-3</v>
      </c>
    </row>
    <row r="3471" spans="7:12">
      <c r="G3471" t="s">
        <v>4109</v>
      </c>
      <c r="H3471" t="s">
        <v>499</v>
      </c>
      <c r="I3471" t="s">
        <v>89</v>
      </c>
      <c r="J3471" s="4">
        <v>4618</v>
      </c>
      <c r="K3471" s="5">
        <v>0.15288003464703334</v>
      </c>
      <c r="L3471" s="5">
        <v>2.5552187093980078E-2</v>
      </c>
    </row>
    <row r="3472" spans="7:12">
      <c r="G3472" t="s">
        <v>4110</v>
      </c>
      <c r="H3472" t="s">
        <v>140</v>
      </c>
      <c r="I3472" t="s">
        <v>204</v>
      </c>
      <c r="J3472" s="4">
        <v>1341</v>
      </c>
      <c r="K3472" s="5">
        <v>0.15287099179716629</v>
      </c>
      <c r="L3472" s="5">
        <v>3.6539895600298286E-2</v>
      </c>
    </row>
    <row r="3473" spans="7:12">
      <c r="G3473" t="s">
        <v>4111</v>
      </c>
      <c r="H3473" t="s">
        <v>134</v>
      </c>
      <c r="I3473" t="s">
        <v>160</v>
      </c>
      <c r="J3473" s="4">
        <v>2232</v>
      </c>
      <c r="K3473" s="5">
        <v>0.15277777777777779</v>
      </c>
      <c r="L3473" s="5">
        <v>2.46415770609319E-2</v>
      </c>
    </row>
    <row r="3474" spans="7:12">
      <c r="G3474" t="s">
        <v>4112</v>
      </c>
      <c r="H3474" t="s">
        <v>326</v>
      </c>
      <c r="I3474" t="s">
        <v>461</v>
      </c>
      <c r="J3474" s="4">
        <v>16750</v>
      </c>
      <c r="K3474" s="5">
        <v>0.15277611940298508</v>
      </c>
      <c r="L3474" s="5">
        <v>4.0000000000000001E-3</v>
      </c>
    </row>
    <row r="3475" spans="7:12">
      <c r="G3475" t="s">
        <v>4113</v>
      </c>
      <c r="H3475" t="s">
        <v>259</v>
      </c>
      <c r="I3475" t="s">
        <v>414</v>
      </c>
      <c r="J3475" s="4">
        <v>9418</v>
      </c>
      <c r="K3475" s="5">
        <v>0.15258016564026333</v>
      </c>
      <c r="L3475" s="5">
        <v>2.4102781906986621E-2</v>
      </c>
    </row>
    <row r="3476" spans="7:12">
      <c r="G3476" t="s">
        <v>4114</v>
      </c>
      <c r="H3476" t="s">
        <v>424</v>
      </c>
      <c r="I3476" t="s">
        <v>218</v>
      </c>
      <c r="J3476" s="4">
        <v>1601</v>
      </c>
      <c r="K3476" s="5">
        <v>0.1524047470331043</v>
      </c>
      <c r="L3476" s="5">
        <v>6.8707058088694562E-3</v>
      </c>
    </row>
    <row r="3477" spans="7:12">
      <c r="G3477" t="s">
        <v>4115</v>
      </c>
      <c r="H3477" t="s">
        <v>414</v>
      </c>
      <c r="I3477" t="s">
        <v>259</v>
      </c>
      <c r="J3477" s="4">
        <v>9423</v>
      </c>
      <c r="K3477" s="5">
        <v>0.15239308075984292</v>
      </c>
      <c r="L3477" s="5">
        <v>2.5469595670168738E-2</v>
      </c>
    </row>
    <row r="3478" spans="7:12">
      <c r="G3478" t="s">
        <v>4116</v>
      </c>
      <c r="H3478" t="s">
        <v>240</v>
      </c>
      <c r="I3478" t="s">
        <v>137</v>
      </c>
      <c r="J3478" s="4">
        <v>1772</v>
      </c>
      <c r="K3478" s="5">
        <v>0.15237020316027089</v>
      </c>
      <c r="L3478" s="5">
        <v>2.0316027088036117E-2</v>
      </c>
    </row>
    <row r="3479" spans="7:12">
      <c r="G3479" t="s">
        <v>4117</v>
      </c>
      <c r="H3479" t="s">
        <v>226</v>
      </c>
      <c r="I3479" t="s">
        <v>400</v>
      </c>
      <c r="J3479" s="4">
        <v>3997</v>
      </c>
      <c r="K3479" s="5">
        <v>0.15236427320490367</v>
      </c>
      <c r="L3479" s="5">
        <v>1.8013510132599449E-2</v>
      </c>
    </row>
    <row r="3480" spans="7:12">
      <c r="G3480" t="s">
        <v>4118</v>
      </c>
      <c r="H3480" t="s">
        <v>489</v>
      </c>
      <c r="I3480" t="s">
        <v>326</v>
      </c>
      <c r="J3480" s="4">
        <v>9203</v>
      </c>
      <c r="K3480" s="5">
        <v>0.15234162773008803</v>
      </c>
      <c r="L3480" s="5">
        <v>3.151146365315658E-3</v>
      </c>
    </row>
    <row r="3481" spans="7:12">
      <c r="G3481" t="s">
        <v>4119</v>
      </c>
      <c r="H3481" t="s">
        <v>311</v>
      </c>
      <c r="I3481" t="s">
        <v>89</v>
      </c>
      <c r="J3481" s="4">
        <v>2732</v>
      </c>
      <c r="K3481" s="5">
        <v>0.15226939970717424</v>
      </c>
      <c r="L3481" s="5">
        <v>1.2811127379209371E-2</v>
      </c>
    </row>
    <row r="3482" spans="7:12">
      <c r="G3482" t="s">
        <v>4120</v>
      </c>
      <c r="H3482" t="s">
        <v>218</v>
      </c>
      <c r="I3482" t="s">
        <v>511</v>
      </c>
      <c r="J3482" s="4">
        <v>4533</v>
      </c>
      <c r="K3482" s="5">
        <v>0.15221707478491064</v>
      </c>
      <c r="L3482" s="5">
        <v>1.1250827266710787E-2</v>
      </c>
    </row>
    <row r="3483" spans="7:12">
      <c r="G3483" t="s">
        <v>4121</v>
      </c>
      <c r="H3483" t="s">
        <v>259</v>
      </c>
      <c r="I3483" t="s">
        <v>301</v>
      </c>
      <c r="J3483" s="4">
        <v>2235</v>
      </c>
      <c r="K3483" s="5">
        <v>0.15212527964205816</v>
      </c>
      <c r="L3483" s="5">
        <v>3.3109619686800894E-2</v>
      </c>
    </row>
    <row r="3484" spans="7:12">
      <c r="G3484" t="s">
        <v>4122</v>
      </c>
      <c r="H3484" t="s">
        <v>346</v>
      </c>
      <c r="I3484" t="s">
        <v>414</v>
      </c>
      <c r="J3484" s="4">
        <v>2498</v>
      </c>
      <c r="K3484" s="5">
        <v>0.1521216973578863</v>
      </c>
      <c r="L3484" s="5">
        <v>1.0808646917534028E-2</v>
      </c>
    </row>
    <row r="3485" spans="7:12">
      <c r="G3485" t="s">
        <v>4123</v>
      </c>
      <c r="H3485" t="s">
        <v>299</v>
      </c>
      <c r="I3485" t="s">
        <v>259</v>
      </c>
      <c r="J3485" s="4">
        <v>2932</v>
      </c>
      <c r="K3485" s="5">
        <v>0.15211459754433834</v>
      </c>
      <c r="L3485" s="5">
        <v>3.1377899045020467E-2</v>
      </c>
    </row>
    <row r="3486" spans="7:12">
      <c r="G3486" t="s">
        <v>4124</v>
      </c>
      <c r="H3486" t="s">
        <v>218</v>
      </c>
      <c r="I3486" t="s">
        <v>68</v>
      </c>
      <c r="J3486" s="4">
        <v>2183</v>
      </c>
      <c r="K3486" s="5">
        <v>0.15208428767750801</v>
      </c>
      <c r="L3486" s="5">
        <v>1.0994044892349977E-2</v>
      </c>
    </row>
    <row r="3487" spans="7:12">
      <c r="G3487" t="s">
        <v>4125</v>
      </c>
      <c r="H3487" t="s">
        <v>438</v>
      </c>
      <c r="I3487" t="s">
        <v>326</v>
      </c>
      <c r="J3487" s="4">
        <v>3860</v>
      </c>
      <c r="K3487" s="5">
        <v>0.15207253886010363</v>
      </c>
      <c r="L3487" s="5">
        <v>5.699481865284974E-3</v>
      </c>
    </row>
    <row r="3488" spans="7:12">
      <c r="G3488" t="s">
        <v>4126</v>
      </c>
      <c r="H3488" t="s">
        <v>269</v>
      </c>
      <c r="I3488" t="s">
        <v>85</v>
      </c>
      <c r="J3488" s="4">
        <v>1256</v>
      </c>
      <c r="K3488" s="5">
        <v>0.15207006369426751</v>
      </c>
      <c r="L3488" s="5">
        <v>9.5541401273885346E-3</v>
      </c>
    </row>
    <row r="3489" spans="7:12">
      <c r="G3489" t="s">
        <v>4127</v>
      </c>
      <c r="H3489" t="s">
        <v>422</v>
      </c>
      <c r="I3489" t="s">
        <v>259</v>
      </c>
      <c r="J3489" s="4">
        <v>9387</v>
      </c>
      <c r="K3489" s="5">
        <v>0.15201874933418558</v>
      </c>
      <c r="L3489" s="5">
        <v>3.1106849898796207E-2</v>
      </c>
    </row>
    <row r="3490" spans="7:12">
      <c r="G3490" t="s">
        <v>4128</v>
      </c>
      <c r="H3490" t="s">
        <v>515</v>
      </c>
      <c r="I3490" t="s">
        <v>370</v>
      </c>
      <c r="J3490" s="4">
        <v>4572</v>
      </c>
      <c r="K3490" s="5">
        <v>0.15201224846894137</v>
      </c>
      <c r="L3490" s="5">
        <v>6.5616797900262466E-3</v>
      </c>
    </row>
    <row r="3491" spans="7:12">
      <c r="G3491" t="s">
        <v>4129</v>
      </c>
      <c r="H3491" t="s">
        <v>489</v>
      </c>
      <c r="I3491" t="s">
        <v>484</v>
      </c>
      <c r="J3491" s="4">
        <v>2112</v>
      </c>
      <c r="K3491" s="5">
        <v>0.15198863636363635</v>
      </c>
      <c r="L3491" s="5">
        <v>9.46969696969697E-4</v>
      </c>
    </row>
    <row r="3492" spans="7:12">
      <c r="G3492" t="s">
        <v>4130</v>
      </c>
      <c r="H3492" t="s">
        <v>362</v>
      </c>
      <c r="I3492" t="s">
        <v>370</v>
      </c>
      <c r="J3492" s="4">
        <v>8064</v>
      </c>
      <c r="K3492" s="5">
        <v>0.15190972222222221</v>
      </c>
      <c r="L3492" s="5">
        <v>6.820436507936508E-3</v>
      </c>
    </row>
    <row r="3493" spans="7:12">
      <c r="G3493" t="s">
        <v>4131</v>
      </c>
      <c r="H3493" t="s">
        <v>515</v>
      </c>
      <c r="I3493" t="s">
        <v>495</v>
      </c>
      <c r="J3493" s="4">
        <v>25351</v>
      </c>
      <c r="K3493" s="5">
        <v>0.15167054554060982</v>
      </c>
      <c r="L3493" s="5">
        <v>1.1794406532286694E-2</v>
      </c>
    </row>
    <row r="3494" spans="7:12">
      <c r="G3494" t="s">
        <v>4132</v>
      </c>
      <c r="H3494" t="s">
        <v>252</v>
      </c>
      <c r="I3494" t="s">
        <v>218</v>
      </c>
      <c r="J3494" s="4">
        <v>13840</v>
      </c>
      <c r="K3494" s="5">
        <v>0.15151734104046244</v>
      </c>
      <c r="L3494" s="5">
        <v>9.0317919075144516E-3</v>
      </c>
    </row>
    <row r="3495" spans="7:12">
      <c r="G3495" t="s">
        <v>4133</v>
      </c>
      <c r="H3495" t="s">
        <v>392</v>
      </c>
      <c r="I3495" t="s">
        <v>136</v>
      </c>
      <c r="J3495" s="4">
        <v>1571</v>
      </c>
      <c r="K3495" s="5">
        <v>0.15149586250795671</v>
      </c>
      <c r="L3495" s="5">
        <v>1.0821133036282623E-2</v>
      </c>
    </row>
    <row r="3496" spans="7:12">
      <c r="G3496" t="s">
        <v>4134</v>
      </c>
      <c r="H3496" t="s">
        <v>495</v>
      </c>
      <c r="I3496" t="s">
        <v>103</v>
      </c>
      <c r="J3496" s="4">
        <v>1717</v>
      </c>
      <c r="K3496" s="5">
        <v>0.15142690739662201</v>
      </c>
      <c r="L3496" s="5">
        <v>1.9219569015725101E-2</v>
      </c>
    </row>
    <row r="3497" spans="7:12">
      <c r="G3497" t="s">
        <v>4135</v>
      </c>
      <c r="H3497" t="s">
        <v>2825</v>
      </c>
      <c r="I3497" t="s">
        <v>134</v>
      </c>
      <c r="J3497" s="4">
        <v>1493</v>
      </c>
      <c r="K3497" s="5">
        <v>0.15137307434695244</v>
      </c>
      <c r="L3497" s="5">
        <v>1.8084393837910249E-2</v>
      </c>
    </row>
    <row r="3498" spans="7:12">
      <c r="G3498" t="s">
        <v>4136</v>
      </c>
      <c r="H3498" t="s">
        <v>372</v>
      </c>
      <c r="I3498" t="s">
        <v>259</v>
      </c>
      <c r="J3498" s="4">
        <v>4043</v>
      </c>
      <c r="K3498" s="5">
        <v>0.15137274301261439</v>
      </c>
      <c r="L3498" s="5">
        <v>2.7949542418995794E-2</v>
      </c>
    </row>
    <row r="3499" spans="7:12">
      <c r="G3499" t="s">
        <v>4137</v>
      </c>
      <c r="H3499" t="s">
        <v>466</v>
      </c>
      <c r="I3499" t="s">
        <v>160</v>
      </c>
      <c r="J3499" s="4">
        <v>1143</v>
      </c>
      <c r="K3499" s="5">
        <v>0.15135608048993876</v>
      </c>
      <c r="L3499" s="5">
        <v>1.2248468941382326E-2</v>
      </c>
    </row>
    <row r="3500" spans="7:12">
      <c r="G3500" t="s">
        <v>4138</v>
      </c>
      <c r="H3500" t="s">
        <v>390</v>
      </c>
      <c r="I3500" t="s">
        <v>398</v>
      </c>
      <c r="J3500" s="4">
        <v>7970</v>
      </c>
      <c r="K3500" s="5">
        <v>0.15131744040150566</v>
      </c>
      <c r="L3500" s="5">
        <v>9.5357590966122958E-3</v>
      </c>
    </row>
    <row r="3501" spans="7:12">
      <c r="G3501" t="s">
        <v>4139</v>
      </c>
      <c r="H3501" t="s">
        <v>414</v>
      </c>
      <c r="I3501" t="s">
        <v>162</v>
      </c>
      <c r="J3501" s="4">
        <v>5365</v>
      </c>
      <c r="K3501" s="5">
        <v>0.15116495806150979</v>
      </c>
      <c r="L3501" s="5">
        <v>1.0997204100652377E-2</v>
      </c>
    </row>
    <row r="3502" spans="7:12">
      <c r="G3502" t="s">
        <v>4140</v>
      </c>
      <c r="H3502" t="s">
        <v>149</v>
      </c>
      <c r="I3502" t="s">
        <v>331</v>
      </c>
      <c r="J3502" s="4">
        <v>4684</v>
      </c>
      <c r="K3502" s="5">
        <v>0.15115286080273271</v>
      </c>
      <c r="L3502" s="5">
        <v>2.241673783091375E-2</v>
      </c>
    </row>
    <row r="3503" spans="7:12">
      <c r="G3503" t="s">
        <v>4141</v>
      </c>
      <c r="H3503" t="s">
        <v>501</v>
      </c>
      <c r="I3503" t="s">
        <v>398</v>
      </c>
      <c r="J3503" s="4">
        <v>1224</v>
      </c>
      <c r="K3503" s="5">
        <v>0.15114379084967319</v>
      </c>
      <c r="L3503" s="5">
        <v>3.2679738562091504E-3</v>
      </c>
    </row>
    <row r="3504" spans="7:12">
      <c r="G3504" t="s">
        <v>4142</v>
      </c>
      <c r="H3504" t="s">
        <v>3837</v>
      </c>
      <c r="I3504" t="s">
        <v>134</v>
      </c>
      <c r="J3504" s="4">
        <v>1860</v>
      </c>
      <c r="K3504" s="5">
        <v>0.15107526881720429</v>
      </c>
      <c r="L3504" s="5">
        <v>2.3655913978494623E-2</v>
      </c>
    </row>
    <row r="3505" spans="7:12">
      <c r="G3505" t="s">
        <v>4143</v>
      </c>
      <c r="H3505" t="s">
        <v>408</v>
      </c>
      <c r="I3505" t="s">
        <v>268</v>
      </c>
      <c r="J3505" s="4">
        <v>1371</v>
      </c>
      <c r="K3505" s="5">
        <v>0.15098468271334792</v>
      </c>
      <c r="L3505" s="5">
        <v>1.1670313639679067E-2</v>
      </c>
    </row>
    <row r="3506" spans="7:12">
      <c r="G3506" t="s">
        <v>4144</v>
      </c>
      <c r="H3506" t="s">
        <v>322</v>
      </c>
      <c r="I3506" t="s">
        <v>461</v>
      </c>
      <c r="J3506" s="4">
        <v>4590</v>
      </c>
      <c r="K3506" s="5">
        <v>0.15098039215686274</v>
      </c>
      <c r="L3506" s="5">
        <v>3.9215686274509803E-3</v>
      </c>
    </row>
    <row r="3507" spans="7:12">
      <c r="G3507" t="s">
        <v>4145</v>
      </c>
      <c r="H3507" t="s">
        <v>105</v>
      </c>
      <c r="I3507" t="s">
        <v>346</v>
      </c>
      <c r="J3507" s="4">
        <v>1444</v>
      </c>
      <c r="K3507" s="5">
        <v>0.15096952908587258</v>
      </c>
      <c r="L3507" s="5">
        <v>5.5401662049861496E-3</v>
      </c>
    </row>
    <row r="3508" spans="7:12">
      <c r="G3508" t="s">
        <v>4146</v>
      </c>
      <c r="H3508" t="s">
        <v>377</v>
      </c>
      <c r="I3508" t="s">
        <v>245</v>
      </c>
      <c r="J3508" s="4">
        <v>1994</v>
      </c>
      <c r="K3508" s="5">
        <v>0.15095285857572718</v>
      </c>
      <c r="L3508" s="5">
        <v>1.2537612838515547E-2</v>
      </c>
    </row>
    <row r="3509" spans="7:12">
      <c r="G3509" t="s">
        <v>4147</v>
      </c>
      <c r="H3509" t="s">
        <v>252</v>
      </c>
      <c r="I3509" t="s">
        <v>377</v>
      </c>
      <c r="J3509" s="4">
        <v>3664</v>
      </c>
      <c r="K3509" s="5">
        <v>0.15092794759825329</v>
      </c>
      <c r="L3509" s="5">
        <v>8.7336244541484712E-3</v>
      </c>
    </row>
    <row r="3510" spans="7:12">
      <c r="G3510" t="s">
        <v>4148</v>
      </c>
      <c r="H3510" t="s">
        <v>398</v>
      </c>
      <c r="I3510" t="s">
        <v>418</v>
      </c>
      <c r="J3510" s="4">
        <v>9813</v>
      </c>
      <c r="K3510" s="5">
        <v>0.15092224600020382</v>
      </c>
      <c r="L3510" s="5">
        <v>1.6304901661061858E-2</v>
      </c>
    </row>
    <row r="3511" spans="7:12">
      <c r="G3511" t="s">
        <v>4149</v>
      </c>
      <c r="H3511" t="s">
        <v>218</v>
      </c>
      <c r="I3511" t="s">
        <v>213</v>
      </c>
      <c r="J3511" s="4">
        <v>2538</v>
      </c>
      <c r="K3511" s="5">
        <v>0.15090622537431048</v>
      </c>
      <c r="L3511" s="5">
        <v>1.1426319936958234E-2</v>
      </c>
    </row>
    <row r="3512" spans="7:12">
      <c r="G3512" t="s">
        <v>4150</v>
      </c>
      <c r="H3512" t="s">
        <v>4151</v>
      </c>
      <c r="I3512" t="s">
        <v>326</v>
      </c>
      <c r="J3512" s="4">
        <v>1531</v>
      </c>
      <c r="K3512" s="5">
        <v>0.15088177661659047</v>
      </c>
      <c r="L3512" s="5">
        <v>1.7635532331809273E-2</v>
      </c>
    </row>
    <row r="3513" spans="7:12">
      <c r="G3513" t="s">
        <v>4152</v>
      </c>
      <c r="H3513" t="s">
        <v>3012</v>
      </c>
      <c r="I3513" t="s">
        <v>3680</v>
      </c>
      <c r="J3513" s="4">
        <v>1087</v>
      </c>
      <c r="K3513" s="5">
        <v>0.15087396504139836</v>
      </c>
      <c r="L3513" s="5">
        <v>1.7479300827966882E-2</v>
      </c>
    </row>
    <row r="3514" spans="7:12">
      <c r="G3514" t="s">
        <v>4153</v>
      </c>
      <c r="H3514" t="s">
        <v>463</v>
      </c>
      <c r="I3514" t="s">
        <v>103</v>
      </c>
      <c r="J3514" s="4">
        <v>1757</v>
      </c>
      <c r="K3514" s="5">
        <v>0.15082527034718271</v>
      </c>
      <c r="L3514" s="5">
        <v>7.3989755264655659E-3</v>
      </c>
    </row>
    <row r="3515" spans="7:12">
      <c r="G3515" t="s">
        <v>4154</v>
      </c>
      <c r="H3515" t="s">
        <v>313</v>
      </c>
      <c r="I3515" t="s">
        <v>218</v>
      </c>
      <c r="J3515" s="4">
        <v>6531</v>
      </c>
      <c r="K3515" s="5">
        <v>0.15081917011177462</v>
      </c>
      <c r="L3515" s="5">
        <v>1.1177461338233042E-2</v>
      </c>
    </row>
    <row r="3516" spans="7:12">
      <c r="G3516" t="s">
        <v>4155</v>
      </c>
      <c r="H3516" t="s">
        <v>288</v>
      </c>
      <c r="I3516" t="s">
        <v>322</v>
      </c>
      <c r="J3516" s="4">
        <v>3594</v>
      </c>
      <c r="K3516" s="5">
        <v>0.15080690038953812</v>
      </c>
      <c r="L3516" s="5">
        <v>1.0294936004451864E-2</v>
      </c>
    </row>
    <row r="3517" spans="7:12">
      <c r="G3517" t="s">
        <v>4156</v>
      </c>
      <c r="H3517" t="s">
        <v>402</v>
      </c>
      <c r="I3517" t="s">
        <v>121</v>
      </c>
      <c r="J3517" s="4">
        <v>1121</v>
      </c>
      <c r="K3517" s="5">
        <v>0.15075825156110614</v>
      </c>
      <c r="L3517" s="5">
        <v>1.3380909901873328E-2</v>
      </c>
    </row>
    <row r="3518" spans="7:12">
      <c r="G3518" t="s">
        <v>4157</v>
      </c>
      <c r="H3518" t="s">
        <v>297</v>
      </c>
      <c r="I3518" t="s">
        <v>149</v>
      </c>
      <c r="J3518" s="4">
        <v>4511</v>
      </c>
      <c r="K3518" s="5">
        <v>0.15074262912879627</v>
      </c>
      <c r="L3518" s="5">
        <v>4.4779428064730661E-2</v>
      </c>
    </row>
    <row r="3519" spans="7:12">
      <c r="G3519" t="s">
        <v>4158</v>
      </c>
      <c r="H3519" t="s">
        <v>322</v>
      </c>
      <c r="I3519" t="s">
        <v>334</v>
      </c>
      <c r="J3519" s="4">
        <v>2342</v>
      </c>
      <c r="K3519" s="5">
        <v>0.15072587532023912</v>
      </c>
      <c r="L3519" s="5">
        <v>7.2587532023911184E-3</v>
      </c>
    </row>
    <row r="3520" spans="7:12">
      <c r="G3520" t="s">
        <v>4159</v>
      </c>
      <c r="H3520" t="s">
        <v>519</v>
      </c>
      <c r="I3520" t="s">
        <v>103</v>
      </c>
      <c r="J3520" s="4">
        <v>2190</v>
      </c>
      <c r="K3520" s="5">
        <v>0.15068493150684931</v>
      </c>
      <c r="L3520" s="5">
        <v>8.21917808219178E-3</v>
      </c>
    </row>
    <row r="3521" spans="7:12">
      <c r="G3521" t="s">
        <v>4160</v>
      </c>
      <c r="H3521" t="s">
        <v>486</v>
      </c>
      <c r="I3521" t="s">
        <v>489</v>
      </c>
      <c r="J3521" s="4">
        <v>2210</v>
      </c>
      <c r="K3521" s="5">
        <v>0.1506787330316742</v>
      </c>
      <c r="L3521" s="5">
        <v>8.5972850678733038E-3</v>
      </c>
    </row>
    <row r="3522" spans="7:12">
      <c r="G3522" t="s">
        <v>4161</v>
      </c>
      <c r="H3522" t="s">
        <v>484</v>
      </c>
      <c r="I3522" t="s">
        <v>377</v>
      </c>
      <c r="J3522" s="4">
        <v>2410</v>
      </c>
      <c r="K3522" s="5">
        <v>0.15062240663900414</v>
      </c>
      <c r="L3522" s="5">
        <v>1.0788381742738589E-2</v>
      </c>
    </row>
    <row r="3523" spans="7:12">
      <c r="G3523" t="s">
        <v>4162</v>
      </c>
      <c r="H3523" t="s">
        <v>299</v>
      </c>
      <c r="I3523" t="s">
        <v>377</v>
      </c>
      <c r="J3523" s="4">
        <v>3884</v>
      </c>
      <c r="K3523" s="5">
        <v>0.15061791967044283</v>
      </c>
      <c r="L3523" s="5">
        <v>8.7538619979402685E-3</v>
      </c>
    </row>
    <row r="3524" spans="7:12">
      <c r="G3524" t="s">
        <v>4163</v>
      </c>
      <c r="H3524" t="s">
        <v>4164</v>
      </c>
      <c r="I3524" t="s">
        <v>463</v>
      </c>
      <c r="J3524" s="4">
        <v>2470</v>
      </c>
      <c r="K3524" s="5">
        <v>0.15060728744939272</v>
      </c>
      <c r="L3524" s="5">
        <v>3.0769230769230771E-2</v>
      </c>
    </row>
    <row r="3525" spans="7:12">
      <c r="G3525" t="s">
        <v>4165</v>
      </c>
      <c r="H3525" t="s">
        <v>416</v>
      </c>
      <c r="I3525" t="s">
        <v>218</v>
      </c>
      <c r="J3525" s="4">
        <v>9249</v>
      </c>
      <c r="K3525" s="5">
        <v>0.15050275705481675</v>
      </c>
      <c r="L3525" s="5">
        <v>9.1901827224564817E-3</v>
      </c>
    </row>
    <row r="3526" spans="7:12">
      <c r="G3526" t="s">
        <v>4166</v>
      </c>
      <c r="H3526" t="s">
        <v>377</v>
      </c>
      <c r="I3526" t="s">
        <v>449</v>
      </c>
      <c r="J3526" s="4">
        <v>3927</v>
      </c>
      <c r="K3526" s="5">
        <v>0.15049656226126815</v>
      </c>
      <c r="L3526" s="5">
        <v>5.0929462694168579E-3</v>
      </c>
    </row>
    <row r="3527" spans="7:12">
      <c r="G3527" t="s">
        <v>4167</v>
      </c>
      <c r="H3527" t="s">
        <v>331</v>
      </c>
      <c r="I3527" t="s">
        <v>140</v>
      </c>
      <c r="J3527" s="4">
        <v>4486</v>
      </c>
      <c r="K3527" s="5">
        <v>0.15046812304948728</v>
      </c>
      <c r="L3527" s="5">
        <v>3.6335265269728044E-2</v>
      </c>
    </row>
    <row r="3528" spans="7:12">
      <c r="G3528" t="s">
        <v>4168</v>
      </c>
      <c r="H3528" t="s">
        <v>377</v>
      </c>
      <c r="I3528" t="s">
        <v>282</v>
      </c>
      <c r="J3528" s="4">
        <v>1038</v>
      </c>
      <c r="K3528" s="5">
        <v>0.15028901734104047</v>
      </c>
      <c r="L3528" s="5">
        <v>1.348747591522158E-2</v>
      </c>
    </row>
    <row r="3529" spans="7:12">
      <c r="G3529" t="s">
        <v>4169</v>
      </c>
      <c r="H3529" t="s">
        <v>358</v>
      </c>
      <c r="I3529" t="s">
        <v>377</v>
      </c>
      <c r="J3529" s="4">
        <v>3436</v>
      </c>
      <c r="K3529" s="5">
        <v>0.15017462165308498</v>
      </c>
      <c r="L3529" s="5">
        <v>8.1490104772991845E-3</v>
      </c>
    </row>
    <row r="3530" spans="7:12">
      <c r="G3530" t="s">
        <v>4170</v>
      </c>
      <c r="H3530" t="s">
        <v>344</v>
      </c>
      <c r="I3530" t="s">
        <v>268</v>
      </c>
      <c r="J3530" s="4">
        <v>1139</v>
      </c>
      <c r="K3530" s="5">
        <v>0.15013169446883232</v>
      </c>
      <c r="L3530" s="5">
        <v>7.0237050043898156E-3</v>
      </c>
    </row>
    <row r="3531" spans="7:12">
      <c r="G3531" t="s">
        <v>4171</v>
      </c>
      <c r="H3531" t="s">
        <v>347</v>
      </c>
      <c r="I3531" t="s">
        <v>259</v>
      </c>
      <c r="J3531" s="4">
        <v>2318</v>
      </c>
      <c r="K3531" s="5">
        <v>0.15012942191544434</v>
      </c>
      <c r="L3531" s="5">
        <v>3.2355478861087146E-2</v>
      </c>
    </row>
    <row r="3532" spans="7:12">
      <c r="G3532" t="s">
        <v>4172</v>
      </c>
      <c r="H3532" t="s">
        <v>370</v>
      </c>
      <c r="I3532" t="s">
        <v>134</v>
      </c>
      <c r="J3532" s="4">
        <v>16097</v>
      </c>
      <c r="K3532" s="5">
        <v>0.15009007889668882</v>
      </c>
      <c r="L3532" s="5">
        <v>1.0747344225632106E-2</v>
      </c>
    </row>
    <row r="3533" spans="7:12">
      <c r="G3533" t="s">
        <v>4173</v>
      </c>
      <c r="H3533" t="s">
        <v>398</v>
      </c>
      <c r="I3533" t="s">
        <v>466</v>
      </c>
      <c r="J3533" s="4">
        <v>4759</v>
      </c>
      <c r="K3533" s="5">
        <v>0.1500315192267283</v>
      </c>
      <c r="L3533" s="5">
        <v>5.4633326329060726E-3</v>
      </c>
    </row>
    <row r="3534" spans="7:12">
      <c r="G3534" t="s">
        <v>4174</v>
      </c>
      <c r="H3534" t="s">
        <v>263</v>
      </c>
      <c r="I3534" t="s">
        <v>160</v>
      </c>
      <c r="J3534" s="4">
        <v>3080</v>
      </c>
      <c r="K3534" s="5">
        <v>0.15</v>
      </c>
      <c r="L3534" s="5">
        <v>8.7662337662337657E-3</v>
      </c>
    </row>
    <row r="3535" spans="7:12">
      <c r="G3535" t="s">
        <v>4175</v>
      </c>
      <c r="H3535" t="s">
        <v>449</v>
      </c>
      <c r="I3535" t="s">
        <v>525</v>
      </c>
      <c r="J3535" s="4">
        <v>1020</v>
      </c>
      <c r="K3535" s="5">
        <v>0.15</v>
      </c>
      <c r="L3535" s="5">
        <v>6.8627450980392156E-3</v>
      </c>
    </row>
    <row r="3536" spans="7:12">
      <c r="G3536" t="s">
        <v>4176</v>
      </c>
      <c r="H3536" t="s">
        <v>449</v>
      </c>
      <c r="I3536" t="s">
        <v>412</v>
      </c>
      <c r="J3536" s="4">
        <v>1721</v>
      </c>
      <c r="K3536" s="5">
        <v>0.14991284137129576</v>
      </c>
      <c r="L3536" s="5">
        <v>2.3242300987797791E-3</v>
      </c>
    </row>
    <row r="3537" spans="7:12">
      <c r="G3537" t="s">
        <v>4177</v>
      </c>
      <c r="H3537" t="s">
        <v>370</v>
      </c>
      <c r="I3537" t="s">
        <v>346</v>
      </c>
      <c r="J3537" s="4">
        <v>7451</v>
      </c>
      <c r="K3537" s="5">
        <v>0.14991276338746476</v>
      </c>
      <c r="L3537" s="5">
        <v>8.0526103878673996E-3</v>
      </c>
    </row>
    <row r="3538" spans="7:12">
      <c r="G3538" t="s">
        <v>4178</v>
      </c>
      <c r="H3538" t="s">
        <v>346</v>
      </c>
      <c r="I3538" t="s">
        <v>377</v>
      </c>
      <c r="J3538" s="4">
        <v>2715</v>
      </c>
      <c r="K3538" s="5">
        <v>0.14990791896869246</v>
      </c>
      <c r="L3538" s="5">
        <v>7.3664825046040518E-3</v>
      </c>
    </row>
    <row r="3539" spans="7:12">
      <c r="G3539" t="s">
        <v>4179</v>
      </c>
      <c r="H3539" t="s">
        <v>259</v>
      </c>
      <c r="I3539" t="s">
        <v>2423</v>
      </c>
      <c r="J3539" s="4">
        <v>1041</v>
      </c>
      <c r="K3539" s="5">
        <v>0.14985590778097982</v>
      </c>
      <c r="L3539" s="5">
        <v>2.8818443804034581E-2</v>
      </c>
    </row>
    <row r="3540" spans="7:12">
      <c r="G3540" t="s">
        <v>4180</v>
      </c>
      <c r="H3540" t="s">
        <v>525</v>
      </c>
      <c r="I3540" t="s">
        <v>215</v>
      </c>
      <c r="J3540" s="4">
        <v>4246</v>
      </c>
      <c r="K3540" s="5">
        <v>0.1497880357983985</v>
      </c>
      <c r="L3540" s="5">
        <v>1.7192651907677815E-2</v>
      </c>
    </row>
    <row r="3541" spans="7:12">
      <c r="G3541" t="s">
        <v>4181</v>
      </c>
      <c r="H3541" t="s">
        <v>303</v>
      </c>
      <c r="I3541" t="s">
        <v>100</v>
      </c>
      <c r="J3541" s="4">
        <v>1089</v>
      </c>
      <c r="K3541" s="5">
        <v>0.14967860422405876</v>
      </c>
      <c r="L3541" s="5">
        <v>2.0202020202020204E-2</v>
      </c>
    </row>
    <row r="3542" spans="7:12">
      <c r="G3542" t="s">
        <v>4182</v>
      </c>
      <c r="H3542" t="s">
        <v>457</v>
      </c>
      <c r="I3542" t="s">
        <v>134</v>
      </c>
      <c r="J3542" s="4">
        <v>2220</v>
      </c>
      <c r="K3542" s="5">
        <v>0.14954954954954955</v>
      </c>
      <c r="L3542" s="5">
        <v>1.3963963963963964E-2</v>
      </c>
    </row>
    <row r="3543" spans="7:12">
      <c r="G3543" t="s">
        <v>4183</v>
      </c>
      <c r="H3543" t="s">
        <v>362</v>
      </c>
      <c r="I3543" t="s">
        <v>461</v>
      </c>
      <c r="J3543" s="4">
        <v>3357</v>
      </c>
      <c r="K3543" s="5">
        <v>0.1495382782246053</v>
      </c>
      <c r="L3543" s="5">
        <v>3.8725052129877867E-3</v>
      </c>
    </row>
    <row r="3544" spans="7:12">
      <c r="G3544" t="s">
        <v>4184</v>
      </c>
      <c r="H3544" t="s">
        <v>374</v>
      </c>
      <c r="I3544" t="s">
        <v>259</v>
      </c>
      <c r="J3544" s="4">
        <v>2906</v>
      </c>
      <c r="K3544" s="5">
        <v>0.14934618031658636</v>
      </c>
      <c r="L3544" s="5">
        <v>2.7185134205092911E-2</v>
      </c>
    </row>
    <row r="3545" spans="7:12">
      <c r="G3545" t="s">
        <v>4185</v>
      </c>
      <c r="H3545" t="s">
        <v>282</v>
      </c>
      <c r="I3545" t="s">
        <v>218</v>
      </c>
      <c r="J3545" s="4">
        <v>12911</v>
      </c>
      <c r="K3545" s="5">
        <v>0.14925257532336766</v>
      </c>
      <c r="L3545" s="5">
        <v>1.0998373479978313E-2</v>
      </c>
    </row>
    <row r="3546" spans="7:12">
      <c r="G3546" t="s">
        <v>4186</v>
      </c>
      <c r="H3546" t="s">
        <v>368</v>
      </c>
      <c r="I3546" t="s">
        <v>115</v>
      </c>
      <c r="J3546" s="4">
        <v>3219</v>
      </c>
      <c r="K3546" s="5">
        <v>0.14911463187325255</v>
      </c>
      <c r="L3546" s="5">
        <v>8.3876980428704562E-3</v>
      </c>
    </row>
    <row r="3547" spans="7:12">
      <c r="G3547" t="s">
        <v>4187</v>
      </c>
      <c r="H3547" t="s">
        <v>226</v>
      </c>
      <c r="I3547" t="s">
        <v>422</v>
      </c>
      <c r="J3547" s="4">
        <v>1631</v>
      </c>
      <c r="K3547" s="5">
        <v>0.1489883507050889</v>
      </c>
      <c r="L3547" s="5">
        <v>3.0656039239730227E-3</v>
      </c>
    </row>
    <row r="3548" spans="7:12">
      <c r="G3548" t="s">
        <v>4188</v>
      </c>
      <c r="H3548" t="s">
        <v>218</v>
      </c>
      <c r="I3548" t="s">
        <v>517</v>
      </c>
      <c r="J3548" s="4">
        <v>4887</v>
      </c>
      <c r="K3548" s="5">
        <v>0.14896664620421526</v>
      </c>
      <c r="L3548" s="5">
        <v>1.023122570083896E-2</v>
      </c>
    </row>
    <row r="3549" spans="7:12">
      <c r="G3549" t="s">
        <v>4189</v>
      </c>
      <c r="H3549" t="s">
        <v>486</v>
      </c>
      <c r="I3549" t="s">
        <v>495</v>
      </c>
      <c r="J3549" s="4">
        <v>34956</v>
      </c>
      <c r="K3549" s="5">
        <v>0.14895869092573522</v>
      </c>
      <c r="L3549" s="5">
        <v>1.1929282526604875E-2</v>
      </c>
    </row>
    <row r="3550" spans="7:12">
      <c r="G3550" t="s">
        <v>4190</v>
      </c>
      <c r="H3550" t="s">
        <v>497</v>
      </c>
      <c r="I3550" t="s">
        <v>370</v>
      </c>
      <c r="J3550" s="4">
        <v>7573</v>
      </c>
      <c r="K3550" s="5">
        <v>0.14895021787930807</v>
      </c>
      <c r="L3550" s="5">
        <v>2.7730093754126501E-3</v>
      </c>
    </row>
    <row r="3551" spans="7:12">
      <c r="G3551" t="s">
        <v>4191</v>
      </c>
      <c r="H3551" t="s">
        <v>377</v>
      </c>
      <c r="I3551" t="s">
        <v>4192</v>
      </c>
      <c r="J3551" s="4">
        <v>2793</v>
      </c>
      <c r="K3551" s="5">
        <v>0.14894378804153241</v>
      </c>
      <c r="L3551" s="5">
        <v>1.1457214464733263E-2</v>
      </c>
    </row>
    <row r="3552" spans="7:12">
      <c r="G3552" t="s">
        <v>4193</v>
      </c>
      <c r="H3552" t="s">
        <v>507</v>
      </c>
      <c r="I3552" t="s">
        <v>326</v>
      </c>
      <c r="J3552" s="4">
        <v>3243</v>
      </c>
      <c r="K3552" s="5">
        <v>0.14893617021276595</v>
      </c>
      <c r="L3552" s="5">
        <v>1.2334258402713536E-3</v>
      </c>
    </row>
    <row r="3553" spans="7:12">
      <c r="G3553" t="s">
        <v>4194</v>
      </c>
      <c r="H3553" t="s">
        <v>288</v>
      </c>
      <c r="I3553" t="s">
        <v>259</v>
      </c>
      <c r="J3553" s="4">
        <v>5849</v>
      </c>
      <c r="K3553" s="5">
        <v>0.1489143443323645</v>
      </c>
      <c r="L3553" s="5">
        <v>3.9322961189946999E-2</v>
      </c>
    </row>
    <row r="3554" spans="7:12">
      <c r="G3554" t="s">
        <v>4195</v>
      </c>
      <c r="H3554" t="s">
        <v>215</v>
      </c>
      <c r="I3554" t="s">
        <v>377</v>
      </c>
      <c r="J3554" s="4">
        <v>8080</v>
      </c>
      <c r="K3554" s="5">
        <v>0.14888613861386138</v>
      </c>
      <c r="L3554" s="5">
        <v>6.5594059405940592E-3</v>
      </c>
    </row>
    <row r="3555" spans="7:12">
      <c r="G3555" t="s">
        <v>4196</v>
      </c>
      <c r="H3555" t="s">
        <v>282</v>
      </c>
      <c r="I3555" t="s">
        <v>259</v>
      </c>
      <c r="J3555" s="4">
        <v>3124</v>
      </c>
      <c r="K3555" s="5">
        <v>0.14884763124199743</v>
      </c>
      <c r="L3555" s="5">
        <v>2.1446862996158771E-2</v>
      </c>
    </row>
    <row r="3556" spans="7:12">
      <c r="G3556" t="s">
        <v>4197</v>
      </c>
      <c r="H3556" t="s">
        <v>233</v>
      </c>
      <c r="I3556" t="s">
        <v>356</v>
      </c>
      <c r="J3556" s="4">
        <v>2675</v>
      </c>
      <c r="K3556" s="5">
        <v>0.14878504672897197</v>
      </c>
      <c r="L3556" s="5">
        <v>4.1121495327102802E-3</v>
      </c>
    </row>
    <row r="3557" spans="7:12">
      <c r="G3557" t="s">
        <v>4198</v>
      </c>
      <c r="H3557" t="s">
        <v>273</v>
      </c>
      <c r="I3557" t="s">
        <v>259</v>
      </c>
      <c r="J3557" s="4">
        <v>1903</v>
      </c>
      <c r="K3557" s="5">
        <v>0.1487125591171834</v>
      </c>
      <c r="L3557" s="5">
        <v>3.310562270099842E-2</v>
      </c>
    </row>
    <row r="3558" spans="7:12">
      <c r="G3558" t="s">
        <v>4199</v>
      </c>
      <c r="H3558" t="s">
        <v>455</v>
      </c>
      <c r="I3558" t="s">
        <v>418</v>
      </c>
      <c r="J3558" s="4">
        <v>8582</v>
      </c>
      <c r="K3558" s="5">
        <v>0.14868329060824984</v>
      </c>
      <c r="L3558" s="5">
        <v>1.5264507107900257E-2</v>
      </c>
    </row>
    <row r="3559" spans="7:12">
      <c r="G3559" t="s">
        <v>4200</v>
      </c>
      <c r="H3559" t="s">
        <v>218</v>
      </c>
      <c r="I3559" t="s">
        <v>250</v>
      </c>
      <c r="J3559" s="4">
        <v>6848</v>
      </c>
      <c r="K3559" s="5">
        <v>0.14865654205607476</v>
      </c>
      <c r="L3559" s="5">
        <v>1.0952102803738317E-2</v>
      </c>
    </row>
    <row r="3560" spans="7:12">
      <c r="G3560" t="s">
        <v>4201</v>
      </c>
      <c r="H3560" t="s">
        <v>489</v>
      </c>
      <c r="I3560" t="s">
        <v>466</v>
      </c>
      <c r="J3560" s="4">
        <v>4225</v>
      </c>
      <c r="K3560" s="5">
        <v>0.14863905325443788</v>
      </c>
      <c r="L3560" s="5">
        <v>4.7337278106508876E-3</v>
      </c>
    </row>
    <row r="3561" spans="7:12">
      <c r="G3561" t="s">
        <v>4202</v>
      </c>
      <c r="H3561" t="s">
        <v>408</v>
      </c>
      <c r="I3561" t="s">
        <v>140</v>
      </c>
      <c r="J3561" s="4">
        <v>6709</v>
      </c>
      <c r="K3561" s="5">
        <v>0.14860634967953495</v>
      </c>
      <c r="L3561" s="5">
        <v>3.6816217021910867E-2</v>
      </c>
    </row>
    <row r="3562" spans="7:12">
      <c r="G3562" t="s">
        <v>4203</v>
      </c>
      <c r="H3562" t="s">
        <v>484</v>
      </c>
      <c r="I3562" t="s">
        <v>215</v>
      </c>
      <c r="J3562" s="4">
        <v>11736</v>
      </c>
      <c r="K3562" s="5">
        <v>0.14860259032038173</v>
      </c>
      <c r="L3562" s="5">
        <v>2.1301976823449218E-3</v>
      </c>
    </row>
    <row r="3563" spans="7:12">
      <c r="G3563" t="s">
        <v>4204</v>
      </c>
      <c r="H3563" t="s">
        <v>324</v>
      </c>
      <c r="I3563" t="s">
        <v>259</v>
      </c>
      <c r="J3563" s="4">
        <v>1898</v>
      </c>
      <c r="K3563" s="5">
        <v>0.14857744994731295</v>
      </c>
      <c r="L3563" s="5">
        <v>3.0558482613277135E-2</v>
      </c>
    </row>
    <row r="3564" spans="7:12">
      <c r="G3564" t="s">
        <v>4205</v>
      </c>
      <c r="H3564" t="s">
        <v>497</v>
      </c>
      <c r="I3564" t="s">
        <v>326</v>
      </c>
      <c r="J3564" s="4">
        <v>9033</v>
      </c>
      <c r="K3564" s="5">
        <v>0.14856636776264806</v>
      </c>
      <c r="L3564" s="5">
        <v>3.6532713384257723E-3</v>
      </c>
    </row>
    <row r="3565" spans="7:12">
      <c r="G3565" t="s">
        <v>4206</v>
      </c>
      <c r="H3565" t="s">
        <v>360</v>
      </c>
      <c r="I3565" t="s">
        <v>115</v>
      </c>
      <c r="J3565" s="4">
        <v>2594</v>
      </c>
      <c r="K3565" s="5">
        <v>0.14841942945258288</v>
      </c>
      <c r="L3565" s="5">
        <v>1.2336160370084811E-2</v>
      </c>
    </row>
    <row r="3566" spans="7:12">
      <c r="G3566" t="s">
        <v>4207</v>
      </c>
      <c r="H3566" t="s">
        <v>346</v>
      </c>
      <c r="I3566" t="s">
        <v>254</v>
      </c>
      <c r="J3566" s="4">
        <v>1543</v>
      </c>
      <c r="K3566" s="5">
        <v>0.14841218405703174</v>
      </c>
      <c r="L3566" s="5">
        <v>1.0369410239792612E-2</v>
      </c>
    </row>
    <row r="3567" spans="7:12">
      <c r="G3567" t="s">
        <v>4208</v>
      </c>
      <c r="H3567" t="s">
        <v>331</v>
      </c>
      <c r="I3567" t="s">
        <v>115</v>
      </c>
      <c r="J3567" s="4">
        <v>2392</v>
      </c>
      <c r="K3567" s="5">
        <v>0.14841137123745821</v>
      </c>
      <c r="L3567" s="5">
        <v>8.3612040133779261E-3</v>
      </c>
    </row>
    <row r="3568" spans="7:12">
      <c r="G3568" t="s">
        <v>4209</v>
      </c>
      <c r="H3568" t="s">
        <v>218</v>
      </c>
      <c r="I3568" t="s">
        <v>457</v>
      </c>
      <c r="J3568" s="4">
        <v>4562</v>
      </c>
      <c r="K3568" s="5">
        <v>0.14839982463831652</v>
      </c>
      <c r="L3568" s="5">
        <v>1.0083296799649276E-2</v>
      </c>
    </row>
    <row r="3569" spans="7:12">
      <c r="G3569" t="s">
        <v>4210</v>
      </c>
      <c r="H3569" t="s">
        <v>3650</v>
      </c>
      <c r="I3569" t="s">
        <v>218</v>
      </c>
      <c r="J3569" s="4">
        <v>1759</v>
      </c>
      <c r="K3569" s="5">
        <v>0.14837976122797045</v>
      </c>
      <c r="L3569" s="5">
        <v>1.0801591813530414E-2</v>
      </c>
    </row>
    <row r="3570" spans="7:12">
      <c r="G3570" t="s">
        <v>4211</v>
      </c>
      <c r="H3570" t="s">
        <v>507</v>
      </c>
      <c r="I3570" t="s">
        <v>377</v>
      </c>
      <c r="J3570" s="4">
        <v>2380</v>
      </c>
      <c r="K3570" s="5">
        <v>0.14831932773109244</v>
      </c>
      <c r="L3570" s="5">
        <v>8.4033613445378148E-3</v>
      </c>
    </row>
    <row r="3571" spans="7:12">
      <c r="G3571" t="s">
        <v>4212</v>
      </c>
      <c r="H3571" t="s">
        <v>416</v>
      </c>
      <c r="I3571" t="s">
        <v>85</v>
      </c>
      <c r="J3571" s="4">
        <v>1517</v>
      </c>
      <c r="K3571" s="5">
        <v>0.14831905075807514</v>
      </c>
      <c r="L3571" s="5">
        <v>1.6479894528675015E-2</v>
      </c>
    </row>
    <row r="3572" spans="7:12">
      <c r="G3572" t="s">
        <v>4213</v>
      </c>
      <c r="H3572" t="s">
        <v>215</v>
      </c>
      <c r="I3572" t="s">
        <v>390</v>
      </c>
      <c r="J3572" s="4">
        <v>12076</v>
      </c>
      <c r="K3572" s="5">
        <v>0.14822789002981118</v>
      </c>
      <c r="L3572" s="5">
        <v>8.9433587280556472E-3</v>
      </c>
    </row>
    <row r="3573" spans="7:12">
      <c r="G3573" t="s">
        <v>4214</v>
      </c>
      <c r="H3573" t="s">
        <v>358</v>
      </c>
      <c r="I3573" t="s">
        <v>149</v>
      </c>
      <c r="J3573" s="4">
        <v>4400</v>
      </c>
      <c r="K3573" s="5">
        <v>0.14818181818181819</v>
      </c>
      <c r="L3573" s="5">
        <v>3.2954545454545452E-2</v>
      </c>
    </row>
    <row r="3574" spans="7:12">
      <c r="G3574" t="s">
        <v>4215</v>
      </c>
      <c r="H3574" t="s">
        <v>319</v>
      </c>
      <c r="I3574" t="s">
        <v>137</v>
      </c>
      <c r="J3574" s="4">
        <v>2133</v>
      </c>
      <c r="K3574" s="5">
        <v>0.14814814814814814</v>
      </c>
      <c r="L3574" s="5">
        <v>1.875293014533521E-2</v>
      </c>
    </row>
    <row r="3575" spans="7:12">
      <c r="G3575" t="s">
        <v>4216</v>
      </c>
      <c r="H3575" t="s">
        <v>370</v>
      </c>
      <c r="I3575" t="s">
        <v>215</v>
      </c>
      <c r="J3575" s="4">
        <v>22428</v>
      </c>
      <c r="K3575" s="5">
        <v>0.14811842339932227</v>
      </c>
      <c r="L3575" s="5">
        <v>8.9620117710005349E-3</v>
      </c>
    </row>
    <row r="3576" spans="7:12">
      <c r="G3576" t="s">
        <v>4217</v>
      </c>
      <c r="H3576" t="s">
        <v>377</v>
      </c>
      <c r="I3576" t="s">
        <v>215</v>
      </c>
      <c r="J3576" s="4">
        <v>8085</v>
      </c>
      <c r="K3576" s="5">
        <v>0.14805194805194805</v>
      </c>
      <c r="L3576" s="5">
        <v>7.4211502782931356E-3</v>
      </c>
    </row>
    <row r="3577" spans="7:12">
      <c r="G3577" t="s">
        <v>4218</v>
      </c>
      <c r="H3577" t="s">
        <v>422</v>
      </c>
      <c r="I3577" t="s">
        <v>236</v>
      </c>
      <c r="J3577" s="4">
        <v>1149</v>
      </c>
      <c r="K3577" s="5">
        <v>0.14795474325500435</v>
      </c>
      <c r="L3577" s="5">
        <v>1.7406440382941688E-3</v>
      </c>
    </row>
    <row r="3578" spans="7:12">
      <c r="G3578" t="s">
        <v>4219</v>
      </c>
      <c r="H3578" t="s">
        <v>322</v>
      </c>
      <c r="I3578" t="s">
        <v>368</v>
      </c>
      <c r="J3578" s="4">
        <v>1825</v>
      </c>
      <c r="K3578" s="5">
        <v>0.14794520547945206</v>
      </c>
      <c r="L3578" s="5">
        <v>1.1506849315068493E-2</v>
      </c>
    </row>
    <row r="3579" spans="7:12">
      <c r="G3579" t="s">
        <v>4220</v>
      </c>
      <c r="H3579" t="s">
        <v>218</v>
      </c>
      <c r="I3579" t="s">
        <v>4221</v>
      </c>
      <c r="J3579" s="4">
        <v>1548</v>
      </c>
      <c r="K3579" s="5">
        <v>0.1479328165374677</v>
      </c>
      <c r="L3579" s="5">
        <v>3.875968992248062E-3</v>
      </c>
    </row>
    <row r="3580" spans="7:12">
      <c r="G3580" t="s">
        <v>4222</v>
      </c>
      <c r="H3580" t="s">
        <v>360</v>
      </c>
      <c r="I3580" t="s">
        <v>377</v>
      </c>
      <c r="J3580" s="4">
        <v>4388</v>
      </c>
      <c r="K3580" s="5">
        <v>0.14790337283500457</v>
      </c>
      <c r="L3580" s="5">
        <v>1.0711030082041932E-2</v>
      </c>
    </row>
    <row r="3581" spans="7:12">
      <c r="G3581" t="s">
        <v>4223</v>
      </c>
      <c r="H3581" t="s">
        <v>418</v>
      </c>
      <c r="I3581" t="s">
        <v>326</v>
      </c>
      <c r="J3581" s="4">
        <v>9681</v>
      </c>
      <c r="K3581" s="5">
        <v>0.14781530833591572</v>
      </c>
      <c r="L3581" s="5">
        <v>1.105257721309782E-2</v>
      </c>
    </row>
    <row r="3582" spans="7:12">
      <c r="G3582" t="s">
        <v>4224</v>
      </c>
      <c r="H3582" t="s">
        <v>461</v>
      </c>
      <c r="I3582" t="s">
        <v>204</v>
      </c>
      <c r="J3582" s="4">
        <v>1096</v>
      </c>
      <c r="K3582" s="5">
        <v>0.1478102189781022</v>
      </c>
      <c r="L3582" s="5">
        <v>9.1240875912408752E-3</v>
      </c>
    </row>
    <row r="3583" spans="7:12">
      <c r="G3583" t="s">
        <v>4225</v>
      </c>
      <c r="H3583" t="s">
        <v>440</v>
      </c>
      <c r="I3583" t="s">
        <v>370</v>
      </c>
      <c r="J3583" s="4">
        <v>1482</v>
      </c>
      <c r="K3583" s="5">
        <v>0.14777327935222673</v>
      </c>
      <c r="L3583" s="5">
        <v>1.1470985155195682E-2</v>
      </c>
    </row>
    <row r="3584" spans="7:12">
      <c r="G3584" t="s">
        <v>4226</v>
      </c>
      <c r="H3584" t="s">
        <v>507</v>
      </c>
      <c r="I3584" t="s">
        <v>215</v>
      </c>
      <c r="J3584" s="4">
        <v>15525</v>
      </c>
      <c r="K3584" s="5">
        <v>0.1476328502415459</v>
      </c>
      <c r="L3584" s="5">
        <v>6.0547504025764897E-3</v>
      </c>
    </row>
    <row r="3585" spans="7:12">
      <c r="G3585" t="s">
        <v>4227</v>
      </c>
      <c r="H3585" t="s">
        <v>358</v>
      </c>
      <c r="I3585" t="s">
        <v>136</v>
      </c>
      <c r="J3585" s="4">
        <v>3781</v>
      </c>
      <c r="K3585" s="5">
        <v>0.14758000528960594</v>
      </c>
      <c r="L3585" s="5">
        <v>1.2430573922242793E-2</v>
      </c>
    </row>
    <row r="3586" spans="7:12">
      <c r="G3586" t="s">
        <v>4228</v>
      </c>
      <c r="H3586" t="s">
        <v>140</v>
      </c>
      <c r="I3586" t="s">
        <v>144</v>
      </c>
      <c r="J3586" s="4">
        <v>1478</v>
      </c>
      <c r="K3586" s="5">
        <v>0.14749661705006767</v>
      </c>
      <c r="L3586" s="5">
        <v>4.3301759133964821E-2</v>
      </c>
    </row>
    <row r="3587" spans="7:12">
      <c r="G3587" t="s">
        <v>4229</v>
      </c>
      <c r="H3587" t="s">
        <v>358</v>
      </c>
      <c r="I3587" t="s">
        <v>322</v>
      </c>
      <c r="J3587" s="4">
        <v>3614</v>
      </c>
      <c r="K3587" s="5">
        <v>0.14748201438848921</v>
      </c>
      <c r="L3587" s="5">
        <v>6.9175428887659103E-3</v>
      </c>
    </row>
    <row r="3588" spans="7:12">
      <c r="G3588" t="s">
        <v>4230</v>
      </c>
      <c r="H3588" t="s">
        <v>449</v>
      </c>
      <c r="I3588" t="s">
        <v>466</v>
      </c>
      <c r="J3588" s="4">
        <v>1641</v>
      </c>
      <c r="K3588" s="5">
        <v>0.14747105423522242</v>
      </c>
      <c r="L3588" s="5">
        <v>1.7062766605728214E-2</v>
      </c>
    </row>
    <row r="3589" spans="7:12">
      <c r="G3589" t="s">
        <v>4231</v>
      </c>
      <c r="H3589" t="s">
        <v>404</v>
      </c>
      <c r="I3589" t="s">
        <v>215</v>
      </c>
      <c r="J3589" s="4">
        <v>4789</v>
      </c>
      <c r="K3589" s="5">
        <v>0.14742117352265607</v>
      </c>
      <c r="L3589" s="5">
        <v>1.2319899770306954E-2</v>
      </c>
    </row>
    <row r="3590" spans="7:12">
      <c r="G3590" t="s">
        <v>4232</v>
      </c>
      <c r="H3590" t="s">
        <v>326</v>
      </c>
      <c r="I3590" t="s">
        <v>346</v>
      </c>
      <c r="J3590" s="4">
        <v>2877</v>
      </c>
      <c r="K3590" s="5">
        <v>0.14737573861661452</v>
      </c>
      <c r="L3590" s="5">
        <v>8.3420229405630868E-3</v>
      </c>
    </row>
    <row r="3591" spans="7:12">
      <c r="G3591" t="s">
        <v>4233</v>
      </c>
      <c r="H3591" t="s">
        <v>346</v>
      </c>
      <c r="I3591" t="s">
        <v>273</v>
      </c>
      <c r="J3591" s="4">
        <v>1643</v>
      </c>
      <c r="K3591" s="5">
        <v>0.14729153986609861</v>
      </c>
      <c r="L3591" s="5">
        <v>1.7650639074863056E-2</v>
      </c>
    </row>
    <row r="3592" spans="7:12">
      <c r="G3592" t="s">
        <v>4234</v>
      </c>
      <c r="H3592" t="s">
        <v>384</v>
      </c>
      <c r="I3592" t="s">
        <v>218</v>
      </c>
      <c r="J3592" s="4">
        <v>1100</v>
      </c>
      <c r="K3592" s="5">
        <v>0.14727272727272728</v>
      </c>
      <c r="L3592" s="5">
        <v>0.01</v>
      </c>
    </row>
    <row r="3593" spans="7:12">
      <c r="G3593" t="s">
        <v>4235</v>
      </c>
      <c r="H3593" t="s">
        <v>525</v>
      </c>
      <c r="I3593" t="s">
        <v>370</v>
      </c>
      <c r="J3593" s="4">
        <v>4951</v>
      </c>
      <c r="K3593" s="5">
        <v>0.14724298121591597</v>
      </c>
      <c r="L3593" s="5">
        <v>8.8870935164613203E-3</v>
      </c>
    </row>
    <row r="3594" spans="7:12">
      <c r="G3594" t="s">
        <v>4236</v>
      </c>
      <c r="H3594" t="s">
        <v>240</v>
      </c>
      <c r="I3594" t="s">
        <v>377</v>
      </c>
      <c r="J3594" s="4">
        <v>2588</v>
      </c>
      <c r="K3594" s="5">
        <v>0.1472179289026275</v>
      </c>
      <c r="L3594" s="5">
        <v>6.1823802163833074E-3</v>
      </c>
    </row>
    <row r="3595" spans="7:12">
      <c r="G3595" t="s">
        <v>4237</v>
      </c>
      <c r="H3595" t="s">
        <v>259</v>
      </c>
      <c r="I3595" t="s">
        <v>347</v>
      </c>
      <c r="J3595" s="4">
        <v>2317</v>
      </c>
      <c r="K3595" s="5">
        <v>0.14717306862321969</v>
      </c>
      <c r="L3595" s="5">
        <v>3.3664220975399221E-2</v>
      </c>
    </row>
    <row r="3596" spans="7:12">
      <c r="G3596" t="s">
        <v>4238</v>
      </c>
      <c r="H3596" t="s">
        <v>503</v>
      </c>
      <c r="I3596" t="s">
        <v>268</v>
      </c>
      <c r="J3596" s="4">
        <v>1815</v>
      </c>
      <c r="K3596" s="5">
        <v>0.14710743801652892</v>
      </c>
      <c r="L3596" s="5">
        <v>3.856749311294766E-3</v>
      </c>
    </row>
    <row r="3597" spans="7:12">
      <c r="G3597" t="s">
        <v>4239</v>
      </c>
      <c r="H3597" t="s">
        <v>457</v>
      </c>
      <c r="I3597" t="s">
        <v>189</v>
      </c>
      <c r="J3597" s="4">
        <v>1312</v>
      </c>
      <c r="K3597" s="5">
        <v>0.14710365853658536</v>
      </c>
      <c r="L3597" s="5">
        <v>1.2195121951219513E-2</v>
      </c>
    </row>
    <row r="3598" spans="7:12">
      <c r="G3598" t="s">
        <v>4240</v>
      </c>
      <c r="H3598" t="s">
        <v>477</v>
      </c>
      <c r="I3598" t="s">
        <v>326</v>
      </c>
      <c r="J3598" s="4">
        <v>3923</v>
      </c>
      <c r="K3598" s="5">
        <v>0.14708131531990823</v>
      </c>
      <c r="L3598" s="5">
        <v>1.5549324496558756E-2</v>
      </c>
    </row>
    <row r="3599" spans="7:12">
      <c r="G3599" t="s">
        <v>4241</v>
      </c>
      <c r="H3599" t="s">
        <v>368</v>
      </c>
      <c r="I3599" t="s">
        <v>259</v>
      </c>
      <c r="J3599" s="4">
        <v>3121</v>
      </c>
      <c r="K3599" s="5">
        <v>0.14706824735661647</v>
      </c>
      <c r="L3599" s="5">
        <v>2.4351169496956104E-2</v>
      </c>
    </row>
    <row r="3600" spans="7:12">
      <c r="G3600" t="s">
        <v>4242</v>
      </c>
      <c r="H3600" t="s">
        <v>118</v>
      </c>
      <c r="I3600" t="s">
        <v>495</v>
      </c>
      <c r="J3600" s="4">
        <v>1231</v>
      </c>
      <c r="K3600" s="5">
        <v>0.14703493095044678</v>
      </c>
      <c r="L3600" s="5">
        <v>3.249390739236393E-3</v>
      </c>
    </row>
    <row r="3601" spans="7:12">
      <c r="G3601" t="s">
        <v>4243</v>
      </c>
      <c r="H3601" t="s">
        <v>377</v>
      </c>
      <c r="I3601" t="s">
        <v>4244</v>
      </c>
      <c r="J3601" s="4">
        <v>2170</v>
      </c>
      <c r="K3601" s="5">
        <v>0.14700460829493087</v>
      </c>
      <c r="L3601" s="5">
        <v>1.1520737327188941E-2</v>
      </c>
    </row>
    <row r="3602" spans="7:12">
      <c r="G3602" t="s">
        <v>4245</v>
      </c>
      <c r="H3602" t="s">
        <v>410</v>
      </c>
      <c r="I3602" t="s">
        <v>115</v>
      </c>
      <c r="J3602" s="4">
        <v>2653</v>
      </c>
      <c r="K3602" s="5">
        <v>0.14700339238597815</v>
      </c>
      <c r="L3602" s="5">
        <v>1.3192612137203167E-2</v>
      </c>
    </row>
    <row r="3603" spans="7:12">
      <c r="G3603" t="s">
        <v>4246</v>
      </c>
      <c r="H3603" t="s">
        <v>322</v>
      </c>
      <c r="I3603" t="s">
        <v>347</v>
      </c>
      <c r="J3603" s="4">
        <v>3083</v>
      </c>
      <c r="K3603" s="5">
        <v>0.14693480376256893</v>
      </c>
      <c r="L3603" s="5">
        <v>6.8115471942912743E-3</v>
      </c>
    </row>
    <row r="3604" spans="7:12">
      <c r="G3604" t="s">
        <v>4247</v>
      </c>
      <c r="H3604" t="s">
        <v>149</v>
      </c>
      <c r="I3604" t="s">
        <v>358</v>
      </c>
      <c r="J3604" s="4">
        <v>4399</v>
      </c>
      <c r="K3604" s="5">
        <v>0.14685155717208456</v>
      </c>
      <c r="L3604" s="5">
        <v>2.8642873380313707E-2</v>
      </c>
    </row>
    <row r="3605" spans="7:12">
      <c r="G3605" t="s">
        <v>4248</v>
      </c>
      <c r="H3605" t="s">
        <v>489</v>
      </c>
      <c r="I3605" t="s">
        <v>418</v>
      </c>
      <c r="J3605" s="4">
        <v>7810</v>
      </c>
      <c r="K3605" s="5">
        <v>0.1467349551856594</v>
      </c>
      <c r="L3605" s="5">
        <v>1.5108834827144686E-2</v>
      </c>
    </row>
    <row r="3606" spans="7:12">
      <c r="G3606" t="s">
        <v>4249</v>
      </c>
      <c r="H3606" t="s">
        <v>360</v>
      </c>
      <c r="I3606" t="s">
        <v>215</v>
      </c>
      <c r="J3606" s="4">
        <v>1350</v>
      </c>
      <c r="K3606" s="5">
        <v>0.14666666666666667</v>
      </c>
      <c r="L3606" s="5">
        <v>5.9259259259259256E-3</v>
      </c>
    </row>
    <row r="3607" spans="7:12">
      <c r="G3607" t="s">
        <v>4250</v>
      </c>
      <c r="H3607" t="s">
        <v>406</v>
      </c>
      <c r="I3607" t="s">
        <v>134</v>
      </c>
      <c r="J3607" s="4">
        <v>1766</v>
      </c>
      <c r="K3607" s="5">
        <v>0.14665911664779163</v>
      </c>
      <c r="L3607" s="5">
        <v>1.8120045300113252E-2</v>
      </c>
    </row>
    <row r="3608" spans="7:12">
      <c r="G3608" t="s">
        <v>4251</v>
      </c>
      <c r="H3608" t="s">
        <v>463</v>
      </c>
      <c r="I3608" t="s">
        <v>4164</v>
      </c>
      <c r="J3608" s="4">
        <v>2470</v>
      </c>
      <c r="K3608" s="5">
        <v>0.1465587044534413</v>
      </c>
      <c r="L3608" s="5">
        <v>3.724696356275304E-2</v>
      </c>
    </row>
    <row r="3609" spans="7:12">
      <c r="G3609" t="s">
        <v>4252</v>
      </c>
      <c r="H3609" t="s">
        <v>366</v>
      </c>
      <c r="I3609" t="s">
        <v>377</v>
      </c>
      <c r="J3609" s="4">
        <v>4033</v>
      </c>
      <c r="K3609" s="5">
        <v>0.14654103644929334</v>
      </c>
      <c r="L3609" s="5">
        <v>7.6865856682370448E-3</v>
      </c>
    </row>
    <row r="3610" spans="7:12">
      <c r="G3610" t="s">
        <v>4253</v>
      </c>
      <c r="H3610" t="s">
        <v>233</v>
      </c>
      <c r="I3610" t="s">
        <v>240</v>
      </c>
      <c r="J3610" s="4">
        <v>1126</v>
      </c>
      <c r="K3610" s="5">
        <v>0.14653641207815277</v>
      </c>
      <c r="L3610" s="5">
        <v>2.6642984014209592E-3</v>
      </c>
    </row>
    <row r="3611" spans="7:12">
      <c r="G3611" t="s">
        <v>4254</v>
      </c>
      <c r="H3611" t="s">
        <v>282</v>
      </c>
      <c r="I3611" t="s">
        <v>233</v>
      </c>
      <c r="J3611" s="4">
        <v>3003</v>
      </c>
      <c r="K3611" s="5">
        <v>0.14652014652014653</v>
      </c>
      <c r="L3611" s="5">
        <v>7.992007992007992E-3</v>
      </c>
    </row>
    <row r="3612" spans="7:12">
      <c r="G3612" t="s">
        <v>4255</v>
      </c>
      <c r="H3612" t="s">
        <v>461</v>
      </c>
      <c r="I3612" t="s">
        <v>418</v>
      </c>
      <c r="J3612" s="4">
        <v>4307</v>
      </c>
      <c r="K3612" s="5">
        <v>0.14650568841420944</v>
      </c>
      <c r="L3612" s="5">
        <v>3.018342233573253E-3</v>
      </c>
    </row>
    <row r="3613" spans="7:12">
      <c r="G3613" t="s">
        <v>4256</v>
      </c>
      <c r="H3613" t="s">
        <v>455</v>
      </c>
      <c r="I3613" t="s">
        <v>390</v>
      </c>
      <c r="J3613" s="4">
        <v>6804</v>
      </c>
      <c r="K3613" s="5">
        <v>0.14623750734861846</v>
      </c>
      <c r="L3613" s="5">
        <v>5.7319223985890649E-3</v>
      </c>
    </row>
    <row r="3614" spans="7:12">
      <c r="G3614" t="s">
        <v>4257</v>
      </c>
      <c r="H3614" t="s">
        <v>398</v>
      </c>
      <c r="I3614" t="s">
        <v>515</v>
      </c>
      <c r="J3614" s="4">
        <v>2059</v>
      </c>
      <c r="K3614" s="5">
        <v>0.14618746964545895</v>
      </c>
      <c r="L3614" s="5">
        <v>8.2564351627003405E-3</v>
      </c>
    </row>
    <row r="3615" spans="7:12">
      <c r="G3615" t="s">
        <v>4258</v>
      </c>
      <c r="H3615" t="s">
        <v>398</v>
      </c>
      <c r="I3615" t="s">
        <v>268</v>
      </c>
      <c r="J3615" s="4">
        <v>1307</v>
      </c>
      <c r="K3615" s="5">
        <v>0.14613618974751338</v>
      </c>
      <c r="L3615" s="5">
        <v>4.5906656465187455E-3</v>
      </c>
    </row>
    <row r="3616" spans="7:12">
      <c r="G3616" t="s">
        <v>4259</v>
      </c>
      <c r="H3616" t="s">
        <v>412</v>
      </c>
      <c r="I3616" t="s">
        <v>103</v>
      </c>
      <c r="J3616" s="4">
        <v>4360</v>
      </c>
      <c r="K3616" s="5">
        <v>0.14610091743119266</v>
      </c>
      <c r="L3616" s="5">
        <v>5.2752293577981654E-3</v>
      </c>
    </row>
    <row r="3617" spans="7:12">
      <c r="G3617" t="s">
        <v>4260</v>
      </c>
      <c r="H3617" t="s">
        <v>322</v>
      </c>
      <c r="I3617" t="s">
        <v>414</v>
      </c>
      <c r="J3617" s="4">
        <v>4244</v>
      </c>
      <c r="K3617" s="5">
        <v>0.1460885956644675</v>
      </c>
      <c r="L3617" s="5">
        <v>4.2412818096135719E-3</v>
      </c>
    </row>
    <row r="3618" spans="7:12">
      <c r="G3618" t="s">
        <v>4261</v>
      </c>
      <c r="H3618" t="s">
        <v>358</v>
      </c>
      <c r="I3618" t="s">
        <v>233</v>
      </c>
      <c r="J3618" s="4">
        <v>2465</v>
      </c>
      <c r="K3618" s="5">
        <v>0.1460446247464503</v>
      </c>
      <c r="L3618" s="5">
        <v>4.4624746450304259E-3</v>
      </c>
    </row>
    <row r="3619" spans="7:12">
      <c r="G3619" t="s">
        <v>4262</v>
      </c>
      <c r="H3619" t="s">
        <v>307</v>
      </c>
      <c r="I3619" t="s">
        <v>218</v>
      </c>
      <c r="J3619" s="4">
        <v>1459</v>
      </c>
      <c r="K3619" s="5">
        <v>0.14599040438656613</v>
      </c>
      <c r="L3619" s="5">
        <v>1.1651816312542838E-2</v>
      </c>
    </row>
    <row r="3620" spans="7:12">
      <c r="G3620" t="s">
        <v>4263</v>
      </c>
      <c r="H3620" t="s">
        <v>430</v>
      </c>
      <c r="I3620" t="s">
        <v>377</v>
      </c>
      <c r="J3620" s="4">
        <v>3433</v>
      </c>
      <c r="K3620" s="5">
        <v>0.14593649868919312</v>
      </c>
      <c r="L3620" s="5">
        <v>1.0777745412175939E-2</v>
      </c>
    </row>
    <row r="3621" spans="7:12">
      <c r="G3621" t="s">
        <v>4264</v>
      </c>
      <c r="H3621" t="s">
        <v>182</v>
      </c>
      <c r="I3621" t="s">
        <v>322</v>
      </c>
      <c r="J3621" s="4">
        <v>3666</v>
      </c>
      <c r="K3621" s="5">
        <v>0.1459356246590289</v>
      </c>
      <c r="L3621" s="5">
        <v>7.6377523186033826E-3</v>
      </c>
    </row>
    <row r="3622" spans="7:12">
      <c r="G3622" t="s">
        <v>4265</v>
      </c>
      <c r="H3622" t="s">
        <v>311</v>
      </c>
      <c r="I3622" t="s">
        <v>377</v>
      </c>
      <c r="J3622" s="4">
        <v>4793</v>
      </c>
      <c r="K3622" s="5">
        <v>0.14583767994992697</v>
      </c>
      <c r="L3622" s="5">
        <v>8.3455038597955358E-3</v>
      </c>
    </row>
    <row r="3623" spans="7:12">
      <c r="G3623" t="s">
        <v>4266</v>
      </c>
      <c r="H3623" t="s">
        <v>344</v>
      </c>
      <c r="I3623" t="s">
        <v>160</v>
      </c>
      <c r="J3623" s="4">
        <v>1344</v>
      </c>
      <c r="K3623" s="5">
        <v>0.14583333333333334</v>
      </c>
      <c r="L3623" s="5">
        <v>5.208333333333333E-3</v>
      </c>
    </row>
    <row r="3624" spans="7:12">
      <c r="G3624" t="s">
        <v>4267</v>
      </c>
      <c r="H3624" t="s">
        <v>449</v>
      </c>
      <c r="I3624" t="s">
        <v>404</v>
      </c>
      <c r="J3624" s="4">
        <v>1680</v>
      </c>
      <c r="K3624" s="5">
        <v>0.14583333333333334</v>
      </c>
      <c r="L3624" s="5">
        <v>1.4285714285714285E-2</v>
      </c>
    </row>
    <row r="3625" spans="7:12">
      <c r="G3625" t="s">
        <v>4268</v>
      </c>
      <c r="H3625" t="s">
        <v>461</v>
      </c>
      <c r="I3625" t="s">
        <v>233</v>
      </c>
      <c r="J3625" s="4">
        <v>3059</v>
      </c>
      <c r="K3625" s="5">
        <v>0.14579928081072246</v>
      </c>
      <c r="L3625" s="5">
        <v>5.5573716900948018E-3</v>
      </c>
    </row>
    <row r="3626" spans="7:12">
      <c r="G3626" t="s">
        <v>4269</v>
      </c>
      <c r="H3626" t="s">
        <v>377</v>
      </c>
      <c r="I3626" t="s">
        <v>4270</v>
      </c>
      <c r="J3626" s="4">
        <v>1900</v>
      </c>
      <c r="K3626" s="5">
        <v>0.14578947368421052</v>
      </c>
      <c r="L3626" s="5">
        <v>1.1052631578947368E-2</v>
      </c>
    </row>
    <row r="3627" spans="7:12">
      <c r="G3627" t="s">
        <v>4271</v>
      </c>
      <c r="H3627" t="s">
        <v>4270</v>
      </c>
      <c r="I3627" t="s">
        <v>377</v>
      </c>
      <c r="J3627" s="4">
        <v>1900</v>
      </c>
      <c r="K3627" s="5">
        <v>0.14578947368421052</v>
      </c>
      <c r="L3627" s="5">
        <v>1.1052631578947368E-2</v>
      </c>
    </row>
    <row r="3628" spans="7:12">
      <c r="G3628" t="s">
        <v>4272</v>
      </c>
      <c r="H3628" t="s">
        <v>461</v>
      </c>
      <c r="I3628" t="s">
        <v>455</v>
      </c>
      <c r="J3628" s="4">
        <v>5983</v>
      </c>
      <c r="K3628" s="5">
        <v>0.14574628112986796</v>
      </c>
      <c r="L3628" s="5">
        <v>4.3456459969914759E-3</v>
      </c>
    </row>
    <row r="3629" spans="7:12">
      <c r="G3629" t="s">
        <v>4273</v>
      </c>
      <c r="H3629" t="s">
        <v>240</v>
      </c>
      <c r="I3629" t="s">
        <v>85</v>
      </c>
      <c r="J3629" s="4">
        <v>1462</v>
      </c>
      <c r="K3629" s="5">
        <v>0.1456908344733242</v>
      </c>
      <c r="L3629" s="5">
        <v>1.1627906976744186E-2</v>
      </c>
    </row>
    <row r="3630" spans="7:12">
      <c r="G3630" t="s">
        <v>4274</v>
      </c>
      <c r="H3630" t="s">
        <v>324</v>
      </c>
      <c r="I3630" t="s">
        <v>377</v>
      </c>
      <c r="J3630" s="4">
        <v>2087</v>
      </c>
      <c r="K3630" s="5">
        <v>0.14566363200766649</v>
      </c>
      <c r="L3630" s="5">
        <v>1.0062290368950648E-2</v>
      </c>
    </row>
    <row r="3631" spans="7:12">
      <c r="G3631" t="s">
        <v>4275</v>
      </c>
      <c r="H3631" t="s">
        <v>449</v>
      </c>
      <c r="I3631" t="s">
        <v>489</v>
      </c>
      <c r="J3631" s="4">
        <v>6945</v>
      </c>
      <c r="K3631" s="5">
        <v>0.14557235421166306</v>
      </c>
      <c r="L3631" s="5">
        <v>5.1835853131749461E-3</v>
      </c>
    </row>
    <row r="3632" spans="7:12">
      <c r="G3632" t="s">
        <v>4276</v>
      </c>
      <c r="H3632" t="s">
        <v>352</v>
      </c>
      <c r="I3632" t="s">
        <v>377</v>
      </c>
      <c r="J3632" s="4">
        <v>4343</v>
      </c>
      <c r="K3632" s="5">
        <v>0.14552152889707576</v>
      </c>
      <c r="L3632" s="5">
        <v>1.0131245682707806E-2</v>
      </c>
    </row>
    <row r="3633" spans="7:12">
      <c r="G3633" t="s">
        <v>4277</v>
      </c>
      <c r="H3633" t="s">
        <v>761</v>
      </c>
      <c r="I3633" t="s">
        <v>377</v>
      </c>
      <c r="J3633" s="4">
        <v>2063</v>
      </c>
      <c r="K3633" s="5">
        <v>0.1454192922927775</v>
      </c>
      <c r="L3633" s="5">
        <v>1.5511391177896268E-2</v>
      </c>
    </row>
    <row r="3634" spans="7:12">
      <c r="G3634" t="s">
        <v>4278</v>
      </c>
      <c r="H3634" t="s">
        <v>259</v>
      </c>
      <c r="I3634" t="s">
        <v>137</v>
      </c>
      <c r="J3634" s="4">
        <v>1754</v>
      </c>
      <c r="K3634" s="5">
        <v>0.14538198403648803</v>
      </c>
      <c r="L3634" s="5">
        <v>2.565564424173318E-2</v>
      </c>
    </row>
    <row r="3635" spans="7:12">
      <c r="G3635" t="s">
        <v>4279</v>
      </c>
      <c r="H3635" t="s">
        <v>489</v>
      </c>
      <c r="I3635" t="s">
        <v>449</v>
      </c>
      <c r="J3635" s="4">
        <v>6914</v>
      </c>
      <c r="K3635" s="5">
        <v>0.145357246167197</v>
      </c>
      <c r="L3635" s="5">
        <v>4.339022273647671E-3</v>
      </c>
    </row>
    <row r="3636" spans="7:12">
      <c r="G3636" t="s">
        <v>4280</v>
      </c>
      <c r="H3636" t="s">
        <v>410</v>
      </c>
      <c r="I3636" t="s">
        <v>377</v>
      </c>
      <c r="J3636" s="4">
        <v>2230</v>
      </c>
      <c r="K3636" s="5">
        <v>0.14529147982062779</v>
      </c>
      <c r="L3636" s="5">
        <v>8.0717488789237672E-3</v>
      </c>
    </row>
    <row r="3637" spans="7:12">
      <c r="G3637" t="s">
        <v>4281</v>
      </c>
      <c r="H3637" t="s">
        <v>374</v>
      </c>
      <c r="I3637" t="s">
        <v>370</v>
      </c>
      <c r="J3637" s="4">
        <v>2299</v>
      </c>
      <c r="K3637" s="5">
        <v>0.14528055676381035</v>
      </c>
      <c r="L3637" s="5">
        <v>1.7398869073510222E-3</v>
      </c>
    </row>
    <row r="3638" spans="7:12">
      <c r="G3638" t="s">
        <v>4282</v>
      </c>
      <c r="H3638" t="s">
        <v>486</v>
      </c>
      <c r="I3638" t="s">
        <v>226</v>
      </c>
      <c r="J3638" s="4">
        <v>4547</v>
      </c>
      <c r="K3638" s="5">
        <v>0.145150648779415</v>
      </c>
      <c r="L3638" s="5">
        <v>1.3855289201671431E-2</v>
      </c>
    </row>
    <row r="3639" spans="7:12">
      <c r="G3639" t="s">
        <v>4283</v>
      </c>
      <c r="H3639" t="s">
        <v>374</v>
      </c>
      <c r="I3639" t="s">
        <v>136</v>
      </c>
      <c r="J3639" s="4">
        <v>1565</v>
      </c>
      <c r="K3639" s="5">
        <v>0.14504792332268371</v>
      </c>
      <c r="L3639" s="5">
        <v>5.7507987220447284E-3</v>
      </c>
    </row>
    <row r="3640" spans="7:12">
      <c r="G3640" t="s">
        <v>4284</v>
      </c>
      <c r="H3640" t="s">
        <v>218</v>
      </c>
      <c r="I3640" t="s">
        <v>334</v>
      </c>
      <c r="J3640" s="4">
        <v>6063</v>
      </c>
      <c r="K3640" s="5">
        <v>0.14497773379515091</v>
      </c>
      <c r="L3640" s="5">
        <v>1.0390895596239486E-2</v>
      </c>
    </row>
    <row r="3641" spans="7:12">
      <c r="G3641" t="s">
        <v>4285</v>
      </c>
      <c r="H3641" t="s">
        <v>384</v>
      </c>
      <c r="I3641" t="s">
        <v>377</v>
      </c>
      <c r="J3641" s="4">
        <v>2810</v>
      </c>
      <c r="K3641" s="5">
        <v>0.14483985765124555</v>
      </c>
      <c r="L3641" s="5">
        <v>1.103202846975089E-2</v>
      </c>
    </row>
    <row r="3642" spans="7:12">
      <c r="G3642" t="s">
        <v>4286</v>
      </c>
      <c r="H3642" t="s">
        <v>486</v>
      </c>
      <c r="I3642" t="s">
        <v>370</v>
      </c>
      <c r="J3642" s="4">
        <v>6602</v>
      </c>
      <c r="K3642" s="5">
        <v>0.14480460466525297</v>
      </c>
      <c r="L3642" s="5">
        <v>8.1793395940624059E-3</v>
      </c>
    </row>
    <row r="3643" spans="7:12">
      <c r="G3643" t="s">
        <v>4287</v>
      </c>
      <c r="H3643" t="s">
        <v>4221</v>
      </c>
      <c r="I3643" t="s">
        <v>218</v>
      </c>
      <c r="J3643" s="4">
        <v>1547</v>
      </c>
      <c r="K3643" s="5">
        <v>0.14479638009049775</v>
      </c>
      <c r="L3643" s="5">
        <v>5.1712992889463476E-3</v>
      </c>
    </row>
    <row r="3644" spans="7:12">
      <c r="G3644" t="s">
        <v>4288</v>
      </c>
      <c r="H3644" t="s">
        <v>182</v>
      </c>
      <c r="I3644" t="s">
        <v>346</v>
      </c>
      <c r="J3644" s="4">
        <v>4447</v>
      </c>
      <c r="K3644" s="5">
        <v>0.14459185968068361</v>
      </c>
      <c r="L3644" s="5">
        <v>1.2592759163480998E-2</v>
      </c>
    </row>
    <row r="3645" spans="7:12">
      <c r="G3645" t="s">
        <v>4289</v>
      </c>
      <c r="H3645" t="s">
        <v>3680</v>
      </c>
      <c r="I3645" t="s">
        <v>3012</v>
      </c>
      <c r="J3645" s="4">
        <v>1087</v>
      </c>
      <c r="K3645" s="5">
        <v>0.14443422263109476</v>
      </c>
      <c r="L3645" s="5">
        <v>2.2999080036798528E-2</v>
      </c>
    </row>
    <row r="3646" spans="7:12">
      <c r="G3646" t="s">
        <v>4290</v>
      </c>
      <c r="H3646" t="s">
        <v>449</v>
      </c>
      <c r="I3646" t="s">
        <v>484</v>
      </c>
      <c r="J3646" s="4">
        <v>2618</v>
      </c>
      <c r="K3646" s="5">
        <v>0.14438502673796791</v>
      </c>
      <c r="L3646" s="5">
        <v>6.1115355233002291E-3</v>
      </c>
    </row>
    <row r="3647" spans="7:12">
      <c r="G3647" t="s">
        <v>4291</v>
      </c>
      <c r="H3647" t="s">
        <v>410</v>
      </c>
      <c r="I3647" t="s">
        <v>137</v>
      </c>
      <c r="J3647" s="4">
        <v>1323</v>
      </c>
      <c r="K3647" s="5">
        <v>0.14436885865457294</v>
      </c>
      <c r="L3647" s="5">
        <v>1.2093726379440665E-2</v>
      </c>
    </row>
    <row r="3648" spans="7:12">
      <c r="G3648" t="s">
        <v>4292</v>
      </c>
      <c r="H3648" t="s">
        <v>269</v>
      </c>
      <c r="I3648" t="s">
        <v>218</v>
      </c>
      <c r="J3648" s="4">
        <v>9247</v>
      </c>
      <c r="K3648" s="5">
        <v>0.14426300421758409</v>
      </c>
      <c r="L3648" s="5">
        <v>9.0840272520817562E-3</v>
      </c>
    </row>
    <row r="3649" spans="7:12">
      <c r="G3649" t="s">
        <v>4293</v>
      </c>
      <c r="H3649" t="s">
        <v>149</v>
      </c>
      <c r="I3649" t="s">
        <v>297</v>
      </c>
      <c r="J3649" s="4">
        <v>4514</v>
      </c>
      <c r="K3649" s="5">
        <v>0.14421798848028355</v>
      </c>
      <c r="L3649" s="5">
        <v>3.389455028799291E-2</v>
      </c>
    </row>
    <row r="3650" spans="7:12">
      <c r="G3650" t="s">
        <v>4294</v>
      </c>
      <c r="H3650" t="s">
        <v>236</v>
      </c>
      <c r="I3650" t="s">
        <v>218</v>
      </c>
      <c r="J3650" s="4">
        <v>10560</v>
      </c>
      <c r="K3650" s="5">
        <v>0.14412878787878788</v>
      </c>
      <c r="L3650" s="5">
        <v>8.9015151515151516E-3</v>
      </c>
    </row>
    <row r="3651" spans="7:12">
      <c r="G3651" t="s">
        <v>4295</v>
      </c>
      <c r="H3651" t="s">
        <v>326</v>
      </c>
      <c r="I3651" t="s">
        <v>4151</v>
      </c>
      <c r="J3651" s="4">
        <v>1534</v>
      </c>
      <c r="K3651" s="5">
        <v>0.1440677966101695</v>
      </c>
      <c r="L3651" s="5">
        <v>9.126466753585397E-3</v>
      </c>
    </row>
    <row r="3652" spans="7:12">
      <c r="G3652" t="s">
        <v>4296</v>
      </c>
      <c r="H3652" t="s">
        <v>3653</v>
      </c>
      <c r="I3652" t="s">
        <v>103</v>
      </c>
      <c r="J3652" s="4">
        <v>1785</v>
      </c>
      <c r="K3652" s="5">
        <v>0.14397759103641455</v>
      </c>
      <c r="L3652" s="5">
        <v>1.3445378151260505E-2</v>
      </c>
    </row>
    <row r="3653" spans="7:12">
      <c r="G3653" t="s">
        <v>4297</v>
      </c>
      <c r="H3653" t="s">
        <v>416</v>
      </c>
      <c r="I3653" t="s">
        <v>370</v>
      </c>
      <c r="J3653" s="4">
        <v>6259</v>
      </c>
      <c r="K3653" s="5">
        <v>0.14395270810033553</v>
      </c>
      <c r="L3653" s="5">
        <v>3.994248282473239E-3</v>
      </c>
    </row>
    <row r="3654" spans="7:12">
      <c r="G3654" t="s">
        <v>4298</v>
      </c>
      <c r="H3654" t="s">
        <v>331</v>
      </c>
      <c r="I3654" t="s">
        <v>136</v>
      </c>
      <c r="J3654" s="4">
        <v>2349</v>
      </c>
      <c r="K3654" s="5">
        <v>0.14389101745423585</v>
      </c>
      <c r="L3654" s="5">
        <v>8.0885483184333761E-3</v>
      </c>
    </row>
    <row r="3655" spans="7:12">
      <c r="G3655" t="s">
        <v>4299</v>
      </c>
      <c r="H3655" t="s">
        <v>461</v>
      </c>
      <c r="I3655" t="s">
        <v>377</v>
      </c>
      <c r="J3655" s="4">
        <v>4740</v>
      </c>
      <c r="K3655" s="5">
        <v>0.1438818565400844</v>
      </c>
      <c r="L3655" s="5">
        <v>4.4303797468354432E-3</v>
      </c>
    </row>
    <row r="3656" spans="7:12">
      <c r="G3656" t="s">
        <v>4300</v>
      </c>
      <c r="H3656" t="s">
        <v>326</v>
      </c>
      <c r="I3656" t="s">
        <v>305</v>
      </c>
      <c r="J3656" s="4">
        <v>1543</v>
      </c>
      <c r="K3656" s="5">
        <v>0.14387556707712248</v>
      </c>
      <c r="L3656" s="5">
        <v>3.8885288399222295E-3</v>
      </c>
    </row>
    <row r="3657" spans="7:12">
      <c r="G3657" t="s">
        <v>4301</v>
      </c>
      <c r="H3657" t="s">
        <v>218</v>
      </c>
      <c r="I3657" t="s">
        <v>509</v>
      </c>
      <c r="J3657" s="4">
        <v>3727</v>
      </c>
      <c r="K3657" s="5">
        <v>0.14381540112691171</v>
      </c>
      <c r="L3657" s="5">
        <v>1.1805741883552455E-2</v>
      </c>
    </row>
    <row r="3658" spans="7:12">
      <c r="G3658" t="s">
        <v>4302</v>
      </c>
      <c r="H3658" t="s">
        <v>324</v>
      </c>
      <c r="I3658" t="s">
        <v>236</v>
      </c>
      <c r="J3658" s="4">
        <v>2026</v>
      </c>
      <c r="K3658" s="5">
        <v>0.14363277393879564</v>
      </c>
      <c r="L3658" s="5">
        <v>7.8973346495557744E-3</v>
      </c>
    </row>
    <row r="3659" spans="7:12">
      <c r="G3659" t="s">
        <v>4303</v>
      </c>
      <c r="H3659" t="s">
        <v>259</v>
      </c>
      <c r="I3659" t="s">
        <v>144</v>
      </c>
      <c r="J3659" s="4">
        <v>2444</v>
      </c>
      <c r="K3659" s="5">
        <v>0.14361702127659576</v>
      </c>
      <c r="L3659" s="5">
        <v>2.2504091653027823E-2</v>
      </c>
    </row>
    <row r="3660" spans="7:12">
      <c r="G3660" t="s">
        <v>4304</v>
      </c>
      <c r="H3660" t="s">
        <v>362</v>
      </c>
      <c r="I3660" t="s">
        <v>326</v>
      </c>
      <c r="J3660" s="4">
        <v>6870</v>
      </c>
      <c r="K3660" s="5">
        <v>0.14352256186317322</v>
      </c>
      <c r="L3660" s="5">
        <v>5.3857350800582239E-3</v>
      </c>
    </row>
    <row r="3661" spans="7:12">
      <c r="G3661" t="s">
        <v>4305</v>
      </c>
      <c r="H3661" t="s">
        <v>408</v>
      </c>
      <c r="I3661" t="s">
        <v>377</v>
      </c>
      <c r="J3661" s="4">
        <v>3835</v>
      </c>
      <c r="K3661" s="5">
        <v>0.14341590612777053</v>
      </c>
      <c r="L3661" s="5">
        <v>9.126466753585397E-3</v>
      </c>
    </row>
    <row r="3662" spans="7:12">
      <c r="G3662" t="s">
        <v>4306</v>
      </c>
      <c r="H3662" t="s">
        <v>377</v>
      </c>
      <c r="I3662" t="s">
        <v>430</v>
      </c>
      <c r="J3662" s="4">
        <v>3433</v>
      </c>
      <c r="K3662" s="5">
        <v>0.14331488494028546</v>
      </c>
      <c r="L3662" s="5">
        <v>1.1360326245266531E-2</v>
      </c>
    </row>
    <row r="3663" spans="7:12">
      <c r="G3663" t="s">
        <v>4307</v>
      </c>
      <c r="H3663" t="s">
        <v>470</v>
      </c>
      <c r="I3663" t="s">
        <v>218</v>
      </c>
      <c r="J3663" s="4">
        <v>2011</v>
      </c>
      <c r="K3663" s="5">
        <v>0.14321233217304824</v>
      </c>
      <c r="L3663" s="5">
        <v>8.4535057185479868E-3</v>
      </c>
    </row>
    <row r="3664" spans="7:12">
      <c r="G3664" t="s">
        <v>4308</v>
      </c>
      <c r="H3664" t="s">
        <v>299</v>
      </c>
      <c r="I3664" t="s">
        <v>140</v>
      </c>
      <c r="J3664" s="4">
        <v>2515</v>
      </c>
      <c r="K3664" s="5">
        <v>0.14314115308151093</v>
      </c>
      <c r="L3664" s="5">
        <v>4.4532803180914515E-2</v>
      </c>
    </row>
    <row r="3665" spans="7:12">
      <c r="G3665" t="s">
        <v>4309</v>
      </c>
      <c r="H3665" t="s">
        <v>326</v>
      </c>
      <c r="I3665" t="s">
        <v>523</v>
      </c>
      <c r="J3665" s="4">
        <v>2012</v>
      </c>
      <c r="K3665" s="5">
        <v>0.14314115308151093</v>
      </c>
      <c r="L3665" s="5">
        <v>0</v>
      </c>
    </row>
    <row r="3666" spans="7:12">
      <c r="G3666" t="s">
        <v>4310</v>
      </c>
      <c r="H3666" t="s">
        <v>390</v>
      </c>
      <c r="I3666" t="s">
        <v>215</v>
      </c>
      <c r="J3666" s="4">
        <v>12068</v>
      </c>
      <c r="K3666" s="5">
        <v>0.14310573417301956</v>
      </c>
      <c r="L3666" s="5">
        <v>1.1849519390122638E-2</v>
      </c>
    </row>
    <row r="3667" spans="7:12">
      <c r="G3667" t="s">
        <v>4311</v>
      </c>
      <c r="H3667" t="s">
        <v>408</v>
      </c>
      <c r="I3667" t="s">
        <v>149</v>
      </c>
      <c r="J3667" s="4">
        <v>5418</v>
      </c>
      <c r="K3667" s="5">
        <v>0.14304171280915468</v>
      </c>
      <c r="L3667" s="5">
        <v>2.7131782945736434E-2</v>
      </c>
    </row>
    <row r="3668" spans="7:12">
      <c r="G3668" t="s">
        <v>4312</v>
      </c>
      <c r="H3668" t="s">
        <v>453</v>
      </c>
      <c r="I3668" t="s">
        <v>259</v>
      </c>
      <c r="J3668" s="4">
        <v>3978</v>
      </c>
      <c r="K3668" s="5">
        <v>0.14303670186023126</v>
      </c>
      <c r="L3668" s="5">
        <v>3.7958773252890897E-2</v>
      </c>
    </row>
    <row r="3669" spans="7:12">
      <c r="G3669" t="s">
        <v>4313</v>
      </c>
      <c r="H3669" t="s">
        <v>218</v>
      </c>
      <c r="I3669" t="s">
        <v>349</v>
      </c>
      <c r="J3669" s="4">
        <v>3203</v>
      </c>
      <c r="K3669" s="5">
        <v>0.14299094598813611</v>
      </c>
      <c r="L3669" s="5">
        <v>5.9319388073680928E-3</v>
      </c>
    </row>
    <row r="3670" spans="7:12">
      <c r="G3670" t="s">
        <v>4314</v>
      </c>
      <c r="H3670" t="s">
        <v>288</v>
      </c>
      <c r="I3670" t="s">
        <v>115</v>
      </c>
      <c r="J3670" s="4">
        <v>5135</v>
      </c>
      <c r="K3670" s="5">
        <v>0.14294060370009737</v>
      </c>
      <c r="L3670" s="5">
        <v>1.1879259980525803E-2</v>
      </c>
    </row>
    <row r="3671" spans="7:12">
      <c r="G3671" t="s">
        <v>4315</v>
      </c>
      <c r="H3671" t="s">
        <v>475</v>
      </c>
      <c r="I3671" t="s">
        <v>215</v>
      </c>
      <c r="J3671" s="4">
        <v>4123</v>
      </c>
      <c r="K3671" s="5">
        <v>0.14285714285714285</v>
      </c>
      <c r="L3671" s="5">
        <v>1.8675721561969439E-2</v>
      </c>
    </row>
    <row r="3672" spans="7:12">
      <c r="G3672" t="s">
        <v>4316</v>
      </c>
      <c r="H3672" t="s">
        <v>226</v>
      </c>
      <c r="I3672" t="s">
        <v>358</v>
      </c>
      <c r="J3672" s="4">
        <v>1751</v>
      </c>
      <c r="K3672" s="5">
        <v>0.14277555682467161</v>
      </c>
      <c r="L3672" s="5">
        <v>1.4277555682467162E-2</v>
      </c>
    </row>
    <row r="3673" spans="7:12">
      <c r="G3673" t="s">
        <v>4317</v>
      </c>
      <c r="H3673" t="s">
        <v>226</v>
      </c>
      <c r="I3673" t="s">
        <v>486</v>
      </c>
      <c r="J3673" s="4">
        <v>4547</v>
      </c>
      <c r="K3673" s="5">
        <v>0.14273147129975808</v>
      </c>
      <c r="L3673" s="5">
        <v>1.341543875082472E-2</v>
      </c>
    </row>
    <row r="3674" spans="7:12">
      <c r="G3674" t="s">
        <v>4318</v>
      </c>
      <c r="H3674" t="s">
        <v>254</v>
      </c>
      <c r="I3674" t="s">
        <v>377</v>
      </c>
      <c r="J3674" s="4">
        <v>3715</v>
      </c>
      <c r="K3674" s="5">
        <v>0.14266487213997309</v>
      </c>
      <c r="L3674" s="5">
        <v>1.2920592193808884E-2</v>
      </c>
    </row>
    <row r="3675" spans="7:12">
      <c r="G3675" t="s">
        <v>4319</v>
      </c>
      <c r="H3675" t="s">
        <v>377</v>
      </c>
      <c r="I3675" t="s">
        <v>4320</v>
      </c>
      <c r="J3675" s="4">
        <v>1844</v>
      </c>
      <c r="K3675" s="5">
        <v>0.14262472885032537</v>
      </c>
      <c r="L3675" s="5">
        <v>1.0845986984815618E-2</v>
      </c>
    </row>
    <row r="3676" spans="7:12">
      <c r="G3676" t="s">
        <v>4321</v>
      </c>
      <c r="H3676" t="s">
        <v>2626</v>
      </c>
      <c r="I3676" t="s">
        <v>3921</v>
      </c>
      <c r="J3676" s="4">
        <v>1087</v>
      </c>
      <c r="K3676" s="5">
        <v>0.14259429622815087</v>
      </c>
      <c r="L3676" s="5">
        <v>1.1039558417663294E-2</v>
      </c>
    </row>
    <row r="3677" spans="7:12">
      <c r="G3677" t="s">
        <v>4322</v>
      </c>
      <c r="H3677" t="s">
        <v>360</v>
      </c>
      <c r="I3677" t="s">
        <v>236</v>
      </c>
      <c r="J3677" s="4">
        <v>2055</v>
      </c>
      <c r="K3677" s="5">
        <v>0.14257907542579076</v>
      </c>
      <c r="L3677" s="5">
        <v>7.2992700729927005E-3</v>
      </c>
    </row>
    <row r="3678" spans="7:12">
      <c r="G3678" t="s">
        <v>4323</v>
      </c>
      <c r="H3678" t="s">
        <v>453</v>
      </c>
      <c r="I3678" t="s">
        <v>85</v>
      </c>
      <c r="J3678" s="4">
        <v>1466</v>
      </c>
      <c r="K3678" s="5">
        <v>0.14256480218281037</v>
      </c>
      <c r="L3678" s="5">
        <v>4.0927694406548429E-3</v>
      </c>
    </row>
    <row r="3679" spans="7:12">
      <c r="G3679" t="s">
        <v>4324</v>
      </c>
      <c r="H3679" t="s">
        <v>346</v>
      </c>
      <c r="I3679" t="s">
        <v>461</v>
      </c>
      <c r="J3679" s="4">
        <v>1459</v>
      </c>
      <c r="K3679" s="5">
        <v>0.14256339958875944</v>
      </c>
      <c r="L3679" s="5">
        <v>6.1686086360520902E-3</v>
      </c>
    </row>
    <row r="3680" spans="7:12">
      <c r="G3680" t="s">
        <v>4325</v>
      </c>
      <c r="H3680" t="s">
        <v>495</v>
      </c>
      <c r="I3680" t="s">
        <v>326</v>
      </c>
      <c r="J3680" s="4">
        <v>3992</v>
      </c>
      <c r="K3680" s="5">
        <v>0.14253507014028055</v>
      </c>
      <c r="L3680" s="5">
        <v>2.2545090180360722E-3</v>
      </c>
    </row>
    <row r="3681" spans="7:12">
      <c r="G3681" t="s">
        <v>4326</v>
      </c>
      <c r="H3681" t="s">
        <v>455</v>
      </c>
      <c r="I3681" t="s">
        <v>486</v>
      </c>
      <c r="J3681" s="4">
        <v>1593</v>
      </c>
      <c r="K3681" s="5">
        <v>0.14249843063402384</v>
      </c>
      <c r="L3681" s="5">
        <v>4.3942247332077839E-3</v>
      </c>
    </row>
    <row r="3682" spans="7:12">
      <c r="G3682" t="s">
        <v>4327</v>
      </c>
      <c r="H3682" t="s">
        <v>1100</v>
      </c>
      <c r="I3682" t="s">
        <v>322</v>
      </c>
      <c r="J3682" s="4">
        <v>1095</v>
      </c>
      <c r="K3682" s="5">
        <v>0.14246575342465753</v>
      </c>
      <c r="L3682" s="5">
        <v>2.0091324200913242E-2</v>
      </c>
    </row>
    <row r="3683" spans="7:12">
      <c r="G3683" t="s">
        <v>4328</v>
      </c>
      <c r="H3683" t="s">
        <v>377</v>
      </c>
      <c r="I3683" t="s">
        <v>4329</v>
      </c>
      <c r="J3683" s="4">
        <v>1819</v>
      </c>
      <c r="K3683" s="5">
        <v>0.14238592633315009</v>
      </c>
      <c r="L3683" s="5">
        <v>1.0445299615173173E-2</v>
      </c>
    </row>
    <row r="3684" spans="7:12">
      <c r="G3684" t="s">
        <v>4330</v>
      </c>
      <c r="H3684" t="s">
        <v>326</v>
      </c>
      <c r="I3684" t="s">
        <v>497</v>
      </c>
      <c r="J3684" s="4">
        <v>9039</v>
      </c>
      <c r="K3684" s="5">
        <v>0.14238300696979755</v>
      </c>
      <c r="L3684" s="5">
        <v>4.0933731607478707E-3</v>
      </c>
    </row>
    <row r="3685" spans="7:12">
      <c r="G3685" t="s">
        <v>4331</v>
      </c>
      <c r="H3685" t="s">
        <v>416</v>
      </c>
      <c r="I3685" t="s">
        <v>226</v>
      </c>
      <c r="J3685" s="4">
        <v>1307</v>
      </c>
      <c r="K3685" s="5">
        <v>0.14231063504208111</v>
      </c>
      <c r="L3685" s="5">
        <v>6.8859984697781174E-3</v>
      </c>
    </row>
    <row r="3686" spans="7:12">
      <c r="G3686" t="s">
        <v>4332</v>
      </c>
      <c r="H3686" t="s">
        <v>322</v>
      </c>
      <c r="I3686" t="s">
        <v>352</v>
      </c>
      <c r="J3686" s="4">
        <v>4042</v>
      </c>
      <c r="K3686" s="5">
        <v>0.14225630875804057</v>
      </c>
      <c r="L3686" s="5">
        <v>5.9376546264225628E-3</v>
      </c>
    </row>
    <row r="3687" spans="7:12">
      <c r="G3687" t="s">
        <v>4333</v>
      </c>
      <c r="H3687" t="s">
        <v>322</v>
      </c>
      <c r="I3687" t="s">
        <v>459</v>
      </c>
      <c r="J3687" s="4">
        <v>1083</v>
      </c>
      <c r="K3687" s="5">
        <v>0.14219759926131118</v>
      </c>
      <c r="L3687" s="5">
        <v>7.3868882733148658E-3</v>
      </c>
    </row>
    <row r="3688" spans="7:12">
      <c r="G3688" t="s">
        <v>4334</v>
      </c>
      <c r="H3688" t="s">
        <v>218</v>
      </c>
      <c r="I3688" t="s">
        <v>366</v>
      </c>
      <c r="J3688" s="4">
        <v>3060</v>
      </c>
      <c r="K3688" s="5">
        <v>0.14215686274509803</v>
      </c>
      <c r="L3688" s="5">
        <v>8.4967320261437902E-3</v>
      </c>
    </row>
    <row r="3689" spans="7:12">
      <c r="G3689" t="s">
        <v>4335</v>
      </c>
      <c r="H3689" t="s">
        <v>408</v>
      </c>
      <c r="I3689" t="s">
        <v>218</v>
      </c>
      <c r="J3689" s="4">
        <v>9969</v>
      </c>
      <c r="K3689" s="5">
        <v>0.14204032500752331</v>
      </c>
      <c r="L3689" s="5">
        <v>7.7239442271040222E-3</v>
      </c>
    </row>
    <row r="3690" spans="7:12">
      <c r="G3690" t="s">
        <v>4336</v>
      </c>
      <c r="H3690" t="s">
        <v>295</v>
      </c>
      <c r="I3690" t="s">
        <v>377</v>
      </c>
      <c r="J3690" s="4">
        <v>1402</v>
      </c>
      <c r="K3690" s="5">
        <v>0.14194008559201141</v>
      </c>
      <c r="L3690" s="5">
        <v>7.1326676176890159E-3</v>
      </c>
    </row>
    <row r="3691" spans="7:12">
      <c r="G3691" t="s">
        <v>4337</v>
      </c>
      <c r="H3691" t="s">
        <v>204</v>
      </c>
      <c r="I3691" t="s">
        <v>326</v>
      </c>
      <c r="J3691" s="4">
        <v>3270</v>
      </c>
      <c r="K3691" s="5">
        <v>0.14189602446483179</v>
      </c>
      <c r="L3691" s="5">
        <v>7.6452599388379203E-3</v>
      </c>
    </row>
    <row r="3692" spans="7:12">
      <c r="G3692" t="s">
        <v>4338</v>
      </c>
      <c r="H3692" t="s">
        <v>3400</v>
      </c>
      <c r="I3692" t="s">
        <v>218</v>
      </c>
      <c r="J3692" s="4">
        <v>1621</v>
      </c>
      <c r="K3692" s="5">
        <v>0.14188772362739049</v>
      </c>
      <c r="L3692" s="5">
        <v>5.5521283158544111E-3</v>
      </c>
    </row>
    <row r="3693" spans="7:12">
      <c r="G3693" t="s">
        <v>4339</v>
      </c>
      <c r="H3693" t="s">
        <v>525</v>
      </c>
      <c r="I3693" t="s">
        <v>226</v>
      </c>
      <c r="J3693" s="4">
        <v>2333</v>
      </c>
      <c r="K3693" s="5">
        <v>0.14187741105872267</v>
      </c>
      <c r="L3693" s="5">
        <v>1.1144449207029576E-2</v>
      </c>
    </row>
    <row r="3694" spans="7:12">
      <c r="G3694" t="s">
        <v>4340</v>
      </c>
      <c r="H3694" t="s">
        <v>377</v>
      </c>
      <c r="I3694" t="s">
        <v>4341</v>
      </c>
      <c r="J3694" s="4">
        <v>2277</v>
      </c>
      <c r="K3694" s="5">
        <v>0.14185331576635923</v>
      </c>
      <c r="L3694" s="5">
        <v>1.2736056214317084E-2</v>
      </c>
    </row>
    <row r="3695" spans="7:12">
      <c r="G3695" t="s">
        <v>4342</v>
      </c>
      <c r="H3695" t="s">
        <v>259</v>
      </c>
      <c r="I3695" t="s">
        <v>426</v>
      </c>
      <c r="J3695" s="4">
        <v>1347</v>
      </c>
      <c r="K3695" s="5">
        <v>0.14179658500371195</v>
      </c>
      <c r="L3695" s="5">
        <v>3.34075723830735E-2</v>
      </c>
    </row>
    <row r="3696" spans="7:12">
      <c r="G3696" t="s">
        <v>4343</v>
      </c>
      <c r="H3696" t="s">
        <v>165</v>
      </c>
      <c r="I3696" t="s">
        <v>115</v>
      </c>
      <c r="J3696" s="4">
        <v>3901</v>
      </c>
      <c r="K3696" s="5">
        <v>0.14175852345552423</v>
      </c>
      <c r="L3696" s="5">
        <v>6.6649577031530375E-3</v>
      </c>
    </row>
    <row r="3697" spans="7:12">
      <c r="G3697" t="s">
        <v>4344</v>
      </c>
      <c r="H3697" t="s">
        <v>418</v>
      </c>
      <c r="I3697" t="s">
        <v>455</v>
      </c>
      <c r="J3697" s="4">
        <v>8578</v>
      </c>
      <c r="K3697" s="5">
        <v>0.14175798554441596</v>
      </c>
      <c r="L3697" s="5">
        <v>1.5971088831895547E-2</v>
      </c>
    </row>
    <row r="3698" spans="7:12">
      <c r="G3698" t="s">
        <v>4345</v>
      </c>
      <c r="H3698" t="s">
        <v>507</v>
      </c>
      <c r="I3698" t="s">
        <v>455</v>
      </c>
      <c r="J3698" s="4">
        <v>1933</v>
      </c>
      <c r="K3698" s="5">
        <v>0.14174857734092086</v>
      </c>
      <c r="L3698" s="5">
        <v>5.1733057423693739E-4</v>
      </c>
    </row>
    <row r="3699" spans="7:12">
      <c r="G3699" t="s">
        <v>4346</v>
      </c>
      <c r="H3699" t="s">
        <v>451</v>
      </c>
      <c r="I3699" t="s">
        <v>189</v>
      </c>
      <c r="J3699" s="4">
        <v>4016</v>
      </c>
      <c r="K3699" s="5">
        <v>0.14168326693227093</v>
      </c>
      <c r="L3699" s="5">
        <v>7.7191235059760957E-3</v>
      </c>
    </row>
    <row r="3700" spans="7:12">
      <c r="G3700" t="s">
        <v>4347</v>
      </c>
      <c r="H3700" t="s">
        <v>269</v>
      </c>
      <c r="I3700" t="s">
        <v>149</v>
      </c>
      <c r="J3700" s="4">
        <v>1821</v>
      </c>
      <c r="K3700" s="5">
        <v>0.14168039538714991</v>
      </c>
      <c r="L3700" s="5">
        <v>2.416254805052169E-2</v>
      </c>
    </row>
    <row r="3701" spans="7:12">
      <c r="G3701" t="s">
        <v>4348</v>
      </c>
      <c r="H3701" t="s">
        <v>182</v>
      </c>
      <c r="I3701" t="s">
        <v>377</v>
      </c>
      <c r="J3701" s="4">
        <v>3967</v>
      </c>
      <c r="K3701" s="5">
        <v>0.14166876733047643</v>
      </c>
      <c r="L3701" s="5">
        <v>5.2936728006049913E-3</v>
      </c>
    </row>
    <row r="3702" spans="7:12">
      <c r="G3702" t="s">
        <v>4349</v>
      </c>
      <c r="H3702" t="s">
        <v>527</v>
      </c>
      <c r="I3702" t="s">
        <v>103</v>
      </c>
      <c r="J3702" s="4">
        <v>2189</v>
      </c>
      <c r="K3702" s="5">
        <v>0.14161717679305619</v>
      </c>
      <c r="L3702" s="5">
        <v>5.4819552306989497E-3</v>
      </c>
    </row>
    <row r="3703" spans="7:12">
      <c r="G3703" t="s">
        <v>4350</v>
      </c>
      <c r="H3703" t="s">
        <v>259</v>
      </c>
      <c r="I3703" t="s">
        <v>377</v>
      </c>
      <c r="J3703" s="4">
        <v>6860</v>
      </c>
      <c r="K3703" s="5">
        <v>0.14154518950437317</v>
      </c>
      <c r="L3703" s="5">
        <v>1.5160349854227406E-2</v>
      </c>
    </row>
    <row r="3704" spans="7:12">
      <c r="G3704" t="s">
        <v>4351</v>
      </c>
      <c r="H3704" t="s">
        <v>3504</v>
      </c>
      <c r="I3704" t="s">
        <v>89</v>
      </c>
      <c r="J3704" s="4">
        <v>2665</v>
      </c>
      <c r="K3704" s="5">
        <v>0.14146341463414633</v>
      </c>
      <c r="L3704" s="5">
        <v>2.6641651031894933E-2</v>
      </c>
    </row>
    <row r="3705" spans="7:12">
      <c r="G3705" t="s">
        <v>4352</v>
      </c>
      <c r="H3705" t="s">
        <v>324</v>
      </c>
      <c r="I3705" t="s">
        <v>134</v>
      </c>
      <c r="J3705" s="4">
        <v>1230</v>
      </c>
      <c r="K3705" s="5">
        <v>0.14146341463414633</v>
      </c>
      <c r="L3705" s="5">
        <v>2.113821138211382E-2</v>
      </c>
    </row>
    <row r="3706" spans="7:12">
      <c r="G3706" t="s">
        <v>4353</v>
      </c>
      <c r="H3706" t="s">
        <v>368</v>
      </c>
      <c r="I3706" t="s">
        <v>136</v>
      </c>
      <c r="J3706" s="4">
        <v>1308</v>
      </c>
      <c r="K3706" s="5">
        <v>0.14143730886850153</v>
      </c>
      <c r="L3706" s="5">
        <v>7.6452599388379203E-3</v>
      </c>
    </row>
    <row r="3707" spans="7:12">
      <c r="G3707" t="s">
        <v>4354</v>
      </c>
      <c r="H3707" t="s">
        <v>259</v>
      </c>
      <c r="I3707" t="s">
        <v>319</v>
      </c>
      <c r="J3707" s="4">
        <v>1308</v>
      </c>
      <c r="K3707" s="5">
        <v>0.14143730886850153</v>
      </c>
      <c r="L3707" s="5">
        <v>2.6758409785932722E-2</v>
      </c>
    </row>
    <row r="3708" spans="7:12">
      <c r="G3708" t="s">
        <v>4355</v>
      </c>
      <c r="H3708" t="s">
        <v>358</v>
      </c>
      <c r="I3708" t="s">
        <v>134</v>
      </c>
      <c r="J3708" s="4">
        <v>3112</v>
      </c>
      <c r="K3708" s="5">
        <v>0.14138817480719795</v>
      </c>
      <c r="L3708" s="5">
        <v>8.0334190231362464E-3</v>
      </c>
    </row>
    <row r="3709" spans="7:12">
      <c r="G3709" t="s">
        <v>4356</v>
      </c>
      <c r="H3709" t="s">
        <v>463</v>
      </c>
      <c r="I3709" t="s">
        <v>513</v>
      </c>
      <c r="J3709" s="4">
        <v>3630</v>
      </c>
      <c r="K3709" s="5">
        <v>0.14132231404958678</v>
      </c>
      <c r="L3709" s="5">
        <v>4.4077134986225891E-3</v>
      </c>
    </row>
    <row r="3710" spans="7:12">
      <c r="G3710" t="s">
        <v>4357</v>
      </c>
      <c r="H3710" t="s">
        <v>322</v>
      </c>
      <c r="I3710" t="s">
        <v>340</v>
      </c>
      <c r="J3710" s="4">
        <v>1012</v>
      </c>
      <c r="K3710" s="5">
        <v>0.14130434782608695</v>
      </c>
      <c r="L3710" s="5">
        <v>8.8932806324110679E-3</v>
      </c>
    </row>
    <row r="3711" spans="7:12">
      <c r="G3711" t="s">
        <v>4358</v>
      </c>
      <c r="H3711" t="s">
        <v>449</v>
      </c>
      <c r="I3711" t="s">
        <v>134</v>
      </c>
      <c r="J3711" s="4">
        <v>2813</v>
      </c>
      <c r="K3711" s="5">
        <v>0.14113046569498755</v>
      </c>
      <c r="L3711" s="5">
        <v>1.4930678990401706E-2</v>
      </c>
    </row>
    <row r="3712" spans="7:12">
      <c r="G3712" t="s">
        <v>4359</v>
      </c>
      <c r="H3712" t="s">
        <v>370</v>
      </c>
      <c r="I3712" t="s">
        <v>362</v>
      </c>
      <c r="J3712" s="4">
        <v>8079</v>
      </c>
      <c r="K3712" s="5">
        <v>0.14110657259561826</v>
      </c>
      <c r="L3712" s="5">
        <v>5.1986632008911996E-3</v>
      </c>
    </row>
    <row r="3713" spans="7:12">
      <c r="G3713" t="s">
        <v>4360</v>
      </c>
      <c r="H3713" t="s">
        <v>370</v>
      </c>
      <c r="I3713" t="s">
        <v>167</v>
      </c>
      <c r="J3713" s="4">
        <v>1085</v>
      </c>
      <c r="K3713" s="5">
        <v>0.14101382488479264</v>
      </c>
      <c r="L3713" s="5">
        <v>2.7649769585253456E-3</v>
      </c>
    </row>
    <row r="3714" spans="7:12">
      <c r="G3714" t="s">
        <v>4361</v>
      </c>
      <c r="H3714" t="s">
        <v>406</v>
      </c>
      <c r="I3714" t="s">
        <v>259</v>
      </c>
      <c r="J3714" s="4">
        <v>2993</v>
      </c>
      <c r="K3714" s="5">
        <v>0.14099565653190779</v>
      </c>
      <c r="L3714" s="5">
        <v>2.9067824924824591E-2</v>
      </c>
    </row>
    <row r="3715" spans="7:12">
      <c r="G3715" t="s">
        <v>4362</v>
      </c>
      <c r="H3715" t="s">
        <v>370</v>
      </c>
      <c r="I3715" t="s">
        <v>377</v>
      </c>
      <c r="J3715" s="4">
        <v>6967</v>
      </c>
      <c r="K3715" s="5">
        <v>0.14095019377063298</v>
      </c>
      <c r="L3715" s="5">
        <v>7.0331563083106076E-3</v>
      </c>
    </row>
    <row r="3716" spans="7:12">
      <c r="G3716" t="s">
        <v>4363</v>
      </c>
      <c r="H3716" t="s">
        <v>414</v>
      </c>
      <c r="I3716" t="s">
        <v>233</v>
      </c>
      <c r="J3716" s="4">
        <v>2448</v>
      </c>
      <c r="K3716" s="5">
        <v>0.14093137254901961</v>
      </c>
      <c r="L3716" s="5">
        <v>6.9444444444444441E-3</v>
      </c>
    </row>
    <row r="3717" spans="7:12">
      <c r="G3717" t="s">
        <v>4364</v>
      </c>
      <c r="H3717" t="s">
        <v>233</v>
      </c>
      <c r="I3717" t="s">
        <v>377</v>
      </c>
      <c r="J3717" s="4">
        <v>4883</v>
      </c>
      <c r="K3717" s="5">
        <v>0.14089698955560107</v>
      </c>
      <c r="L3717" s="5">
        <v>8.6012697112430887E-3</v>
      </c>
    </row>
    <row r="3718" spans="7:12">
      <c r="G3718" t="s">
        <v>4365</v>
      </c>
      <c r="H3718" t="s">
        <v>461</v>
      </c>
      <c r="I3718" t="s">
        <v>110</v>
      </c>
      <c r="J3718" s="4">
        <v>3322</v>
      </c>
      <c r="K3718" s="5">
        <v>0.14087898856110775</v>
      </c>
      <c r="L3718" s="5">
        <v>6.3214930764599643E-3</v>
      </c>
    </row>
    <row r="3719" spans="7:12">
      <c r="G3719" t="s">
        <v>4366</v>
      </c>
      <c r="H3719" t="s">
        <v>418</v>
      </c>
      <c r="I3719" t="s">
        <v>189</v>
      </c>
      <c r="J3719" s="4">
        <v>1165</v>
      </c>
      <c r="K3719" s="5">
        <v>0.1407725321888412</v>
      </c>
      <c r="L3719" s="5">
        <v>5.1502145922746783E-3</v>
      </c>
    </row>
    <row r="3720" spans="7:12">
      <c r="G3720" t="s">
        <v>4367</v>
      </c>
      <c r="H3720" t="s">
        <v>461</v>
      </c>
      <c r="I3720" t="s">
        <v>252</v>
      </c>
      <c r="J3720" s="4">
        <v>1222</v>
      </c>
      <c r="K3720" s="5">
        <v>0.14075286415711949</v>
      </c>
      <c r="L3720" s="5">
        <v>8.1833060556464818E-3</v>
      </c>
    </row>
    <row r="3721" spans="7:12">
      <c r="G3721" t="s">
        <v>4368</v>
      </c>
      <c r="H3721" t="s">
        <v>370</v>
      </c>
      <c r="I3721" t="s">
        <v>486</v>
      </c>
      <c r="J3721" s="4">
        <v>6602</v>
      </c>
      <c r="K3721" s="5">
        <v>0.14071493486822176</v>
      </c>
      <c r="L3721" s="5">
        <v>7.1190548318691305E-3</v>
      </c>
    </row>
    <row r="3722" spans="7:12">
      <c r="G3722" t="s">
        <v>4369</v>
      </c>
      <c r="H3722" t="s">
        <v>470</v>
      </c>
      <c r="I3722" t="s">
        <v>100</v>
      </c>
      <c r="J3722" s="4">
        <v>3177</v>
      </c>
      <c r="K3722" s="5">
        <v>0.14069877242681775</v>
      </c>
      <c r="L3722" s="5">
        <v>1.5738117721120555E-2</v>
      </c>
    </row>
    <row r="3723" spans="7:12">
      <c r="G3723" t="s">
        <v>4370</v>
      </c>
      <c r="H3723" t="s">
        <v>131</v>
      </c>
      <c r="I3723" t="s">
        <v>276</v>
      </c>
      <c r="J3723" s="4">
        <v>1123</v>
      </c>
      <c r="K3723" s="5">
        <v>0.14069456812110417</v>
      </c>
      <c r="L3723" s="5">
        <v>8.9047195013357077E-4</v>
      </c>
    </row>
    <row r="3724" spans="7:12">
      <c r="G3724" t="s">
        <v>4371</v>
      </c>
      <c r="H3724" t="s">
        <v>406</v>
      </c>
      <c r="I3724" t="s">
        <v>204</v>
      </c>
      <c r="J3724" s="4">
        <v>1934</v>
      </c>
      <c r="K3724" s="5">
        <v>0.14064115822130299</v>
      </c>
      <c r="L3724" s="5">
        <v>8.790072388831437E-3</v>
      </c>
    </row>
    <row r="3725" spans="7:12">
      <c r="G3725" t="s">
        <v>4372</v>
      </c>
      <c r="H3725" t="s">
        <v>137</v>
      </c>
      <c r="I3725" t="s">
        <v>259</v>
      </c>
      <c r="J3725" s="4">
        <v>1750</v>
      </c>
      <c r="K3725" s="5">
        <v>0.14057142857142857</v>
      </c>
      <c r="L3725" s="5">
        <v>2.5142857142857144E-2</v>
      </c>
    </row>
    <row r="3726" spans="7:12">
      <c r="G3726" t="s">
        <v>4373</v>
      </c>
      <c r="H3726" t="s">
        <v>356</v>
      </c>
      <c r="I3726" t="s">
        <v>218</v>
      </c>
      <c r="J3726" s="4">
        <v>6525</v>
      </c>
      <c r="K3726" s="5">
        <v>0.14053639846743296</v>
      </c>
      <c r="L3726" s="5">
        <v>1.3026819923371647E-2</v>
      </c>
    </row>
    <row r="3727" spans="7:12">
      <c r="G3727" t="s">
        <v>4374</v>
      </c>
      <c r="H3727" t="s">
        <v>218</v>
      </c>
      <c r="I3727" t="s">
        <v>324</v>
      </c>
      <c r="J3727" s="4">
        <v>3509</v>
      </c>
      <c r="K3727" s="5">
        <v>0.14049586776859505</v>
      </c>
      <c r="L3727" s="5">
        <v>9.6893701909375896E-3</v>
      </c>
    </row>
    <row r="3728" spans="7:12">
      <c r="G3728" t="s">
        <v>4375</v>
      </c>
      <c r="H3728" t="s">
        <v>347</v>
      </c>
      <c r="I3728" t="s">
        <v>140</v>
      </c>
      <c r="J3728" s="4">
        <v>1808</v>
      </c>
      <c r="K3728" s="5">
        <v>0.14048672566371681</v>
      </c>
      <c r="L3728" s="5">
        <v>3.8716814159292033E-2</v>
      </c>
    </row>
    <row r="3729" spans="7:12">
      <c r="G3729" t="s">
        <v>4376</v>
      </c>
      <c r="H3729" t="s">
        <v>218</v>
      </c>
      <c r="I3729" t="s">
        <v>428</v>
      </c>
      <c r="J3729" s="4">
        <v>3512</v>
      </c>
      <c r="K3729" s="5">
        <v>0.14037585421412302</v>
      </c>
      <c r="L3729" s="5">
        <v>7.1184510250569474E-3</v>
      </c>
    </row>
    <row r="3730" spans="7:12">
      <c r="G3730" t="s">
        <v>4377</v>
      </c>
      <c r="H3730" t="s">
        <v>218</v>
      </c>
      <c r="I3730" t="s">
        <v>489</v>
      </c>
      <c r="J3730" s="4">
        <v>2487</v>
      </c>
      <c r="K3730" s="5">
        <v>0.14032971451548049</v>
      </c>
      <c r="L3730" s="5">
        <v>8.0418174507438673E-3</v>
      </c>
    </row>
    <row r="3731" spans="7:12">
      <c r="G3731" t="s">
        <v>4378</v>
      </c>
      <c r="H3731" t="s">
        <v>390</v>
      </c>
      <c r="I3731" t="s">
        <v>489</v>
      </c>
      <c r="J3731" s="4">
        <v>8096</v>
      </c>
      <c r="K3731" s="5">
        <v>0.14031620553359683</v>
      </c>
      <c r="L3731" s="5">
        <v>9.263833992094862E-3</v>
      </c>
    </row>
    <row r="3732" spans="7:12">
      <c r="G3732" t="s">
        <v>4379</v>
      </c>
      <c r="H3732" t="s">
        <v>377</v>
      </c>
      <c r="I3732" t="s">
        <v>1645</v>
      </c>
      <c r="J3732" s="4">
        <v>1461</v>
      </c>
      <c r="K3732" s="5">
        <v>0.1403148528405202</v>
      </c>
      <c r="L3732" s="5">
        <v>9.5824777549623538E-3</v>
      </c>
    </row>
    <row r="3733" spans="7:12">
      <c r="G3733" t="s">
        <v>4380</v>
      </c>
      <c r="H3733" t="s">
        <v>416</v>
      </c>
      <c r="I3733" t="s">
        <v>461</v>
      </c>
      <c r="J3733" s="4">
        <v>3058</v>
      </c>
      <c r="K3733" s="5">
        <v>0.14028776978417265</v>
      </c>
      <c r="L3733" s="5">
        <v>7.5212557226945718E-3</v>
      </c>
    </row>
    <row r="3734" spans="7:12">
      <c r="G3734" t="s">
        <v>4381</v>
      </c>
      <c r="H3734" t="s">
        <v>322</v>
      </c>
      <c r="I3734" t="s">
        <v>331</v>
      </c>
      <c r="J3734" s="4">
        <v>2790</v>
      </c>
      <c r="K3734" s="5">
        <v>0.14014336917562725</v>
      </c>
      <c r="L3734" s="5">
        <v>5.017921146953405E-3</v>
      </c>
    </row>
    <row r="3735" spans="7:12">
      <c r="G3735" t="s">
        <v>4382</v>
      </c>
      <c r="H3735" t="s">
        <v>149</v>
      </c>
      <c r="I3735" t="s">
        <v>3709</v>
      </c>
      <c r="J3735" s="4">
        <v>1228</v>
      </c>
      <c r="K3735" s="5">
        <v>0.14006514657980457</v>
      </c>
      <c r="L3735" s="5">
        <v>2.6058631921824105E-2</v>
      </c>
    </row>
    <row r="3736" spans="7:12">
      <c r="G3736" t="s">
        <v>4383</v>
      </c>
      <c r="H3736" t="s">
        <v>340</v>
      </c>
      <c r="I3736" t="s">
        <v>259</v>
      </c>
      <c r="J3736" s="4">
        <v>3163</v>
      </c>
      <c r="K3736" s="5">
        <v>0.14005690799873538</v>
      </c>
      <c r="L3736" s="5">
        <v>3.5409421435346193E-2</v>
      </c>
    </row>
    <row r="3737" spans="7:12">
      <c r="G3737" t="s">
        <v>4384</v>
      </c>
      <c r="H3737" t="s">
        <v>358</v>
      </c>
      <c r="I3737" t="s">
        <v>236</v>
      </c>
      <c r="J3737" s="4">
        <v>2115</v>
      </c>
      <c r="K3737" s="5">
        <v>0.13995271867612294</v>
      </c>
      <c r="L3737" s="5">
        <v>7.0921985815602835E-3</v>
      </c>
    </row>
    <row r="3738" spans="7:12">
      <c r="G3738" t="s">
        <v>4385</v>
      </c>
      <c r="H3738" t="s">
        <v>319</v>
      </c>
      <c r="I3738" t="s">
        <v>259</v>
      </c>
      <c r="J3738" s="4">
        <v>1309</v>
      </c>
      <c r="K3738" s="5">
        <v>0.13980137509549273</v>
      </c>
      <c r="L3738" s="5">
        <v>2.7501909854851032E-2</v>
      </c>
    </row>
    <row r="3739" spans="7:12">
      <c r="G3739" t="s">
        <v>4386</v>
      </c>
      <c r="H3739" t="s">
        <v>489</v>
      </c>
      <c r="I3739" t="s">
        <v>136</v>
      </c>
      <c r="J3739" s="4">
        <v>1624</v>
      </c>
      <c r="K3739" s="5">
        <v>0.13977832512315272</v>
      </c>
      <c r="L3739" s="5">
        <v>1.8472906403940886E-3</v>
      </c>
    </row>
    <row r="3740" spans="7:12">
      <c r="G3740" t="s">
        <v>4387</v>
      </c>
      <c r="H3740" t="s">
        <v>503</v>
      </c>
      <c r="I3740" t="s">
        <v>236</v>
      </c>
      <c r="J3740" s="4">
        <v>1002</v>
      </c>
      <c r="K3740" s="5">
        <v>0.13972055888223553</v>
      </c>
      <c r="L3740" s="5">
        <v>1.996007984031936E-3</v>
      </c>
    </row>
    <row r="3741" spans="7:12">
      <c r="G3741" t="s">
        <v>4388</v>
      </c>
      <c r="H3741" t="s">
        <v>236</v>
      </c>
      <c r="I3741" t="s">
        <v>322</v>
      </c>
      <c r="J3741" s="4">
        <v>5677</v>
      </c>
      <c r="K3741" s="5">
        <v>0.13968645411308789</v>
      </c>
      <c r="L3741" s="5">
        <v>7.2221243614585167E-3</v>
      </c>
    </row>
    <row r="3742" spans="7:12">
      <c r="G3742" t="s">
        <v>4389</v>
      </c>
      <c r="H3742" t="s">
        <v>507</v>
      </c>
      <c r="I3742" t="s">
        <v>218</v>
      </c>
      <c r="J3742" s="4">
        <v>1425</v>
      </c>
      <c r="K3742" s="5">
        <v>0.13964912280701755</v>
      </c>
      <c r="L3742" s="5">
        <v>1.1228070175438596E-2</v>
      </c>
    </row>
    <row r="3743" spans="7:12">
      <c r="G3743" t="s">
        <v>4390</v>
      </c>
      <c r="H3743" t="s">
        <v>364</v>
      </c>
      <c r="I3743" t="s">
        <v>326</v>
      </c>
      <c r="J3743" s="4">
        <v>3037</v>
      </c>
      <c r="K3743" s="5">
        <v>0.13961145867632532</v>
      </c>
      <c r="L3743" s="5">
        <v>3.9512676983865661E-3</v>
      </c>
    </row>
    <row r="3744" spans="7:12">
      <c r="G3744" t="s">
        <v>4391</v>
      </c>
      <c r="H3744" t="s">
        <v>451</v>
      </c>
      <c r="I3744" t="s">
        <v>160</v>
      </c>
      <c r="J3744" s="4">
        <v>5237</v>
      </c>
      <c r="K3744" s="5">
        <v>0.13958373114378461</v>
      </c>
      <c r="L3744" s="5">
        <v>1.1647890013366431E-2</v>
      </c>
    </row>
    <row r="3745" spans="7:12">
      <c r="G3745" t="s">
        <v>4392</v>
      </c>
      <c r="H3745" t="s">
        <v>390</v>
      </c>
      <c r="I3745" t="s">
        <v>461</v>
      </c>
      <c r="J3745" s="4">
        <v>5073</v>
      </c>
      <c r="K3745" s="5">
        <v>0.13956238911886457</v>
      </c>
      <c r="L3745" s="5">
        <v>3.3510743150009857E-3</v>
      </c>
    </row>
    <row r="3746" spans="7:12">
      <c r="G3746" t="s">
        <v>4393</v>
      </c>
      <c r="H3746" t="s">
        <v>366</v>
      </c>
      <c r="I3746" t="s">
        <v>140</v>
      </c>
      <c r="J3746" s="4">
        <v>1118</v>
      </c>
      <c r="K3746" s="5">
        <v>0.13953488372093023</v>
      </c>
      <c r="L3746" s="5">
        <v>2.3255813953488372E-2</v>
      </c>
    </row>
    <row r="3747" spans="7:12">
      <c r="G3747" t="s">
        <v>4394</v>
      </c>
      <c r="H3747" t="s">
        <v>416</v>
      </c>
      <c r="I3747" t="s">
        <v>221</v>
      </c>
      <c r="J3747" s="4">
        <v>1177</v>
      </c>
      <c r="K3747" s="5">
        <v>0.1393372982158029</v>
      </c>
      <c r="L3747" s="5">
        <v>2.5488530161427358E-3</v>
      </c>
    </row>
    <row r="3748" spans="7:12">
      <c r="G3748" t="s">
        <v>4395</v>
      </c>
      <c r="H3748" t="s">
        <v>377</v>
      </c>
      <c r="I3748" t="s">
        <v>315</v>
      </c>
      <c r="J3748" s="4">
        <v>3917</v>
      </c>
      <c r="K3748" s="5">
        <v>0.13913709471534338</v>
      </c>
      <c r="L3748" s="5">
        <v>1.3020168496298187E-2</v>
      </c>
    </row>
    <row r="3749" spans="7:12">
      <c r="G3749" t="s">
        <v>4396</v>
      </c>
      <c r="H3749" t="s">
        <v>422</v>
      </c>
      <c r="I3749" t="s">
        <v>140</v>
      </c>
      <c r="J3749" s="4">
        <v>7324</v>
      </c>
      <c r="K3749" s="5">
        <v>0.13913162206444565</v>
      </c>
      <c r="L3749" s="5">
        <v>3.4270890223921352E-2</v>
      </c>
    </row>
    <row r="3750" spans="7:12">
      <c r="G3750" t="s">
        <v>4397</v>
      </c>
      <c r="H3750" t="s">
        <v>503</v>
      </c>
      <c r="I3750" t="s">
        <v>489</v>
      </c>
      <c r="J3750" s="4">
        <v>3932</v>
      </c>
      <c r="K3750" s="5">
        <v>0.13911495422177009</v>
      </c>
      <c r="L3750" s="5">
        <v>5.8494404883011192E-3</v>
      </c>
    </row>
    <row r="3751" spans="7:12">
      <c r="G3751" t="s">
        <v>4398</v>
      </c>
      <c r="H3751" t="s">
        <v>461</v>
      </c>
      <c r="I3751" t="s">
        <v>136</v>
      </c>
      <c r="J3751" s="4">
        <v>2008</v>
      </c>
      <c r="K3751" s="5">
        <v>0.13894422310756971</v>
      </c>
      <c r="L3751" s="5">
        <v>6.9721115537848604E-3</v>
      </c>
    </row>
    <row r="3752" spans="7:12">
      <c r="G3752" t="s">
        <v>4399</v>
      </c>
      <c r="H3752" t="s">
        <v>507</v>
      </c>
      <c r="I3752" t="s">
        <v>489</v>
      </c>
      <c r="J3752" s="4">
        <v>1181</v>
      </c>
      <c r="K3752" s="5">
        <v>0.13886536833192209</v>
      </c>
      <c r="L3752" s="5">
        <v>2.5402201524132089E-3</v>
      </c>
    </row>
    <row r="3753" spans="7:12">
      <c r="G3753" t="s">
        <v>4400</v>
      </c>
      <c r="H3753" t="s">
        <v>525</v>
      </c>
      <c r="I3753" t="s">
        <v>495</v>
      </c>
      <c r="J3753" s="4">
        <v>23737</v>
      </c>
      <c r="K3753" s="5">
        <v>0.13885495218435354</v>
      </c>
      <c r="L3753" s="5">
        <v>1.0489952394995155E-2</v>
      </c>
    </row>
    <row r="3754" spans="7:12">
      <c r="G3754" t="s">
        <v>4401</v>
      </c>
      <c r="H3754" t="s">
        <v>484</v>
      </c>
      <c r="I3754" t="s">
        <v>398</v>
      </c>
      <c r="J3754" s="4">
        <v>2003</v>
      </c>
      <c r="K3754" s="5">
        <v>0.13879181228157764</v>
      </c>
      <c r="L3754" s="5">
        <v>3.99400898652022E-3</v>
      </c>
    </row>
    <row r="3755" spans="7:12">
      <c r="G3755" t="s">
        <v>4402</v>
      </c>
      <c r="H3755" t="s">
        <v>398</v>
      </c>
      <c r="I3755" t="s">
        <v>189</v>
      </c>
      <c r="J3755" s="4">
        <v>1096</v>
      </c>
      <c r="K3755" s="5">
        <v>0.13868613138686131</v>
      </c>
      <c r="L3755" s="5">
        <v>3.6496350364963502E-3</v>
      </c>
    </row>
    <row r="3756" spans="7:12">
      <c r="G3756" t="s">
        <v>4403</v>
      </c>
      <c r="H3756" t="s">
        <v>472</v>
      </c>
      <c r="I3756" t="s">
        <v>134</v>
      </c>
      <c r="J3756" s="4">
        <v>2279</v>
      </c>
      <c r="K3756" s="5">
        <v>0.13865730583589295</v>
      </c>
      <c r="L3756" s="5">
        <v>1.4041246160596753E-2</v>
      </c>
    </row>
    <row r="3757" spans="7:12">
      <c r="G3757" t="s">
        <v>4404</v>
      </c>
      <c r="H3757" t="s">
        <v>457</v>
      </c>
      <c r="I3757" t="s">
        <v>160</v>
      </c>
      <c r="J3757" s="4">
        <v>3469</v>
      </c>
      <c r="K3757" s="5">
        <v>0.13865667339290863</v>
      </c>
      <c r="L3757" s="5">
        <v>1.2107235514557509E-2</v>
      </c>
    </row>
    <row r="3758" spans="7:12">
      <c r="G3758" t="s">
        <v>4405</v>
      </c>
      <c r="H3758" t="s">
        <v>461</v>
      </c>
      <c r="I3758" t="s">
        <v>228</v>
      </c>
      <c r="J3758" s="4">
        <v>3456</v>
      </c>
      <c r="K3758" s="5">
        <v>0.13859953703703703</v>
      </c>
      <c r="L3758" s="5">
        <v>6.076388888888889E-3</v>
      </c>
    </row>
    <row r="3759" spans="7:12">
      <c r="G3759" t="s">
        <v>4406</v>
      </c>
      <c r="H3759" t="s">
        <v>370</v>
      </c>
      <c r="I3759" t="s">
        <v>412</v>
      </c>
      <c r="J3759" s="4">
        <v>2303</v>
      </c>
      <c r="K3759" s="5">
        <v>0.13851498046026922</v>
      </c>
      <c r="L3759" s="5">
        <v>1.7368649587494573E-3</v>
      </c>
    </row>
    <row r="3760" spans="7:12">
      <c r="G3760" t="s">
        <v>4407</v>
      </c>
      <c r="H3760" t="s">
        <v>347</v>
      </c>
      <c r="I3760" t="s">
        <v>322</v>
      </c>
      <c r="J3760" s="4">
        <v>3083</v>
      </c>
      <c r="K3760" s="5">
        <v>0.13850145961725591</v>
      </c>
      <c r="L3760" s="5">
        <v>7.1359065844956212E-3</v>
      </c>
    </row>
    <row r="3761" spans="7:12">
      <c r="G3761" t="s">
        <v>4408</v>
      </c>
      <c r="H3761" t="s">
        <v>513</v>
      </c>
      <c r="I3761" t="s">
        <v>1377</v>
      </c>
      <c r="J3761" s="4">
        <v>2181</v>
      </c>
      <c r="K3761" s="5">
        <v>0.13846859238881248</v>
      </c>
      <c r="L3761" s="5">
        <v>2.0174232003668042E-2</v>
      </c>
    </row>
    <row r="3762" spans="7:12">
      <c r="G3762" t="s">
        <v>4409</v>
      </c>
      <c r="H3762" t="s">
        <v>226</v>
      </c>
      <c r="I3762" t="s">
        <v>377</v>
      </c>
      <c r="J3762" s="4">
        <v>5751</v>
      </c>
      <c r="K3762" s="5">
        <v>0.13841071118066423</v>
      </c>
      <c r="L3762" s="5">
        <v>8.6941401495392104E-3</v>
      </c>
    </row>
    <row r="3763" spans="7:12">
      <c r="G3763" t="s">
        <v>4410</v>
      </c>
      <c r="H3763" t="s">
        <v>489</v>
      </c>
      <c r="I3763" t="s">
        <v>486</v>
      </c>
      <c r="J3763" s="4">
        <v>2211</v>
      </c>
      <c r="K3763" s="5">
        <v>0.13839891451831751</v>
      </c>
      <c r="L3763" s="5">
        <v>6.7842605156037995E-3</v>
      </c>
    </row>
    <row r="3764" spans="7:12">
      <c r="G3764" t="s">
        <v>4411</v>
      </c>
      <c r="H3764" t="s">
        <v>3038</v>
      </c>
      <c r="I3764" t="s">
        <v>103</v>
      </c>
      <c r="J3764" s="4">
        <v>1785</v>
      </c>
      <c r="K3764" s="5">
        <v>0.13837535014005603</v>
      </c>
      <c r="L3764" s="5">
        <v>1.2885154061624649E-2</v>
      </c>
    </row>
    <row r="3765" spans="7:12">
      <c r="G3765" t="s">
        <v>4412</v>
      </c>
      <c r="H3765" t="s">
        <v>455</v>
      </c>
      <c r="I3765" t="s">
        <v>136</v>
      </c>
      <c r="J3765" s="4">
        <v>1785</v>
      </c>
      <c r="K3765" s="5">
        <v>0.13837535014005603</v>
      </c>
      <c r="L3765" s="5">
        <v>2.8011204481792717E-3</v>
      </c>
    </row>
    <row r="3766" spans="7:12">
      <c r="G3766" t="s">
        <v>4413</v>
      </c>
      <c r="H3766" t="s">
        <v>259</v>
      </c>
      <c r="I3766" t="s">
        <v>410</v>
      </c>
      <c r="J3766" s="4">
        <v>4474</v>
      </c>
      <c r="K3766" s="5">
        <v>0.13835493965131873</v>
      </c>
      <c r="L3766" s="5">
        <v>2.212784979883773E-2</v>
      </c>
    </row>
    <row r="3767" spans="7:12">
      <c r="G3767" t="s">
        <v>4414</v>
      </c>
      <c r="H3767" t="s">
        <v>331</v>
      </c>
      <c r="I3767" t="s">
        <v>377</v>
      </c>
      <c r="J3767" s="4">
        <v>3774</v>
      </c>
      <c r="K3767" s="5">
        <v>0.13831478537360889</v>
      </c>
      <c r="L3767" s="5">
        <v>8.744038155802861E-3</v>
      </c>
    </row>
    <row r="3768" spans="7:12">
      <c r="G3768" t="s">
        <v>4415</v>
      </c>
      <c r="H3768" t="s">
        <v>319</v>
      </c>
      <c r="I3768" t="s">
        <v>115</v>
      </c>
      <c r="J3768" s="4">
        <v>5517</v>
      </c>
      <c r="K3768" s="5">
        <v>0.13829980061627697</v>
      </c>
      <c r="L3768" s="5">
        <v>1.0875475802066341E-2</v>
      </c>
    </row>
    <row r="3769" spans="7:12">
      <c r="G3769" t="s">
        <v>4416</v>
      </c>
      <c r="H3769" t="s">
        <v>455</v>
      </c>
      <c r="I3769" t="s">
        <v>400</v>
      </c>
      <c r="J3769" s="4">
        <v>1056</v>
      </c>
      <c r="K3769" s="5">
        <v>0.13825757575757575</v>
      </c>
      <c r="L3769" s="5">
        <v>8.5227272727272721E-3</v>
      </c>
    </row>
    <row r="3770" spans="7:12">
      <c r="G3770" t="s">
        <v>4417</v>
      </c>
      <c r="H3770" t="s">
        <v>362</v>
      </c>
      <c r="I3770" t="s">
        <v>418</v>
      </c>
      <c r="J3770" s="4">
        <v>1201</v>
      </c>
      <c r="K3770" s="5">
        <v>0.13821815154038303</v>
      </c>
      <c r="L3770" s="5">
        <v>7.4937552039966698E-3</v>
      </c>
    </row>
    <row r="3771" spans="7:12">
      <c r="G3771" t="s">
        <v>4418</v>
      </c>
      <c r="H3771" t="s">
        <v>326</v>
      </c>
      <c r="I3771" t="s">
        <v>519</v>
      </c>
      <c r="J3771" s="4">
        <v>2179</v>
      </c>
      <c r="K3771" s="5">
        <v>0.13813675998164296</v>
      </c>
      <c r="L3771" s="5">
        <v>4.589261128958238E-3</v>
      </c>
    </row>
    <row r="3772" spans="7:12">
      <c r="G3772" t="s">
        <v>4419</v>
      </c>
      <c r="H3772" t="s">
        <v>293</v>
      </c>
      <c r="I3772" t="s">
        <v>322</v>
      </c>
      <c r="J3772" s="4">
        <v>3758</v>
      </c>
      <c r="K3772" s="5">
        <v>0.13810537519957425</v>
      </c>
      <c r="L3772" s="5">
        <v>8.7812666311868019E-3</v>
      </c>
    </row>
    <row r="3773" spans="7:12">
      <c r="G3773" t="s">
        <v>4420</v>
      </c>
      <c r="H3773" t="s">
        <v>455</v>
      </c>
      <c r="I3773" t="s">
        <v>466</v>
      </c>
      <c r="J3773" s="4">
        <v>5902</v>
      </c>
      <c r="K3773" s="5">
        <v>0.13808878346323281</v>
      </c>
      <c r="L3773" s="5">
        <v>3.7275499830565911E-3</v>
      </c>
    </row>
    <row r="3774" spans="7:12">
      <c r="G3774" t="s">
        <v>4421</v>
      </c>
      <c r="H3774" t="s">
        <v>434</v>
      </c>
      <c r="I3774" t="s">
        <v>268</v>
      </c>
      <c r="J3774" s="4">
        <v>2868</v>
      </c>
      <c r="K3774" s="5">
        <v>0.13807531380753138</v>
      </c>
      <c r="L3774" s="5">
        <v>5.5788005578800556E-3</v>
      </c>
    </row>
    <row r="3775" spans="7:12">
      <c r="G3775" t="s">
        <v>4422</v>
      </c>
      <c r="H3775" t="s">
        <v>301</v>
      </c>
      <c r="I3775" t="s">
        <v>322</v>
      </c>
      <c r="J3775" s="4">
        <v>3231</v>
      </c>
      <c r="K3775" s="5">
        <v>0.13803775920767564</v>
      </c>
      <c r="L3775" s="5">
        <v>6.4995357474466105E-3</v>
      </c>
    </row>
    <row r="3776" spans="7:12">
      <c r="G3776" t="s">
        <v>4423</v>
      </c>
      <c r="H3776" t="s">
        <v>414</v>
      </c>
      <c r="I3776" t="s">
        <v>140</v>
      </c>
      <c r="J3776" s="4">
        <v>5789</v>
      </c>
      <c r="K3776" s="5">
        <v>0.13802038348592158</v>
      </c>
      <c r="L3776" s="5">
        <v>3.3166349974088787E-2</v>
      </c>
    </row>
    <row r="3777" spans="7:12">
      <c r="G3777" t="s">
        <v>4424</v>
      </c>
      <c r="H3777" t="s">
        <v>4030</v>
      </c>
      <c r="I3777" t="s">
        <v>218</v>
      </c>
      <c r="J3777" s="4">
        <v>1949</v>
      </c>
      <c r="K3777" s="5">
        <v>0.13801949717804002</v>
      </c>
      <c r="L3777" s="5">
        <v>1.4366341713699333E-2</v>
      </c>
    </row>
    <row r="3778" spans="7:12">
      <c r="G3778" t="s">
        <v>4425</v>
      </c>
      <c r="H3778" t="s">
        <v>326</v>
      </c>
      <c r="I3778" t="s">
        <v>204</v>
      </c>
      <c r="J3778" s="4">
        <v>3268</v>
      </c>
      <c r="K3778" s="5">
        <v>0.13800489596083232</v>
      </c>
      <c r="L3778" s="5">
        <v>7.9559363525091801E-3</v>
      </c>
    </row>
    <row r="3779" spans="7:12">
      <c r="G3779" t="s">
        <v>4426</v>
      </c>
      <c r="H3779" t="s">
        <v>466</v>
      </c>
      <c r="I3779" t="s">
        <v>398</v>
      </c>
      <c r="J3779" s="4">
        <v>4765</v>
      </c>
      <c r="K3779" s="5">
        <v>0.1378803777544596</v>
      </c>
      <c r="L3779" s="5">
        <v>6.0860440713536197E-3</v>
      </c>
    </row>
    <row r="3780" spans="7:12">
      <c r="G3780" t="s">
        <v>4427</v>
      </c>
      <c r="H3780" t="s">
        <v>254</v>
      </c>
      <c r="I3780" t="s">
        <v>346</v>
      </c>
      <c r="J3780" s="4">
        <v>1545</v>
      </c>
      <c r="K3780" s="5">
        <v>0.13786407766990291</v>
      </c>
      <c r="L3780" s="5">
        <v>9.7087378640776691E-3</v>
      </c>
    </row>
    <row r="3781" spans="7:12">
      <c r="G3781" t="s">
        <v>4428</v>
      </c>
      <c r="H3781" t="s">
        <v>461</v>
      </c>
      <c r="I3781" t="s">
        <v>484</v>
      </c>
      <c r="J3781" s="4">
        <v>5107</v>
      </c>
      <c r="K3781" s="5">
        <v>0.13785000979048365</v>
      </c>
      <c r="L3781" s="5">
        <v>6.070099862933229E-3</v>
      </c>
    </row>
    <row r="3782" spans="7:12">
      <c r="G3782" t="s">
        <v>4429</v>
      </c>
      <c r="H3782" t="s">
        <v>472</v>
      </c>
      <c r="I3782" t="s">
        <v>268</v>
      </c>
      <c r="J3782" s="4">
        <v>3868</v>
      </c>
      <c r="K3782" s="5">
        <v>0.13779731127197517</v>
      </c>
      <c r="L3782" s="5">
        <v>9.3071354705274046E-3</v>
      </c>
    </row>
    <row r="3783" spans="7:12">
      <c r="G3783" t="s">
        <v>4430</v>
      </c>
      <c r="H3783" t="s">
        <v>291</v>
      </c>
      <c r="I3783" t="s">
        <v>218</v>
      </c>
      <c r="J3783" s="4">
        <v>1212</v>
      </c>
      <c r="K3783" s="5">
        <v>0.13778877887788779</v>
      </c>
      <c r="L3783" s="5">
        <v>9.0759075907590765E-3</v>
      </c>
    </row>
    <row r="3784" spans="7:12">
      <c r="G3784" t="s">
        <v>4431</v>
      </c>
      <c r="H3784" t="s">
        <v>398</v>
      </c>
      <c r="I3784" t="s">
        <v>390</v>
      </c>
      <c r="J3784" s="4">
        <v>7961</v>
      </c>
      <c r="K3784" s="5">
        <v>0.13767114684084913</v>
      </c>
      <c r="L3784" s="5">
        <v>6.1550056525562112E-3</v>
      </c>
    </row>
    <row r="3785" spans="7:12">
      <c r="G3785" t="s">
        <v>4432</v>
      </c>
      <c r="H3785" t="s">
        <v>233</v>
      </c>
      <c r="I3785" t="s">
        <v>218</v>
      </c>
      <c r="J3785" s="4">
        <v>11650</v>
      </c>
      <c r="K3785" s="5">
        <v>0.13733905579399142</v>
      </c>
      <c r="L3785" s="5">
        <v>9.1845493562231761E-3</v>
      </c>
    </row>
    <row r="3786" spans="7:12">
      <c r="G3786" t="s">
        <v>4433</v>
      </c>
      <c r="H3786" t="s">
        <v>443</v>
      </c>
      <c r="I3786" t="s">
        <v>398</v>
      </c>
      <c r="J3786" s="4">
        <v>1523</v>
      </c>
      <c r="K3786" s="5">
        <v>0.13722915298752461</v>
      </c>
      <c r="L3786" s="5">
        <v>7.222586999343401E-3</v>
      </c>
    </row>
    <row r="3787" spans="7:12">
      <c r="G3787" t="s">
        <v>4434</v>
      </c>
      <c r="H3787" t="s">
        <v>408</v>
      </c>
      <c r="I3787" t="s">
        <v>259</v>
      </c>
      <c r="J3787" s="4">
        <v>7926</v>
      </c>
      <c r="K3787" s="5">
        <v>0.13714357809740096</v>
      </c>
      <c r="L3787" s="5">
        <v>2.447640676255362E-2</v>
      </c>
    </row>
    <row r="3788" spans="7:12">
      <c r="G3788" t="s">
        <v>4435</v>
      </c>
      <c r="H3788" t="s">
        <v>4244</v>
      </c>
      <c r="I3788" t="s">
        <v>377</v>
      </c>
      <c r="J3788" s="4">
        <v>2169</v>
      </c>
      <c r="K3788" s="5">
        <v>0.13692946058091288</v>
      </c>
      <c r="L3788" s="5">
        <v>1.2909174734900875E-2</v>
      </c>
    </row>
    <row r="3789" spans="7:12">
      <c r="G3789" t="s">
        <v>4436</v>
      </c>
      <c r="H3789" t="s">
        <v>346</v>
      </c>
      <c r="I3789" t="s">
        <v>329</v>
      </c>
      <c r="J3789" s="4">
        <v>2055</v>
      </c>
      <c r="K3789" s="5">
        <v>0.1367396593673966</v>
      </c>
      <c r="L3789" s="5">
        <v>1.7518248175182483E-2</v>
      </c>
    </row>
    <row r="3790" spans="7:12">
      <c r="G3790" t="s">
        <v>4437</v>
      </c>
      <c r="H3790" t="s">
        <v>447</v>
      </c>
      <c r="I3790" t="s">
        <v>218</v>
      </c>
      <c r="J3790" s="4">
        <v>3424</v>
      </c>
      <c r="K3790" s="5">
        <v>0.13668224299065421</v>
      </c>
      <c r="L3790" s="5">
        <v>1.0221962616822429E-2</v>
      </c>
    </row>
    <row r="3791" spans="7:12">
      <c r="G3791" t="s">
        <v>4438</v>
      </c>
      <c r="H3791" t="s">
        <v>326</v>
      </c>
      <c r="I3791" t="s">
        <v>100</v>
      </c>
      <c r="J3791" s="4">
        <v>8535</v>
      </c>
      <c r="K3791" s="5">
        <v>0.13661394258933801</v>
      </c>
      <c r="L3791" s="5">
        <v>5.155243116578793E-3</v>
      </c>
    </row>
    <row r="3792" spans="7:12">
      <c r="G3792" t="s">
        <v>4439</v>
      </c>
      <c r="H3792" t="s">
        <v>461</v>
      </c>
      <c r="I3792" t="s">
        <v>507</v>
      </c>
      <c r="J3792" s="4">
        <v>5066</v>
      </c>
      <c r="K3792" s="5">
        <v>0.1365969206474536</v>
      </c>
      <c r="L3792" s="5">
        <v>4.5400710619818395E-3</v>
      </c>
    </row>
    <row r="3793" spans="7:12">
      <c r="G3793" t="s">
        <v>4440</v>
      </c>
      <c r="H3793" t="s">
        <v>461</v>
      </c>
      <c r="I3793" t="s">
        <v>322</v>
      </c>
      <c r="J3793" s="4">
        <v>4583</v>
      </c>
      <c r="K3793" s="5">
        <v>0.13659175212742744</v>
      </c>
      <c r="L3793" s="5">
        <v>3.9275583678813003E-3</v>
      </c>
    </row>
    <row r="3794" spans="7:12">
      <c r="G3794" t="s">
        <v>4441</v>
      </c>
      <c r="H3794" t="s">
        <v>414</v>
      </c>
      <c r="I3794" t="s">
        <v>377</v>
      </c>
      <c r="J3794" s="4">
        <v>3281</v>
      </c>
      <c r="K3794" s="5">
        <v>0.13654373666565073</v>
      </c>
      <c r="L3794" s="5">
        <v>9.4483389210606519E-3</v>
      </c>
    </row>
    <row r="3795" spans="7:12">
      <c r="G3795" t="s">
        <v>4442</v>
      </c>
      <c r="H3795" t="s">
        <v>162</v>
      </c>
      <c r="I3795" t="s">
        <v>408</v>
      </c>
      <c r="J3795" s="4">
        <v>5774</v>
      </c>
      <c r="K3795" s="5">
        <v>0.13647384828541739</v>
      </c>
      <c r="L3795" s="5">
        <v>1.3682022861101489E-2</v>
      </c>
    </row>
    <row r="3796" spans="7:12">
      <c r="G3796" t="s">
        <v>4443</v>
      </c>
      <c r="H3796" t="s">
        <v>218</v>
      </c>
      <c r="I3796" t="s">
        <v>380</v>
      </c>
      <c r="J3796" s="4">
        <v>3972</v>
      </c>
      <c r="K3796" s="5">
        <v>0.13645518630412889</v>
      </c>
      <c r="L3796" s="5">
        <v>1.0574018126888218E-2</v>
      </c>
    </row>
    <row r="3797" spans="7:12">
      <c r="G3797" t="s">
        <v>4444</v>
      </c>
      <c r="H3797" t="s">
        <v>495</v>
      </c>
      <c r="I3797" t="s">
        <v>515</v>
      </c>
      <c r="J3797" s="4">
        <v>25348</v>
      </c>
      <c r="K3797" s="5">
        <v>0.13634211772131924</v>
      </c>
      <c r="L3797" s="5">
        <v>1.0809531323970332E-2</v>
      </c>
    </row>
    <row r="3798" spans="7:12">
      <c r="G3798" t="s">
        <v>4445</v>
      </c>
      <c r="H3798" t="s">
        <v>495</v>
      </c>
      <c r="I3798" t="s">
        <v>377</v>
      </c>
      <c r="J3798" s="4">
        <v>1093</v>
      </c>
      <c r="K3798" s="5">
        <v>0.13632204940530648</v>
      </c>
      <c r="L3798" s="5">
        <v>1.0064043915827997E-2</v>
      </c>
    </row>
    <row r="3799" spans="7:12">
      <c r="G3799" t="s">
        <v>4446</v>
      </c>
      <c r="H3799" t="s">
        <v>259</v>
      </c>
      <c r="I3799" t="s">
        <v>256</v>
      </c>
      <c r="J3799" s="4">
        <v>2363</v>
      </c>
      <c r="K3799" s="5">
        <v>0.13626745662293693</v>
      </c>
      <c r="L3799" s="5">
        <v>3.7663986457892512E-2</v>
      </c>
    </row>
    <row r="3800" spans="7:12">
      <c r="G3800" t="s">
        <v>4447</v>
      </c>
      <c r="H3800" t="s">
        <v>349</v>
      </c>
      <c r="I3800" t="s">
        <v>326</v>
      </c>
      <c r="J3800" s="4">
        <v>1255</v>
      </c>
      <c r="K3800" s="5">
        <v>0.13625498007968129</v>
      </c>
      <c r="L3800" s="5">
        <v>8.7649402390438252E-3</v>
      </c>
    </row>
    <row r="3801" spans="7:12">
      <c r="G3801" t="s">
        <v>4448</v>
      </c>
      <c r="H3801" t="s">
        <v>466</v>
      </c>
      <c r="I3801" t="s">
        <v>189</v>
      </c>
      <c r="J3801" s="4">
        <v>1079</v>
      </c>
      <c r="K3801" s="5">
        <v>0.13623725671918444</v>
      </c>
      <c r="L3801" s="5">
        <v>3.7071362372567192E-3</v>
      </c>
    </row>
    <row r="3802" spans="7:12">
      <c r="G3802" t="s">
        <v>4449</v>
      </c>
      <c r="H3802" t="s">
        <v>466</v>
      </c>
      <c r="I3802" t="s">
        <v>215</v>
      </c>
      <c r="J3802" s="4">
        <v>7443</v>
      </c>
      <c r="K3802" s="5">
        <v>0.1362353889560661</v>
      </c>
      <c r="L3802" s="5">
        <v>1.0613999731291146E-2</v>
      </c>
    </row>
    <row r="3803" spans="7:12">
      <c r="G3803" t="s">
        <v>4450</v>
      </c>
      <c r="H3803" t="s">
        <v>422</v>
      </c>
      <c r="I3803" t="s">
        <v>377</v>
      </c>
      <c r="J3803" s="4">
        <v>3040</v>
      </c>
      <c r="K3803" s="5">
        <v>0.1361842105263158</v>
      </c>
      <c r="L3803" s="5">
        <v>7.2368421052631578E-3</v>
      </c>
    </row>
    <row r="3804" spans="7:12">
      <c r="G3804" t="s">
        <v>4451</v>
      </c>
      <c r="H3804" t="s">
        <v>293</v>
      </c>
      <c r="I3804" t="s">
        <v>115</v>
      </c>
      <c r="J3804" s="4">
        <v>4945</v>
      </c>
      <c r="K3804" s="5">
        <v>0.13609706774519717</v>
      </c>
      <c r="L3804" s="5">
        <v>9.3023255813953487E-3</v>
      </c>
    </row>
    <row r="3805" spans="7:12">
      <c r="G3805" t="s">
        <v>4452</v>
      </c>
      <c r="H3805" t="s">
        <v>313</v>
      </c>
      <c r="I3805" t="s">
        <v>233</v>
      </c>
      <c r="J3805" s="4">
        <v>3109</v>
      </c>
      <c r="K3805" s="5">
        <v>0.13605660984239304</v>
      </c>
      <c r="L3805" s="5">
        <v>6.4329366355741395E-3</v>
      </c>
    </row>
    <row r="3806" spans="7:12">
      <c r="G3806" t="s">
        <v>4453</v>
      </c>
      <c r="H3806" t="s">
        <v>384</v>
      </c>
      <c r="I3806" t="s">
        <v>322</v>
      </c>
      <c r="J3806" s="4">
        <v>2588</v>
      </c>
      <c r="K3806" s="5">
        <v>0.13601236476043277</v>
      </c>
      <c r="L3806" s="5">
        <v>8.5007727975270481E-3</v>
      </c>
    </row>
    <row r="3807" spans="7:12">
      <c r="G3807" t="s">
        <v>4454</v>
      </c>
      <c r="H3807" t="s">
        <v>2322</v>
      </c>
      <c r="I3807" t="s">
        <v>218</v>
      </c>
      <c r="J3807" s="4">
        <v>1625</v>
      </c>
      <c r="K3807" s="5">
        <v>0.13600000000000001</v>
      </c>
      <c r="L3807" s="5">
        <v>8.0000000000000002E-3</v>
      </c>
    </row>
    <row r="3808" spans="7:12">
      <c r="G3808" t="s">
        <v>4455</v>
      </c>
      <c r="H3808" t="s">
        <v>178</v>
      </c>
      <c r="I3808" t="s">
        <v>377</v>
      </c>
      <c r="J3808" s="4">
        <v>1096</v>
      </c>
      <c r="K3808" s="5">
        <v>0.13594890510948904</v>
      </c>
      <c r="L3808" s="5">
        <v>7.2992700729927005E-3</v>
      </c>
    </row>
    <row r="3809" spans="7:12">
      <c r="G3809" t="s">
        <v>4456</v>
      </c>
      <c r="H3809" t="s">
        <v>418</v>
      </c>
      <c r="I3809" t="s">
        <v>398</v>
      </c>
      <c r="J3809" s="4">
        <v>9790</v>
      </c>
      <c r="K3809" s="5">
        <v>0.13585291113381001</v>
      </c>
      <c r="L3809" s="5">
        <v>1.8488253319713994E-2</v>
      </c>
    </row>
    <row r="3810" spans="7:12">
      <c r="G3810" t="s">
        <v>4457</v>
      </c>
      <c r="H3810" t="s">
        <v>370</v>
      </c>
      <c r="I3810" t="s">
        <v>515</v>
      </c>
      <c r="J3810" s="4">
        <v>4572</v>
      </c>
      <c r="K3810" s="5">
        <v>0.13582677165354332</v>
      </c>
      <c r="L3810" s="5">
        <v>3.2808398950131233E-3</v>
      </c>
    </row>
    <row r="3811" spans="7:12">
      <c r="G3811" t="s">
        <v>4458</v>
      </c>
      <c r="H3811" t="s">
        <v>484</v>
      </c>
      <c r="I3811" t="s">
        <v>507</v>
      </c>
      <c r="J3811" s="4">
        <v>1437</v>
      </c>
      <c r="K3811" s="5">
        <v>0.13569937369519833</v>
      </c>
      <c r="L3811" s="5">
        <v>4.8712595685455815E-3</v>
      </c>
    </row>
    <row r="3812" spans="7:12">
      <c r="G3812" t="s">
        <v>4459</v>
      </c>
      <c r="H3812" t="s">
        <v>326</v>
      </c>
      <c r="I3812" t="s">
        <v>477</v>
      </c>
      <c r="J3812" s="4">
        <v>3922</v>
      </c>
      <c r="K3812" s="5">
        <v>0.13564507904130546</v>
      </c>
      <c r="L3812" s="5">
        <v>1.4278429372768995E-2</v>
      </c>
    </row>
    <row r="3813" spans="7:12">
      <c r="G3813" t="s">
        <v>4460</v>
      </c>
      <c r="H3813" t="s">
        <v>288</v>
      </c>
      <c r="I3813" t="s">
        <v>140</v>
      </c>
      <c r="J3813" s="4">
        <v>2315</v>
      </c>
      <c r="K3813" s="5">
        <v>0.13563714902807775</v>
      </c>
      <c r="L3813" s="5">
        <v>4.5356371490280781E-2</v>
      </c>
    </row>
    <row r="3814" spans="7:12">
      <c r="G3814" t="s">
        <v>4461</v>
      </c>
      <c r="H3814" t="s">
        <v>495</v>
      </c>
      <c r="I3814" t="s">
        <v>533</v>
      </c>
      <c r="J3814" s="4">
        <v>19361</v>
      </c>
      <c r="K3814" s="5">
        <v>0.13563349000568153</v>
      </c>
      <c r="L3814" s="5">
        <v>8.2123857238778995E-3</v>
      </c>
    </row>
    <row r="3815" spans="7:12">
      <c r="G3815" t="s">
        <v>4462</v>
      </c>
      <c r="H3815" t="s">
        <v>342</v>
      </c>
      <c r="I3815" t="s">
        <v>136</v>
      </c>
      <c r="J3815" s="4">
        <v>1401</v>
      </c>
      <c r="K3815" s="5">
        <v>0.13561741613133477</v>
      </c>
      <c r="L3815" s="5">
        <v>9.2790863668807989E-3</v>
      </c>
    </row>
    <row r="3816" spans="7:12">
      <c r="G3816" t="s">
        <v>4463</v>
      </c>
      <c r="H3816" t="s">
        <v>213</v>
      </c>
      <c r="I3816" t="s">
        <v>218</v>
      </c>
      <c r="J3816" s="4">
        <v>2537</v>
      </c>
      <c r="K3816" s="5">
        <v>0.13559322033898305</v>
      </c>
      <c r="L3816" s="5">
        <v>1.2613322822230981E-2</v>
      </c>
    </row>
    <row r="3817" spans="7:12">
      <c r="G3817" t="s">
        <v>4464</v>
      </c>
      <c r="H3817" t="s">
        <v>352</v>
      </c>
      <c r="I3817" t="s">
        <v>226</v>
      </c>
      <c r="J3817" s="4">
        <v>1180</v>
      </c>
      <c r="K3817" s="5">
        <v>0.13559322033898305</v>
      </c>
      <c r="L3817" s="5">
        <v>1.2711864406779662E-2</v>
      </c>
    </row>
    <row r="3818" spans="7:12">
      <c r="G3818" t="s">
        <v>4465</v>
      </c>
      <c r="H3818" t="s">
        <v>358</v>
      </c>
      <c r="I3818" t="s">
        <v>115</v>
      </c>
      <c r="J3818" s="4">
        <v>2984</v>
      </c>
      <c r="K3818" s="5">
        <v>0.1353887399463807</v>
      </c>
      <c r="L3818" s="5">
        <v>7.7077747989276139E-3</v>
      </c>
    </row>
    <row r="3819" spans="7:12">
      <c r="G3819" t="s">
        <v>4466</v>
      </c>
      <c r="H3819" t="s">
        <v>377</v>
      </c>
      <c r="I3819" t="s">
        <v>221</v>
      </c>
      <c r="J3819" s="4">
        <v>1198</v>
      </c>
      <c r="K3819" s="5">
        <v>0.13522537562604339</v>
      </c>
      <c r="L3819" s="5">
        <v>1.001669449081803E-2</v>
      </c>
    </row>
    <row r="3820" spans="7:12">
      <c r="G3820" t="s">
        <v>4467</v>
      </c>
      <c r="H3820" t="s">
        <v>228</v>
      </c>
      <c r="I3820" t="s">
        <v>377</v>
      </c>
      <c r="J3820" s="4">
        <v>2433</v>
      </c>
      <c r="K3820" s="5">
        <v>0.13522400328812165</v>
      </c>
      <c r="L3820" s="5">
        <v>5.3431976983148374E-3</v>
      </c>
    </row>
    <row r="3821" spans="7:12">
      <c r="G3821" t="s">
        <v>4468</v>
      </c>
      <c r="H3821" t="s">
        <v>449</v>
      </c>
      <c r="I3821" t="s">
        <v>215</v>
      </c>
      <c r="J3821" s="4">
        <v>16779</v>
      </c>
      <c r="K3821" s="5">
        <v>0.13510936289409381</v>
      </c>
      <c r="L3821" s="5">
        <v>8.522557959353954E-3</v>
      </c>
    </row>
    <row r="3822" spans="7:12">
      <c r="G3822" t="s">
        <v>4469</v>
      </c>
      <c r="H3822" t="s">
        <v>140</v>
      </c>
      <c r="I3822" t="s">
        <v>459</v>
      </c>
      <c r="J3822" s="4">
        <v>1510</v>
      </c>
      <c r="K3822" s="5">
        <v>0.13509933774834437</v>
      </c>
      <c r="L3822" s="5">
        <v>5.0331125827814571E-2</v>
      </c>
    </row>
    <row r="3823" spans="7:12">
      <c r="G3823" t="s">
        <v>4470</v>
      </c>
      <c r="H3823" t="s">
        <v>486</v>
      </c>
      <c r="I3823" t="s">
        <v>398</v>
      </c>
      <c r="J3823" s="4">
        <v>2569</v>
      </c>
      <c r="K3823" s="5">
        <v>0.13507201245620865</v>
      </c>
      <c r="L3823" s="5">
        <v>8.5636434410276373E-3</v>
      </c>
    </row>
    <row r="3824" spans="7:12">
      <c r="G3824" t="s">
        <v>4471</v>
      </c>
      <c r="H3824" t="s">
        <v>228</v>
      </c>
      <c r="I3824" t="s">
        <v>370</v>
      </c>
      <c r="J3824" s="4">
        <v>1651</v>
      </c>
      <c r="K3824" s="5">
        <v>0.13506965475469412</v>
      </c>
      <c r="L3824" s="5">
        <v>7.874015748031496E-3</v>
      </c>
    </row>
    <row r="3825" spans="7:12">
      <c r="G3825" t="s">
        <v>4472</v>
      </c>
      <c r="H3825" t="s">
        <v>273</v>
      </c>
      <c r="I3825" t="s">
        <v>346</v>
      </c>
      <c r="J3825" s="4">
        <v>1540</v>
      </c>
      <c r="K3825" s="5">
        <v>0.13506493506493505</v>
      </c>
      <c r="L3825" s="5">
        <v>1.7532467532467531E-2</v>
      </c>
    </row>
    <row r="3826" spans="7:12">
      <c r="G3826" t="s">
        <v>4473</v>
      </c>
      <c r="H3826" t="s">
        <v>346</v>
      </c>
      <c r="I3826" t="s">
        <v>422</v>
      </c>
      <c r="J3826" s="4">
        <v>2621</v>
      </c>
      <c r="K3826" s="5">
        <v>0.1350629530713468</v>
      </c>
      <c r="L3826" s="5">
        <v>1.0301411674933231E-2</v>
      </c>
    </row>
    <row r="3827" spans="7:12">
      <c r="G3827" t="s">
        <v>4474</v>
      </c>
      <c r="H3827" t="s">
        <v>461</v>
      </c>
      <c r="I3827" t="s">
        <v>489</v>
      </c>
      <c r="J3827" s="4">
        <v>5518</v>
      </c>
      <c r="K3827" s="5">
        <v>0.1350126857557086</v>
      </c>
      <c r="L3827" s="5">
        <v>4.3494019572308806E-3</v>
      </c>
    </row>
    <row r="3828" spans="7:12">
      <c r="G3828" t="s">
        <v>4475</v>
      </c>
      <c r="H3828" t="s">
        <v>331</v>
      </c>
      <c r="I3828" t="s">
        <v>149</v>
      </c>
      <c r="J3828" s="4">
        <v>4697</v>
      </c>
      <c r="K3828" s="5">
        <v>0.13497977432403663</v>
      </c>
      <c r="L3828" s="5">
        <v>2.7038535235256546E-2</v>
      </c>
    </row>
    <row r="3829" spans="7:12">
      <c r="G3829" t="s">
        <v>4476</v>
      </c>
      <c r="H3829" t="s">
        <v>517</v>
      </c>
      <c r="I3829" t="s">
        <v>218</v>
      </c>
      <c r="J3829" s="4">
        <v>4887</v>
      </c>
      <c r="K3829" s="5">
        <v>0.13484755473705751</v>
      </c>
      <c r="L3829" s="5">
        <v>1.0845099242889298E-2</v>
      </c>
    </row>
    <row r="3830" spans="7:12">
      <c r="G3830" t="s">
        <v>4477</v>
      </c>
      <c r="H3830" t="s">
        <v>336</v>
      </c>
      <c r="I3830" t="s">
        <v>218</v>
      </c>
      <c r="J3830" s="4">
        <v>8263</v>
      </c>
      <c r="K3830" s="5">
        <v>0.13481786276170882</v>
      </c>
      <c r="L3830" s="5">
        <v>1.2586227762313929E-2</v>
      </c>
    </row>
    <row r="3831" spans="7:12">
      <c r="G3831" t="s">
        <v>4478</v>
      </c>
      <c r="H3831" t="s">
        <v>370</v>
      </c>
      <c r="I3831" t="s">
        <v>455</v>
      </c>
      <c r="J3831" s="4">
        <v>15453</v>
      </c>
      <c r="K3831" s="5">
        <v>0.13479583252442892</v>
      </c>
      <c r="L3831" s="5">
        <v>2.9767682650618005E-3</v>
      </c>
    </row>
    <row r="3832" spans="7:12">
      <c r="G3832" t="s">
        <v>4479</v>
      </c>
      <c r="H3832" t="s">
        <v>416</v>
      </c>
      <c r="I3832" t="s">
        <v>233</v>
      </c>
      <c r="J3832" s="4">
        <v>2420</v>
      </c>
      <c r="K3832" s="5">
        <v>0.1347107438016529</v>
      </c>
      <c r="L3832" s="5">
        <v>5.371900826446281E-3</v>
      </c>
    </row>
    <row r="3833" spans="7:12">
      <c r="G3833" t="s">
        <v>4480</v>
      </c>
      <c r="H3833" t="s">
        <v>297</v>
      </c>
      <c r="I3833" t="s">
        <v>346</v>
      </c>
      <c r="J3833" s="4">
        <v>1946</v>
      </c>
      <c r="K3833" s="5">
        <v>0.13463514902363824</v>
      </c>
      <c r="L3833" s="5">
        <v>2.0041109969167522E-2</v>
      </c>
    </row>
    <row r="3834" spans="7:12">
      <c r="G3834" t="s">
        <v>4481</v>
      </c>
      <c r="H3834" t="s">
        <v>144</v>
      </c>
      <c r="I3834" t="s">
        <v>140</v>
      </c>
      <c r="J3834" s="4">
        <v>1479</v>
      </c>
      <c r="K3834" s="5">
        <v>0.1345503718728871</v>
      </c>
      <c r="L3834" s="5">
        <v>3.5158891142663962E-2</v>
      </c>
    </row>
    <row r="3835" spans="7:12">
      <c r="G3835" t="s">
        <v>4482</v>
      </c>
      <c r="H3835" t="s">
        <v>204</v>
      </c>
      <c r="I3835" t="s">
        <v>140</v>
      </c>
      <c r="J3835" s="4">
        <v>1338</v>
      </c>
      <c r="K3835" s="5">
        <v>0.13452914798206278</v>
      </c>
      <c r="L3835" s="5">
        <v>3.6621823617339309E-2</v>
      </c>
    </row>
    <row r="3836" spans="7:12">
      <c r="G3836" t="s">
        <v>4483</v>
      </c>
      <c r="H3836" t="s">
        <v>4320</v>
      </c>
      <c r="I3836" t="s">
        <v>377</v>
      </c>
      <c r="J3836" s="4">
        <v>1845</v>
      </c>
      <c r="K3836" s="5">
        <v>0.13441734417344173</v>
      </c>
      <c r="L3836" s="5">
        <v>1.1382113821138212E-2</v>
      </c>
    </row>
    <row r="3837" spans="7:12">
      <c r="G3837" t="s">
        <v>4484</v>
      </c>
      <c r="H3837" t="s">
        <v>370</v>
      </c>
      <c r="I3837" t="s">
        <v>278</v>
      </c>
      <c r="J3837" s="4">
        <v>1741</v>
      </c>
      <c r="K3837" s="5">
        <v>0.1344055140723722</v>
      </c>
      <c r="L3837" s="5">
        <v>1.0338885697874785E-2</v>
      </c>
    </row>
    <row r="3838" spans="7:12">
      <c r="G3838" t="s">
        <v>4485</v>
      </c>
      <c r="H3838" t="s">
        <v>410</v>
      </c>
      <c r="I3838" t="s">
        <v>259</v>
      </c>
      <c r="J3838" s="4">
        <v>4478</v>
      </c>
      <c r="K3838" s="5">
        <v>0.13421170165252344</v>
      </c>
      <c r="L3838" s="5">
        <v>1.9651630192050022E-2</v>
      </c>
    </row>
    <row r="3839" spans="7:12">
      <c r="G3839" t="s">
        <v>4486</v>
      </c>
      <c r="H3839" t="s">
        <v>486</v>
      </c>
      <c r="I3839" t="s">
        <v>131</v>
      </c>
      <c r="J3839" s="4">
        <v>2474</v>
      </c>
      <c r="K3839" s="5">
        <v>0.13419563459983833</v>
      </c>
      <c r="L3839" s="5">
        <v>2.425222312045271E-3</v>
      </c>
    </row>
    <row r="3840" spans="7:12">
      <c r="G3840" t="s">
        <v>4487</v>
      </c>
      <c r="H3840" t="s">
        <v>408</v>
      </c>
      <c r="I3840" t="s">
        <v>322</v>
      </c>
      <c r="J3840" s="4">
        <v>3475</v>
      </c>
      <c r="K3840" s="5">
        <v>0.13410071942446042</v>
      </c>
      <c r="L3840" s="5">
        <v>6.9064748201438852E-3</v>
      </c>
    </row>
    <row r="3841" spans="7:12">
      <c r="G3841" t="s">
        <v>4488</v>
      </c>
      <c r="H3841" t="s">
        <v>380</v>
      </c>
      <c r="I3841" t="s">
        <v>218</v>
      </c>
      <c r="J3841" s="4">
        <v>3971</v>
      </c>
      <c r="K3841" s="5">
        <v>0.13397129186602871</v>
      </c>
      <c r="L3841" s="5">
        <v>1.2339461092923696E-2</v>
      </c>
    </row>
    <row r="3842" spans="7:12">
      <c r="G3842" t="s">
        <v>4489</v>
      </c>
      <c r="H3842" t="s">
        <v>3770</v>
      </c>
      <c r="I3842" t="s">
        <v>149</v>
      </c>
      <c r="J3842" s="4">
        <v>1441</v>
      </c>
      <c r="K3842" s="5">
        <v>0.13393476752255379</v>
      </c>
      <c r="L3842" s="5">
        <v>3.1922276197085354E-2</v>
      </c>
    </row>
    <row r="3843" spans="7:12">
      <c r="G3843" t="s">
        <v>4490</v>
      </c>
      <c r="H3843" t="s">
        <v>103</v>
      </c>
      <c r="I3843" t="s">
        <v>3951</v>
      </c>
      <c r="J3843" s="4">
        <v>1195</v>
      </c>
      <c r="K3843" s="5">
        <v>0.13389121338912133</v>
      </c>
      <c r="L3843" s="5">
        <v>1.5899581589958158E-2</v>
      </c>
    </row>
    <row r="3844" spans="7:12">
      <c r="G3844" t="s">
        <v>4491</v>
      </c>
      <c r="H3844" t="s">
        <v>513</v>
      </c>
      <c r="I3844" t="s">
        <v>463</v>
      </c>
      <c r="J3844" s="4">
        <v>3631</v>
      </c>
      <c r="K3844" s="5">
        <v>0.13384742495180391</v>
      </c>
      <c r="L3844" s="5">
        <v>2.2032497934453318E-2</v>
      </c>
    </row>
    <row r="3845" spans="7:12">
      <c r="G3845" t="s">
        <v>4492</v>
      </c>
      <c r="H3845" t="s">
        <v>331</v>
      </c>
      <c r="I3845" t="s">
        <v>218</v>
      </c>
      <c r="J3845" s="4">
        <v>8488</v>
      </c>
      <c r="K3845" s="5">
        <v>0.13383600377002827</v>
      </c>
      <c r="L3845" s="5">
        <v>1.0603204524033931E-2</v>
      </c>
    </row>
    <row r="3846" spans="7:12">
      <c r="G3846" t="s">
        <v>4493</v>
      </c>
      <c r="H3846" t="s">
        <v>240</v>
      </c>
      <c r="I3846" t="s">
        <v>322</v>
      </c>
      <c r="J3846" s="4">
        <v>3782</v>
      </c>
      <c r="K3846" s="5">
        <v>0.13379164463246959</v>
      </c>
      <c r="L3846" s="5">
        <v>8.1967213114754103E-3</v>
      </c>
    </row>
    <row r="3847" spans="7:12">
      <c r="G3847" t="s">
        <v>4494</v>
      </c>
      <c r="H3847" t="s">
        <v>218</v>
      </c>
      <c r="I3847" t="s">
        <v>4495</v>
      </c>
      <c r="J3847" s="4">
        <v>1600</v>
      </c>
      <c r="K3847" s="5">
        <v>0.13375000000000001</v>
      </c>
      <c r="L3847" s="5">
        <v>1.1875E-2</v>
      </c>
    </row>
    <row r="3848" spans="7:12">
      <c r="G3848" t="s">
        <v>4496</v>
      </c>
      <c r="H3848" t="s">
        <v>455</v>
      </c>
      <c r="I3848" t="s">
        <v>503</v>
      </c>
      <c r="J3848" s="4">
        <v>5713</v>
      </c>
      <c r="K3848" s="5">
        <v>0.13373008927008576</v>
      </c>
      <c r="L3848" s="5">
        <v>5.076142131979695E-3</v>
      </c>
    </row>
    <row r="3849" spans="7:12">
      <c r="G3849" t="s">
        <v>4497</v>
      </c>
      <c r="H3849" t="s">
        <v>507</v>
      </c>
      <c r="I3849" t="s">
        <v>398</v>
      </c>
      <c r="J3849" s="4">
        <v>1810</v>
      </c>
      <c r="K3849" s="5">
        <v>0.13370165745856355</v>
      </c>
      <c r="L3849" s="5">
        <v>1.1049723756906078E-3</v>
      </c>
    </row>
    <row r="3850" spans="7:12">
      <c r="G3850" t="s">
        <v>4498</v>
      </c>
      <c r="H3850" t="s">
        <v>207</v>
      </c>
      <c r="I3850" t="s">
        <v>218</v>
      </c>
      <c r="J3850" s="4">
        <v>1107</v>
      </c>
      <c r="K3850" s="5">
        <v>0.13369467028003612</v>
      </c>
      <c r="L3850" s="5">
        <v>1.3550135501355014E-2</v>
      </c>
    </row>
    <row r="3851" spans="7:12">
      <c r="G3851" t="s">
        <v>4499</v>
      </c>
      <c r="H3851" t="s">
        <v>221</v>
      </c>
      <c r="I3851" t="s">
        <v>377</v>
      </c>
      <c r="J3851" s="4">
        <v>1197</v>
      </c>
      <c r="K3851" s="5">
        <v>0.13366750208855471</v>
      </c>
      <c r="L3851" s="5">
        <v>1.2531328320802004E-2</v>
      </c>
    </row>
    <row r="3852" spans="7:12">
      <c r="G3852" t="s">
        <v>4500</v>
      </c>
      <c r="H3852" t="s">
        <v>434</v>
      </c>
      <c r="I3852" t="s">
        <v>134</v>
      </c>
      <c r="J3852" s="4">
        <v>1579</v>
      </c>
      <c r="K3852" s="5">
        <v>0.13362887903736542</v>
      </c>
      <c r="L3852" s="5">
        <v>1.7732742241925271E-2</v>
      </c>
    </row>
    <row r="3853" spans="7:12">
      <c r="G3853" t="s">
        <v>4501</v>
      </c>
      <c r="H3853" t="s">
        <v>515</v>
      </c>
      <c r="I3853" t="s">
        <v>398</v>
      </c>
      <c r="J3853" s="4">
        <v>2058</v>
      </c>
      <c r="K3853" s="5">
        <v>0.13362487852283772</v>
      </c>
      <c r="L3853" s="5">
        <v>4.3731778425655978E-3</v>
      </c>
    </row>
    <row r="3854" spans="7:12">
      <c r="G3854" t="s">
        <v>4502</v>
      </c>
      <c r="H3854" t="s">
        <v>457</v>
      </c>
      <c r="I3854" t="s">
        <v>136</v>
      </c>
      <c r="J3854" s="4">
        <v>1363</v>
      </c>
      <c r="K3854" s="5">
        <v>0.13352898019075568</v>
      </c>
      <c r="L3854" s="5">
        <v>1.1005135730007337E-2</v>
      </c>
    </row>
    <row r="3855" spans="7:12">
      <c r="G3855" t="s">
        <v>4503</v>
      </c>
      <c r="H3855" t="s">
        <v>451</v>
      </c>
      <c r="I3855" t="s">
        <v>268</v>
      </c>
      <c r="J3855" s="4">
        <v>3162</v>
      </c>
      <c r="K3855" s="5">
        <v>0.13345983554712207</v>
      </c>
      <c r="L3855" s="5">
        <v>7.906388361796331E-3</v>
      </c>
    </row>
    <row r="3856" spans="7:12">
      <c r="G3856" t="s">
        <v>4504</v>
      </c>
      <c r="H3856" t="s">
        <v>466</v>
      </c>
      <c r="I3856" t="s">
        <v>449</v>
      </c>
      <c r="J3856" s="4">
        <v>1641</v>
      </c>
      <c r="K3856" s="5">
        <v>0.13345521023765997</v>
      </c>
      <c r="L3856" s="5">
        <v>1.5843997562461912E-2</v>
      </c>
    </row>
    <row r="3857" spans="7:12">
      <c r="G3857" t="s">
        <v>4505</v>
      </c>
      <c r="H3857" t="s">
        <v>489</v>
      </c>
      <c r="I3857" t="s">
        <v>390</v>
      </c>
      <c r="J3857" s="4">
        <v>8116</v>
      </c>
      <c r="K3857" s="5">
        <v>0.1334401182848694</v>
      </c>
      <c r="L3857" s="5">
        <v>9.2410054213898467E-3</v>
      </c>
    </row>
    <row r="3858" spans="7:12">
      <c r="G3858" t="s">
        <v>4506</v>
      </c>
      <c r="H3858" t="s">
        <v>370</v>
      </c>
      <c r="I3858" t="s">
        <v>449</v>
      </c>
      <c r="J3858" s="4">
        <v>13414</v>
      </c>
      <c r="K3858" s="5">
        <v>0.13336812285671687</v>
      </c>
      <c r="L3858" s="5">
        <v>9.9895631429849415E-3</v>
      </c>
    </row>
    <row r="3859" spans="7:12">
      <c r="G3859" t="s">
        <v>4507</v>
      </c>
      <c r="H3859" t="s">
        <v>240</v>
      </c>
      <c r="I3859" t="s">
        <v>346</v>
      </c>
      <c r="J3859" s="4">
        <v>2251</v>
      </c>
      <c r="K3859" s="5">
        <v>0.13327410039982229</v>
      </c>
      <c r="L3859" s="5">
        <v>1.1550422034651266E-2</v>
      </c>
    </row>
    <row r="3860" spans="7:12">
      <c r="G3860" t="s">
        <v>4508</v>
      </c>
      <c r="H3860" t="s">
        <v>414</v>
      </c>
      <c r="I3860" t="s">
        <v>326</v>
      </c>
      <c r="J3860" s="4">
        <v>3137</v>
      </c>
      <c r="K3860" s="5">
        <v>0.13324832642652215</v>
      </c>
      <c r="L3860" s="5">
        <v>4.4628626075868668E-3</v>
      </c>
    </row>
    <row r="3861" spans="7:12">
      <c r="G3861" t="s">
        <v>4509</v>
      </c>
      <c r="H3861" t="s">
        <v>218</v>
      </c>
      <c r="I3861" t="s">
        <v>305</v>
      </c>
      <c r="J3861" s="4">
        <v>3815</v>
      </c>
      <c r="K3861" s="5">
        <v>0.13315858453473131</v>
      </c>
      <c r="L3861" s="5">
        <v>6.2909567496723462E-3</v>
      </c>
    </row>
    <row r="3862" spans="7:12">
      <c r="G3862" t="s">
        <v>4510</v>
      </c>
      <c r="H3862" t="s">
        <v>370</v>
      </c>
      <c r="I3862" t="s">
        <v>182</v>
      </c>
      <c r="J3862" s="4">
        <v>6441</v>
      </c>
      <c r="K3862" s="5">
        <v>0.13305387362210838</v>
      </c>
      <c r="L3862" s="5">
        <v>5.2786834342493398E-3</v>
      </c>
    </row>
    <row r="3863" spans="7:12">
      <c r="G3863" t="s">
        <v>4511</v>
      </c>
      <c r="H3863" t="s">
        <v>340</v>
      </c>
      <c r="I3863" t="s">
        <v>137</v>
      </c>
      <c r="J3863" s="4">
        <v>1331</v>
      </c>
      <c r="K3863" s="5">
        <v>0.13298271975957926</v>
      </c>
      <c r="L3863" s="5">
        <v>1.6528925619834711E-2</v>
      </c>
    </row>
    <row r="3864" spans="7:12">
      <c r="G3864" t="s">
        <v>4512</v>
      </c>
      <c r="H3864" t="s">
        <v>218</v>
      </c>
      <c r="I3864" t="s">
        <v>470</v>
      </c>
      <c r="J3864" s="4">
        <v>2011</v>
      </c>
      <c r="K3864" s="5">
        <v>0.13276976628543014</v>
      </c>
      <c r="L3864" s="5">
        <v>8.4535057185479868E-3</v>
      </c>
    </row>
    <row r="3865" spans="7:12">
      <c r="G3865" t="s">
        <v>4513</v>
      </c>
      <c r="H3865" t="s">
        <v>507</v>
      </c>
      <c r="I3865" t="s">
        <v>449</v>
      </c>
      <c r="J3865" s="4">
        <v>1583</v>
      </c>
      <c r="K3865" s="5">
        <v>0.13265950726468731</v>
      </c>
      <c r="L3865" s="5">
        <v>9.4756790903348081E-3</v>
      </c>
    </row>
    <row r="3866" spans="7:12">
      <c r="G3866" t="s">
        <v>4514</v>
      </c>
      <c r="H3866" t="s">
        <v>410</v>
      </c>
      <c r="I3866" t="s">
        <v>136</v>
      </c>
      <c r="J3866" s="4">
        <v>3099</v>
      </c>
      <c r="K3866" s="5">
        <v>0.13262342691190707</v>
      </c>
      <c r="L3866" s="5">
        <v>1.3875443691513391E-2</v>
      </c>
    </row>
    <row r="3867" spans="7:12">
      <c r="G3867" t="s">
        <v>4515</v>
      </c>
      <c r="H3867" t="s">
        <v>167</v>
      </c>
      <c r="I3867" t="s">
        <v>370</v>
      </c>
      <c r="J3867" s="4">
        <v>1087</v>
      </c>
      <c r="K3867" s="5">
        <v>0.13247470101195952</v>
      </c>
      <c r="L3867" s="5">
        <v>8.2796688132474698E-3</v>
      </c>
    </row>
    <row r="3868" spans="7:12">
      <c r="G3868" t="s">
        <v>4516</v>
      </c>
      <c r="H3868" t="s">
        <v>3921</v>
      </c>
      <c r="I3868" t="s">
        <v>513</v>
      </c>
      <c r="J3868" s="4">
        <v>1087</v>
      </c>
      <c r="K3868" s="5">
        <v>0.13247470101195952</v>
      </c>
      <c r="L3868" s="5">
        <v>3.219871205151794E-2</v>
      </c>
    </row>
    <row r="3869" spans="7:12">
      <c r="G3869" t="s">
        <v>4517</v>
      </c>
      <c r="H3869" t="s">
        <v>529</v>
      </c>
      <c r="I3869" t="s">
        <v>326</v>
      </c>
      <c r="J3869" s="4">
        <v>3843</v>
      </c>
      <c r="K3869" s="5">
        <v>0.13244860785844392</v>
      </c>
      <c r="L3869" s="5">
        <v>6.5053343741868332E-3</v>
      </c>
    </row>
    <row r="3870" spans="7:12">
      <c r="G3870" t="s">
        <v>4518</v>
      </c>
      <c r="H3870" t="s">
        <v>331</v>
      </c>
      <c r="I3870" t="s">
        <v>461</v>
      </c>
      <c r="J3870" s="4">
        <v>2122</v>
      </c>
      <c r="K3870" s="5">
        <v>0.13242224316682374</v>
      </c>
      <c r="L3870" s="5">
        <v>5.1837888784165885E-3</v>
      </c>
    </row>
    <row r="3871" spans="7:12">
      <c r="G3871" t="s">
        <v>4519</v>
      </c>
      <c r="H3871" t="s">
        <v>404</v>
      </c>
      <c r="I3871" t="s">
        <v>455</v>
      </c>
      <c r="J3871" s="4">
        <v>1413</v>
      </c>
      <c r="K3871" s="5">
        <v>0.13234253361641896</v>
      </c>
      <c r="L3871" s="5">
        <v>2.1231422505307855E-3</v>
      </c>
    </row>
    <row r="3872" spans="7:12">
      <c r="G3872" t="s">
        <v>4520</v>
      </c>
      <c r="H3872" t="s">
        <v>491</v>
      </c>
      <c r="I3872" t="s">
        <v>326</v>
      </c>
      <c r="J3872" s="4">
        <v>3507</v>
      </c>
      <c r="K3872" s="5">
        <v>0.13230681494154548</v>
      </c>
      <c r="L3872" s="5">
        <v>5.1325919589392645E-3</v>
      </c>
    </row>
    <row r="3873" spans="7:12">
      <c r="G3873" t="s">
        <v>4521</v>
      </c>
      <c r="H3873" t="s">
        <v>459</v>
      </c>
      <c r="I3873" t="s">
        <v>322</v>
      </c>
      <c r="J3873" s="4">
        <v>1082</v>
      </c>
      <c r="K3873" s="5">
        <v>0.13216266173752311</v>
      </c>
      <c r="L3873" s="5">
        <v>8.3179297597042508E-3</v>
      </c>
    </row>
    <row r="3874" spans="7:12">
      <c r="G3874" t="s">
        <v>4522</v>
      </c>
      <c r="H3874" t="s">
        <v>370</v>
      </c>
      <c r="I3874" t="s">
        <v>489</v>
      </c>
      <c r="J3874" s="4">
        <v>15647</v>
      </c>
      <c r="K3874" s="5">
        <v>0.13191027033936217</v>
      </c>
      <c r="L3874" s="5">
        <v>2.1729404997763149E-3</v>
      </c>
    </row>
    <row r="3875" spans="7:12">
      <c r="G3875" t="s">
        <v>4523</v>
      </c>
      <c r="H3875" t="s">
        <v>466</v>
      </c>
      <c r="I3875" t="s">
        <v>489</v>
      </c>
      <c r="J3875" s="4">
        <v>4231</v>
      </c>
      <c r="K3875" s="5">
        <v>0.13188371543370361</v>
      </c>
      <c r="L3875" s="5">
        <v>3.3089104230678325E-3</v>
      </c>
    </row>
    <row r="3876" spans="7:12">
      <c r="G3876" t="s">
        <v>4524</v>
      </c>
      <c r="H3876" t="s">
        <v>189</v>
      </c>
      <c r="I3876" t="s">
        <v>346</v>
      </c>
      <c r="J3876" s="4">
        <v>3322</v>
      </c>
      <c r="K3876" s="5">
        <v>0.13184828416616495</v>
      </c>
      <c r="L3876" s="5">
        <v>9.0307043949428064E-3</v>
      </c>
    </row>
    <row r="3877" spans="7:12">
      <c r="G3877" t="s">
        <v>4525</v>
      </c>
      <c r="H3877" t="s">
        <v>252</v>
      </c>
      <c r="I3877" t="s">
        <v>322</v>
      </c>
      <c r="J3877" s="4">
        <v>4583</v>
      </c>
      <c r="K3877" s="5">
        <v>0.13179140301112807</v>
      </c>
      <c r="L3877" s="5">
        <v>8.7279074841806678E-3</v>
      </c>
    </row>
    <row r="3878" spans="7:12">
      <c r="G3878" t="s">
        <v>4526</v>
      </c>
      <c r="H3878" t="s">
        <v>414</v>
      </c>
      <c r="I3878" t="s">
        <v>149</v>
      </c>
      <c r="J3878" s="4">
        <v>5737</v>
      </c>
      <c r="K3878" s="5">
        <v>0.13177618964615653</v>
      </c>
      <c r="L3878" s="5">
        <v>2.2311312532682585E-2</v>
      </c>
    </row>
    <row r="3879" spans="7:12">
      <c r="G3879" t="s">
        <v>4527</v>
      </c>
      <c r="H3879" t="s">
        <v>218</v>
      </c>
      <c r="I3879" t="s">
        <v>482</v>
      </c>
      <c r="J3879" s="4">
        <v>3310</v>
      </c>
      <c r="K3879" s="5">
        <v>0.13172205438066464</v>
      </c>
      <c r="L3879" s="5">
        <v>5.4380664652567976E-3</v>
      </c>
    </row>
    <row r="3880" spans="7:12">
      <c r="G3880" t="s">
        <v>4528</v>
      </c>
      <c r="H3880" t="s">
        <v>461</v>
      </c>
      <c r="I3880" t="s">
        <v>362</v>
      </c>
      <c r="J3880" s="4">
        <v>3357</v>
      </c>
      <c r="K3880" s="5">
        <v>0.13166517724158475</v>
      </c>
      <c r="L3880" s="5">
        <v>2.9788501638367592E-3</v>
      </c>
    </row>
    <row r="3881" spans="7:12">
      <c r="G3881" t="s">
        <v>4529</v>
      </c>
      <c r="H3881" t="s">
        <v>451</v>
      </c>
      <c r="I3881" t="s">
        <v>370</v>
      </c>
      <c r="J3881" s="4">
        <v>4064</v>
      </c>
      <c r="K3881" s="5">
        <v>0.13164370078740156</v>
      </c>
      <c r="L3881" s="5">
        <v>1.7224409448818897E-3</v>
      </c>
    </row>
    <row r="3882" spans="7:12">
      <c r="G3882" t="s">
        <v>4530</v>
      </c>
      <c r="H3882" t="s">
        <v>515</v>
      </c>
      <c r="I3882" t="s">
        <v>486</v>
      </c>
      <c r="J3882" s="4">
        <v>4440</v>
      </c>
      <c r="K3882" s="5">
        <v>0.13153153153153152</v>
      </c>
      <c r="L3882" s="5">
        <v>3.6036036036036037E-3</v>
      </c>
    </row>
    <row r="3883" spans="7:12">
      <c r="G3883" t="s">
        <v>4531</v>
      </c>
      <c r="H3883" t="s">
        <v>329</v>
      </c>
      <c r="I3883" t="s">
        <v>346</v>
      </c>
      <c r="J3883" s="4">
        <v>2000</v>
      </c>
      <c r="K3883" s="5">
        <v>0.13150000000000001</v>
      </c>
      <c r="L3883" s="5">
        <v>0.02</v>
      </c>
    </row>
    <row r="3884" spans="7:12">
      <c r="G3884" t="s">
        <v>4532</v>
      </c>
      <c r="H3884" t="s">
        <v>422</v>
      </c>
      <c r="I3884" t="s">
        <v>322</v>
      </c>
      <c r="J3884" s="4">
        <v>3780</v>
      </c>
      <c r="K3884" s="5">
        <v>0.13148148148148148</v>
      </c>
      <c r="L3884" s="5">
        <v>1.0582010582010581E-2</v>
      </c>
    </row>
    <row r="3885" spans="7:12">
      <c r="G3885" t="s">
        <v>4533</v>
      </c>
      <c r="H3885" t="s">
        <v>416</v>
      </c>
      <c r="I3885" t="s">
        <v>136</v>
      </c>
      <c r="J3885" s="4">
        <v>2130</v>
      </c>
      <c r="K3885" s="5">
        <v>0.13145539906103287</v>
      </c>
      <c r="L3885" s="5">
        <v>7.0422535211267607E-3</v>
      </c>
    </row>
    <row r="3886" spans="7:12">
      <c r="G3886" t="s">
        <v>4534</v>
      </c>
      <c r="H3886" t="s">
        <v>414</v>
      </c>
      <c r="I3886" t="s">
        <v>218</v>
      </c>
      <c r="J3886" s="4">
        <v>9429</v>
      </c>
      <c r="K3886" s="5">
        <v>0.13140311804008908</v>
      </c>
      <c r="L3886" s="5">
        <v>8.3784070421041475E-3</v>
      </c>
    </row>
    <row r="3887" spans="7:12">
      <c r="G3887" t="s">
        <v>4535</v>
      </c>
      <c r="H3887" t="s">
        <v>4192</v>
      </c>
      <c r="I3887" t="s">
        <v>377</v>
      </c>
      <c r="J3887" s="4">
        <v>2793</v>
      </c>
      <c r="K3887" s="5">
        <v>0.1313999283924096</v>
      </c>
      <c r="L3887" s="5">
        <v>1.3247404224847834E-2</v>
      </c>
    </row>
    <row r="3888" spans="7:12">
      <c r="G3888" t="s">
        <v>4536</v>
      </c>
      <c r="H3888" t="s">
        <v>495</v>
      </c>
      <c r="I3888" t="s">
        <v>89</v>
      </c>
      <c r="J3888" s="4">
        <v>1835</v>
      </c>
      <c r="K3888" s="5">
        <v>0.13133514986376021</v>
      </c>
      <c r="L3888" s="5">
        <v>6.5395095367847414E-3</v>
      </c>
    </row>
    <row r="3889" spans="7:12">
      <c r="G3889" t="s">
        <v>4537</v>
      </c>
      <c r="H3889" t="s">
        <v>252</v>
      </c>
      <c r="I3889" t="s">
        <v>346</v>
      </c>
      <c r="J3889" s="4">
        <v>3027</v>
      </c>
      <c r="K3889" s="5">
        <v>0.1311529567228279</v>
      </c>
      <c r="L3889" s="5">
        <v>1.1562603237528906E-2</v>
      </c>
    </row>
    <row r="3890" spans="7:12">
      <c r="G3890" t="s">
        <v>4538</v>
      </c>
      <c r="H3890" t="s">
        <v>305</v>
      </c>
      <c r="I3890" t="s">
        <v>326</v>
      </c>
      <c r="J3890" s="4">
        <v>1549</v>
      </c>
      <c r="K3890" s="5">
        <v>0.13105229180116204</v>
      </c>
      <c r="L3890" s="5">
        <v>2.5823111684958036E-3</v>
      </c>
    </row>
    <row r="3891" spans="7:12">
      <c r="G3891" t="s">
        <v>4539</v>
      </c>
      <c r="H3891" t="s">
        <v>495</v>
      </c>
      <c r="I3891" t="s">
        <v>525</v>
      </c>
      <c r="J3891" s="4">
        <v>23735</v>
      </c>
      <c r="K3891" s="5">
        <v>0.13098799241626291</v>
      </c>
      <c r="L3891" s="5">
        <v>9.2690120075837375E-3</v>
      </c>
    </row>
    <row r="3892" spans="7:12">
      <c r="G3892" t="s">
        <v>4540</v>
      </c>
      <c r="H3892" t="s">
        <v>527</v>
      </c>
      <c r="I3892" t="s">
        <v>215</v>
      </c>
      <c r="J3892" s="4">
        <v>6148</v>
      </c>
      <c r="K3892" s="5">
        <v>0.13093689004554326</v>
      </c>
      <c r="L3892" s="5">
        <v>5.5302537410540009E-3</v>
      </c>
    </row>
    <row r="3893" spans="7:12">
      <c r="G3893" t="s">
        <v>4541</v>
      </c>
      <c r="H3893" t="s">
        <v>352</v>
      </c>
      <c r="I3893" t="s">
        <v>218</v>
      </c>
      <c r="J3893" s="4">
        <v>9818</v>
      </c>
      <c r="K3893" s="5">
        <v>0.13067834589529437</v>
      </c>
      <c r="L3893" s="5">
        <v>9.3705438989610916E-3</v>
      </c>
    </row>
    <row r="3894" spans="7:12">
      <c r="G3894" t="s">
        <v>4542</v>
      </c>
      <c r="H3894" t="s">
        <v>358</v>
      </c>
      <c r="I3894" t="s">
        <v>226</v>
      </c>
      <c r="J3894" s="4">
        <v>1745</v>
      </c>
      <c r="K3894" s="5">
        <v>0.13065902578796562</v>
      </c>
      <c r="L3894" s="5">
        <v>1.0888252148997135E-2</v>
      </c>
    </row>
    <row r="3895" spans="7:12">
      <c r="G3895" t="s">
        <v>4543</v>
      </c>
      <c r="H3895" t="s">
        <v>472</v>
      </c>
      <c r="I3895" t="s">
        <v>326</v>
      </c>
      <c r="J3895" s="4">
        <v>1087</v>
      </c>
      <c r="K3895" s="5">
        <v>0.13063477460901565</v>
      </c>
      <c r="L3895" s="5">
        <v>4.5998160073597054E-3</v>
      </c>
    </row>
    <row r="3896" spans="7:12">
      <c r="G3896" t="s">
        <v>4544</v>
      </c>
      <c r="H3896" t="s">
        <v>434</v>
      </c>
      <c r="I3896" t="s">
        <v>136</v>
      </c>
      <c r="J3896" s="4">
        <v>1424</v>
      </c>
      <c r="K3896" s="5">
        <v>0.1306179775280899</v>
      </c>
      <c r="L3896" s="5">
        <v>7.7247191011235953E-3</v>
      </c>
    </row>
    <row r="3897" spans="7:12">
      <c r="G3897" t="s">
        <v>4545</v>
      </c>
      <c r="H3897" t="s">
        <v>418</v>
      </c>
      <c r="I3897" t="s">
        <v>449</v>
      </c>
      <c r="J3897" s="4">
        <v>3137</v>
      </c>
      <c r="K3897" s="5">
        <v>0.13037934332164489</v>
      </c>
      <c r="L3897" s="5">
        <v>1.3707363723302519E-2</v>
      </c>
    </row>
    <row r="3898" spans="7:12">
      <c r="G3898" t="s">
        <v>4546</v>
      </c>
      <c r="H3898" t="s">
        <v>80</v>
      </c>
      <c r="I3898" t="s">
        <v>346</v>
      </c>
      <c r="J3898" s="4">
        <v>2333</v>
      </c>
      <c r="K3898" s="5">
        <v>0.13030432918988427</v>
      </c>
      <c r="L3898" s="5">
        <v>9.0012858979854268E-3</v>
      </c>
    </row>
    <row r="3899" spans="7:12">
      <c r="G3899" t="s">
        <v>4547</v>
      </c>
      <c r="H3899" t="s">
        <v>466</v>
      </c>
      <c r="I3899" t="s">
        <v>455</v>
      </c>
      <c r="J3899" s="4">
        <v>5872</v>
      </c>
      <c r="K3899" s="5">
        <v>0.1302792915531335</v>
      </c>
      <c r="L3899" s="5">
        <v>3.4059945504087193E-3</v>
      </c>
    </row>
    <row r="3900" spans="7:12">
      <c r="G3900" t="s">
        <v>4548</v>
      </c>
      <c r="H3900" t="s">
        <v>254</v>
      </c>
      <c r="I3900" t="s">
        <v>218</v>
      </c>
      <c r="J3900" s="4">
        <v>9354</v>
      </c>
      <c r="K3900" s="5">
        <v>0.13021167415009621</v>
      </c>
      <c r="L3900" s="5">
        <v>1.3256360915116528E-2</v>
      </c>
    </row>
    <row r="3901" spans="7:12">
      <c r="G3901" t="s">
        <v>4549</v>
      </c>
      <c r="H3901" t="s">
        <v>218</v>
      </c>
      <c r="I3901" t="s">
        <v>426</v>
      </c>
      <c r="J3901" s="4">
        <v>4026</v>
      </c>
      <c r="K3901" s="5">
        <v>0.13015399900645802</v>
      </c>
      <c r="L3901" s="5">
        <v>7.2031793343268757E-3</v>
      </c>
    </row>
    <row r="3902" spans="7:12">
      <c r="G3902" t="s">
        <v>4550</v>
      </c>
      <c r="H3902" t="s">
        <v>3921</v>
      </c>
      <c r="I3902" t="s">
        <v>2626</v>
      </c>
      <c r="J3902" s="4">
        <v>1087</v>
      </c>
      <c r="K3902" s="5">
        <v>0.12971481140754371</v>
      </c>
      <c r="L3902" s="5">
        <v>3.219871205151794E-2</v>
      </c>
    </row>
    <row r="3903" spans="7:12">
      <c r="G3903" t="s">
        <v>4551</v>
      </c>
      <c r="H3903" t="s">
        <v>352</v>
      </c>
      <c r="I3903" t="s">
        <v>236</v>
      </c>
      <c r="J3903" s="4">
        <v>3215</v>
      </c>
      <c r="K3903" s="5">
        <v>0.12970451010886469</v>
      </c>
      <c r="L3903" s="5">
        <v>9.020217729393468E-3</v>
      </c>
    </row>
    <row r="3904" spans="7:12">
      <c r="G3904" t="s">
        <v>4552</v>
      </c>
      <c r="H3904" t="s">
        <v>461</v>
      </c>
      <c r="I3904" t="s">
        <v>398</v>
      </c>
      <c r="J3904" s="4">
        <v>5837</v>
      </c>
      <c r="K3904" s="5">
        <v>0.12968990919993148</v>
      </c>
      <c r="L3904" s="5">
        <v>2.5698132602364229E-3</v>
      </c>
    </row>
    <row r="3905" spans="7:12">
      <c r="G3905" t="s">
        <v>4553</v>
      </c>
      <c r="H3905" t="s">
        <v>416</v>
      </c>
      <c r="I3905" t="s">
        <v>377</v>
      </c>
      <c r="J3905" s="4">
        <v>2616</v>
      </c>
      <c r="K3905" s="5">
        <v>0.12958715596330275</v>
      </c>
      <c r="L3905" s="5">
        <v>8.4097859327217118E-3</v>
      </c>
    </row>
    <row r="3906" spans="7:12">
      <c r="G3906" t="s">
        <v>4554</v>
      </c>
      <c r="H3906" t="s">
        <v>416</v>
      </c>
      <c r="I3906" t="s">
        <v>236</v>
      </c>
      <c r="J3906" s="4">
        <v>1536</v>
      </c>
      <c r="K3906" s="5">
        <v>0.12955729166666666</v>
      </c>
      <c r="L3906" s="5">
        <v>7.161458333333333E-3</v>
      </c>
    </row>
    <row r="3907" spans="7:12">
      <c r="G3907" t="s">
        <v>4555</v>
      </c>
      <c r="H3907" t="s">
        <v>461</v>
      </c>
      <c r="I3907" t="s">
        <v>291</v>
      </c>
      <c r="J3907" s="4">
        <v>1428</v>
      </c>
      <c r="K3907" s="5">
        <v>0.12955182072829133</v>
      </c>
      <c r="L3907" s="5">
        <v>2.1008403361344537E-3</v>
      </c>
    </row>
    <row r="3908" spans="7:12">
      <c r="G3908" t="s">
        <v>4556</v>
      </c>
      <c r="H3908" t="s">
        <v>218</v>
      </c>
      <c r="I3908" t="s">
        <v>3400</v>
      </c>
      <c r="J3908" s="4">
        <v>1621</v>
      </c>
      <c r="K3908" s="5">
        <v>0.12954966070326959</v>
      </c>
      <c r="L3908" s="5">
        <v>5.5521283158544111E-3</v>
      </c>
    </row>
    <row r="3909" spans="7:12">
      <c r="G3909" t="s">
        <v>4557</v>
      </c>
      <c r="H3909" t="s">
        <v>489</v>
      </c>
      <c r="I3909" t="s">
        <v>503</v>
      </c>
      <c r="J3909" s="4">
        <v>3932</v>
      </c>
      <c r="K3909" s="5">
        <v>0.12945066124109869</v>
      </c>
      <c r="L3909" s="5">
        <v>3.8148524923702952E-3</v>
      </c>
    </row>
    <row r="3910" spans="7:12">
      <c r="G3910" t="s">
        <v>4558</v>
      </c>
      <c r="H3910" t="s">
        <v>495</v>
      </c>
      <c r="I3910" t="s">
        <v>461</v>
      </c>
      <c r="J3910" s="4">
        <v>1856</v>
      </c>
      <c r="K3910" s="5">
        <v>0.12931034482758622</v>
      </c>
      <c r="L3910" s="5">
        <v>8.6206896551724137E-3</v>
      </c>
    </row>
    <row r="3911" spans="7:12">
      <c r="G3911" t="s">
        <v>4559</v>
      </c>
      <c r="H3911" t="s">
        <v>374</v>
      </c>
      <c r="I3911" t="s">
        <v>236</v>
      </c>
      <c r="J3911" s="4">
        <v>2065</v>
      </c>
      <c r="K3911" s="5">
        <v>0.12929782082324456</v>
      </c>
      <c r="L3911" s="5">
        <v>7.7481840193704601E-3</v>
      </c>
    </row>
    <row r="3912" spans="7:12">
      <c r="G3912" t="s">
        <v>4560</v>
      </c>
      <c r="H3912" t="s">
        <v>286</v>
      </c>
      <c r="I3912" t="s">
        <v>218</v>
      </c>
      <c r="J3912" s="4">
        <v>6157</v>
      </c>
      <c r="K3912" s="5">
        <v>0.12928374208218288</v>
      </c>
      <c r="L3912" s="5">
        <v>8.6080883547182078E-3</v>
      </c>
    </row>
    <row r="3913" spans="7:12">
      <c r="G3913" t="s">
        <v>4561</v>
      </c>
      <c r="H3913" t="s">
        <v>248</v>
      </c>
      <c r="I3913" t="s">
        <v>377</v>
      </c>
      <c r="J3913" s="4">
        <v>2290</v>
      </c>
      <c r="K3913" s="5">
        <v>0.12925764192139738</v>
      </c>
      <c r="L3913" s="5">
        <v>1.2663755458515284E-2</v>
      </c>
    </row>
    <row r="3914" spans="7:12">
      <c r="G3914" t="s">
        <v>4562</v>
      </c>
      <c r="H3914" t="s">
        <v>486</v>
      </c>
      <c r="I3914" t="s">
        <v>503</v>
      </c>
      <c r="J3914" s="4">
        <v>1207</v>
      </c>
      <c r="K3914" s="5">
        <v>0.12924606462303231</v>
      </c>
      <c r="L3914" s="5">
        <v>1.4913007456503728E-2</v>
      </c>
    </row>
    <row r="3915" spans="7:12">
      <c r="G3915" t="s">
        <v>4563</v>
      </c>
      <c r="H3915" t="s">
        <v>406</v>
      </c>
      <c r="I3915" t="s">
        <v>218</v>
      </c>
      <c r="J3915" s="4">
        <v>5935</v>
      </c>
      <c r="K3915" s="5">
        <v>0.12923336141533276</v>
      </c>
      <c r="L3915" s="5">
        <v>8.761583824768323E-3</v>
      </c>
    </row>
    <row r="3916" spans="7:12">
      <c r="G3916" t="s">
        <v>4564</v>
      </c>
      <c r="H3916" t="s">
        <v>218</v>
      </c>
      <c r="I3916" t="s">
        <v>354</v>
      </c>
      <c r="J3916" s="4">
        <v>2973</v>
      </c>
      <c r="K3916" s="5">
        <v>0.12916246215943492</v>
      </c>
      <c r="L3916" s="5">
        <v>5.7181298351833163E-3</v>
      </c>
    </row>
    <row r="3917" spans="7:12">
      <c r="G3917" t="s">
        <v>4565</v>
      </c>
      <c r="H3917" t="s">
        <v>418</v>
      </c>
      <c r="I3917" t="s">
        <v>489</v>
      </c>
      <c r="J3917" s="4">
        <v>7685</v>
      </c>
      <c r="K3917" s="5">
        <v>0.12908262849707222</v>
      </c>
      <c r="L3917" s="5">
        <v>1.7046193884189979E-2</v>
      </c>
    </row>
    <row r="3918" spans="7:12">
      <c r="G3918" t="s">
        <v>4566</v>
      </c>
      <c r="H3918" t="s">
        <v>517</v>
      </c>
      <c r="I3918" t="s">
        <v>100</v>
      </c>
      <c r="J3918" s="4">
        <v>1271</v>
      </c>
      <c r="K3918" s="5">
        <v>0.12903225806451613</v>
      </c>
      <c r="L3918" s="5">
        <v>2.9110936270653028E-2</v>
      </c>
    </row>
    <row r="3919" spans="7:12">
      <c r="G3919" t="s">
        <v>4567</v>
      </c>
      <c r="H3919" t="s">
        <v>453</v>
      </c>
      <c r="I3919" t="s">
        <v>140</v>
      </c>
      <c r="J3919" s="4">
        <v>2458</v>
      </c>
      <c r="K3919" s="5">
        <v>0.12896663954434501</v>
      </c>
      <c r="L3919" s="5">
        <v>3.0919446704637917E-2</v>
      </c>
    </row>
    <row r="3920" spans="7:12">
      <c r="G3920" t="s">
        <v>4568</v>
      </c>
      <c r="H3920" t="s">
        <v>370</v>
      </c>
      <c r="I3920" t="s">
        <v>434</v>
      </c>
      <c r="J3920" s="4">
        <v>6825</v>
      </c>
      <c r="K3920" s="5">
        <v>0.12893772893772895</v>
      </c>
      <c r="L3920" s="5">
        <v>1.1721611721611722E-3</v>
      </c>
    </row>
    <row r="3921" spans="7:12">
      <c r="G3921" t="s">
        <v>4569</v>
      </c>
      <c r="H3921" t="s">
        <v>293</v>
      </c>
      <c r="I3921" t="s">
        <v>259</v>
      </c>
      <c r="J3921" s="4">
        <v>1567</v>
      </c>
      <c r="K3921" s="5">
        <v>0.12890874282067646</v>
      </c>
      <c r="L3921" s="5">
        <v>2.9993618379068283E-2</v>
      </c>
    </row>
    <row r="3922" spans="7:12">
      <c r="G3922" t="s">
        <v>4570</v>
      </c>
      <c r="H3922" t="s">
        <v>1377</v>
      </c>
      <c r="I3922" t="s">
        <v>513</v>
      </c>
      <c r="J3922" s="4">
        <v>2181</v>
      </c>
      <c r="K3922" s="5">
        <v>0.12883998165978908</v>
      </c>
      <c r="L3922" s="5">
        <v>2.0174232003668042E-2</v>
      </c>
    </row>
    <row r="3923" spans="7:12">
      <c r="G3923" t="s">
        <v>4571</v>
      </c>
      <c r="H3923" t="s">
        <v>344</v>
      </c>
      <c r="I3923" t="s">
        <v>134</v>
      </c>
      <c r="J3923" s="4">
        <v>1475</v>
      </c>
      <c r="K3923" s="5">
        <v>0.12881355932203389</v>
      </c>
      <c r="L3923" s="5">
        <v>2.305084745762712E-2</v>
      </c>
    </row>
    <row r="3924" spans="7:12">
      <c r="G3924" t="s">
        <v>4572</v>
      </c>
      <c r="H3924" t="s">
        <v>495</v>
      </c>
      <c r="I3924" t="s">
        <v>486</v>
      </c>
      <c r="J3924" s="4">
        <v>34952</v>
      </c>
      <c r="K3924" s="5">
        <v>0.12857633325703821</v>
      </c>
      <c r="L3924" s="5">
        <v>1.0271229114213779E-2</v>
      </c>
    </row>
    <row r="3925" spans="7:12">
      <c r="G3925" t="s">
        <v>4573</v>
      </c>
      <c r="H3925" t="s">
        <v>226</v>
      </c>
      <c r="I3925" t="s">
        <v>252</v>
      </c>
      <c r="J3925" s="4">
        <v>2194</v>
      </c>
      <c r="K3925" s="5">
        <v>0.12853236098450319</v>
      </c>
      <c r="L3925" s="5">
        <v>4.1020966271649957E-3</v>
      </c>
    </row>
    <row r="3926" spans="7:12">
      <c r="G3926" t="s">
        <v>4574</v>
      </c>
      <c r="H3926" t="s">
        <v>449</v>
      </c>
      <c r="I3926" t="s">
        <v>218</v>
      </c>
      <c r="J3926" s="4">
        <v>4197</v>
      </c>
      <c r="K3926" s="5">
        <v>0.12842506552299263</v>
      </c>
      <c r="L3926" s="5">
        <v>6.9096974029068383E-3</v>
      </c>
    </row>
    <row r="3927" spans="7:12">
      <c r="G3927" t="s">
        <v>4575</v>
      </c>
      <c r="H3927" t="s">
        <v>455</v>
      </c>
      <c r="I3927" t="s">
        <v>370</v>
      </c>
      <c r="J3927" s="4">
        <v>15513</v>
      </c>
      <c r="K3927" s="5">
        <v>0.12840843163798105</v>
      </c>
      <c r="L3927" s="5">
        <v>2.5784825630116677E-3</v>
      </c>
    </row>
    <row r="3928" spans="7:12">
      <c r="G3928" t="s">
        <v>4576</v>
      </c>
      <c r="H3928" t="s">
        <v>422</v>
      </c>
      <c r="I3928" t="s">
        <v>115</v>
      </c>
      <c r="J3928" s="4">
        <v>3210</v>
      </c>
      <c r="K3928" s="5">
        <v>0.12834890965732088</v>
      </c>
      <c r="L3928" s="5">
        <v>9.3457943925233638E-3</v>
      </c>
    </row>
    <row r="3929" spans="7:12">
      <c r="G3929" t="s">
        <v>4577</v>
      </c>
      <c r="H3929" t="s">
        <v>493</v>
      </c>
      <c r="I3929" t="s">
        <v>218</v>
      </c>
      <c r="J3929" s="4">
        <v>4214</v>
      </c>
      <c r="K3929" s="5">
        <v>0.12814428096820124</v>
      </c>
      <c r="L3929" s="5">
        <v>1.0915994304698624E-2</v>
      </c>
    </row>
    <row r="3930" spans="7:12">
      <c r="G3930" t="s">
        <v>4578</v>
      </c>
      <c r="H3930" t="s">
        <v>503</v>
      </c>
      <c r="I3930" t="s">
        <v>455</v>
      </c>
      <c r="J3930" s="4">
        <v>5713</v>
      </c>
      <c r="K3930" s="5">
        <v>0.12812882898652198</v>
      </c>
      <c r="L3930" s="5">
        <v>5.601260283563802E-3</v>
      </c>
    </row>
    <row r="3931" spans="7:12">
      <c r="G3931" t="s">
        <v>4579</v>
      </c>
      <c r="H3931" t="s">
        <v>4329</v>
      </c>
      <c r="I3931" t="s">
        <v>377</v>
      </c>
      <c r="J3931" s="4">
        <v>1819</v>
      </c>
      <c r="K3931" s="5">
        <v>0.12809235843870259</v>
      </c>
      <c r="L3931" s="5">
        <v>1.0995052226498075E-2</v>
      </c>
    </row>
    <row r="3932" spans="7:12">
      <c r="G3932" t="s">
        <v>4580</v>
      </c>
      <c r="H3932" t="s">
        <v>461</v>
      </c>
      <c r="I3932" t="s">
        <v>449</v>
      </c>
      <c r="J3932" s="4">
        <v>7173</v>
      </c>
      <c r="K3932" s="5">
        <v>0.12797992471769135</v>
      </c>
      <c r="L3932" s="5">
        <v>6.5523490868534782E-3</v>
      </c>
    </row>
    <row r="3933" spans="7:12">
      <c r="G3933" t="s">
        <v>4581</v>
      </c>
      <c r="H3933" t="s">
        <v>377</v>
      </c>
      <c r="I3933" t="s">
        <v>248</v>
      </c>
      <c r="J3933" s="4">
        <v>2290</v>
      </c>
      <c r="K3933" s="5">
        <v>0.12794759825327512</v>
      </c>
      <c r="L3933" s="5">
        <v>1.2663755458515284E-2</v>
      </c>
    </row>
    <row r="3934" spans="7:12">
      <c r="G3934" t="s">
        <v>4582</v>
      </c>
      <c r="H3934" t="s">
        <v>533</v>
      </c>
      <c r="I3934" t="s">
        <v>495</v>
      </c>
      <c r="J3934" s="4">
        <v>19377</v>
      </c>
      <c r="K3934" s="5">
        <v>0.1278835733085617</v>
      </c>
      <c r="L3934" s="5">
        <v>8.8248954946586154E-3</v>
      </c>
    </row>
    <row r="3935" spans="7:12">
      <c r="G3935" t="s">
        <v>4583</v>
      </c>
      <c r="H3935" t="s">
        <v>3012</v>
      </c>
      <c r="I3935" t="s">
        <v>475</v>
      </c>
      <c r="J3935" s="4">
        <v>1087</v>
      </c>
      <c r="K3935" s="5">
        <v>0.12787488500459981</v>
      </c>
      <c r="L3935" s="5">
        <v>2.1159153633854646E-2</v>
      </c>
    </row>
    <row r="3936" spans="7:12">
      <c r="G3936" t="s">
        <v>4584</v>
      </c>
      <c r="H3936" t="s">
        <v>3680</v>
      </c>
      <c r="I3936" t="s">
        <v>513</v>
      </c>
      <c r="J3936" s="4">
        <v>1087</v>
      </c>
      <c r="K3936" s="5">
        <v>0.12787488500459981</v>
      </c>
      <c r="L3936" s="5">
        <v>2.4839006439742409E-2</v>
      </c>
    </row>
    <row r="3937" spans="7:12">
      <c r="G3937" t="s">
        <v>4585</v>
      </c>
      <c r="H3937" t="s">
        <v>233</v>
      </c>
      <c r="I3937" t="s">
        <v>461</v>
      </c>
      <c r="J3937" s="4">
        <v>3066</v>
      </c>
      <c r="K3937" s="5">
        <v>0.12785388127853881</v>
      </c>
      <c r="L3937" s="5">
        <v>5.8708414872798431E-3</v>
      </c>
    </row>
    <row r="3938" spans="7:12">
      <c r="G3938" t="s">
        <v>4586</v>
      </c>
      <c r="H3938" t="s">
        <v>400</v>
      </c>
      <c r="I3938" t="s">
        <v>455</v>
      </c>
      <c r="J3938" s="4">
        <v>1057</v>
      </c>
      <c r="K3938" s="5">
        <v>0.12771996215704826</v>
      </c>
      <c r="L3938" s="5">
        <v>7.5685903500473037E-3</v>
      </c>
    </row>
    <row r="3939" spans="7:12">
      <c r="G3939" t="s">
        <v>4587</v>
      </c>
      <c r="H3939" t="s">
        <v>299</v>
      </c>
      <c r="I3939" t="s">
        <v>218</v>
      </c>
      <c r="J3939" s="4">
        <v>4155</v>
      </c>
      <c r="K3939" s="5">
        <v>0.12755716004813478</v>
      </c>
      <c r="L3939" s="5">
        <v>1.0348977135980746E-2</v>
      </c>
    </row>
    <row r="3940" spans="7:12">
      <c r="G3940" t="s">
        <v>4588</v>
      </c>
      <c r="H3940" t="s">
        <v>461</v>
      </c>
      <c r="I3940" t="s">
        <v>221</v>
      </c>
      <c r="J3940" s="4">
        <v>1192</v>
      </c>
      <c r="K3940" s="5">
        <v>0.12751677852348994</v>
      </c>
      <c r="L3940" s="5">
        <v>6.7114093959731542E-3</v>
      </c>
    </row>
    <row r="3941" spans="7:12">
      <c r="G3941" t="s">
        <v>4589</v>
      </c>
      <c r="H3941" t="s">
        <v>326</v>
      </c>
      <c r="I3941" t="s">
        <v>364</v>
      </c>
      <c r="J3941" s="4">
        <v>3035</v>
      </c>
      <c r="K3941" s="5">
        <v>0.12751235584843493</v>
      </c>
      <c r="L3941" s="5">
        <v>2.6359143327841844E-3</v>
      </c>
    </row>
    <row r="3942" spans="7:12">
      <c r="G3942" t="s">
        <v>4590</v>
      </c>
      <c r="H3942" t="s">
        <v>410</v>
      </c>
      <c r="I3942" t="s">
        <v>140</v>
      </c>
      <c r="J3942" s="4">
        <v>2973</v>
      </c>
      <c r="K3942" s="5">
        <v>0.12748065926673394</v>
      </c>
      <c r="L3942" s="5">
        <v>2.9263370332996974E-2</v>
      </c>
    </row>
    <row r="3943" spans="7:12">
      <c r="G3943" t="s">
        <v>4591</v>
      </c>
      <c r="H3943" t="s">
        <v>457</v>
      </c>
      <c r="I3943" t="s">
        <v>259</v>
      </c>
      <c r="J3943" s="4">
        <v>1170</v>
      </c>
      <c r="K3943" s="5">
        <v>0.12735042735042734</v>
      </c>
      <c r="L3943" s="5">
        <v>2.0512820512820513E-2</v>
      </c>
    </row>
    <row r="3944" spans="7:12">
      <c r="G3944" t="s">
        <v>4592</v>
      </c>
      <c r="H3944" t="s">
        <v>489</v>
      </c>
      <c r="I3944" t="s">
        <v>370</v>
      </c>
      <c r="J3944" s="4">
        <v>15658</v>
      </c>
      <c r="K3944" s="5">
        <v>0.12734704304508876</v>
      </c>
      <c r="L3944" s="5">
        <v>2.1714139736875721E-3</v>
      </c>
    </row>
    <row r="3945" spans="7:12">
      <c r="G3945" t="s">
        <v>4593</v>
      </c>
      <c r="H3945" t="s">
        <v>377</v>
      </c>
      <c r="I3945" t="s">
        <v>461</v>
      </c>
      <c r="J3945" s="4">
        <v>4748</v>
      </c>
      <c r="K3945" s="5">
        <v>0.12721145745577084</v>
      </c>
      <c r="L3945" s="5">
        <v>4.0016849199663012E-3</v>
      </c>
    </row>
    <row r="3946" spans="7:12">
      <c r="G3946" t="s">
        <v>4594</v>
      </c>
      <c r="H3946" t="s">
        <v>326</v>
      </c>
      <c r="I3946" t="s">
        <v>271</v>
      </c>
      <c r="J3946" s="4">
        <v>2732</v>
      </c>
      <c r="K3946" s="5">
        <v>0.12701317715959004</v>
      </c>
      <c r="L3946" s="5">
        <v>2.9282576866764276E-3</v>
      </c>
    </row>
    <row r="3947" spans="7:12">
      <c r="G3947" t="s">
        <v>4595</v>
      </c>
      <c r="H3947" t="s">
        <v>370</v>
      </c>
      <c r="I3947" t="s">
        <v>461</v>
      </c>
      <c r="J3947" s="4">
        <v>13015</v>
      </c>
      <c r="K3947" s="5">
        <v>0.12693046484825202</v>
      </c>
      <c r="L3947" s="5">
        <v>4.2258932001536685E-3</v>
      </c>
    </row>
    <row r="3948" spans="7:12">
      <c r="G3948" t="s">
        <v>4596</v>
      </c>
      <c r="H3948" t="s">
        <v>346</v>
      </c>
      <c r="I3948" t="s">
        <v>408</v>
      </c>
      <c r="J3948" s="4">
        <v>3345</v>
      </c>
      <c r="K3948" s="5">
        <v>0.12675635276532138</v>
      </c>
      <c r="L3948" s="5">
        <v>1.0762331838565023E-2</v>
      </c>
    </row>
    <row r="3949" spans="7:12">
      <c r="G3949" t="s">
        <v>4597</v>
      </c>
      <c r="H3949" t="s">
        <v>218</v>
      </c>
      <c r="I3949" t="s">
        <v>2322</v>
      </c>
      <c r="J3949" s="4">
        <v>1626</v>
      </c>
      <c r="K3949" s="5">
        <v>0.12669126691266913</v>
      </c>
      <c r="L3949" s="5">
        <v>8.6100861008610082E-3</v>
      </c>
    </row>
    <row r="3950" spans="7:12">
      <c r="G3950" t="s">
        <v>4598</v>
      </c>
      <c r="H3950" t="s">
        <v>390</v>
      </c>
      <c r="I3950" t="s">
        <v>134</v>
      </c>
      <c r="J3950" s="4">
        <v>3812</v>
      </c>
      <c r="K3950" s="5">
        <v>0.12644281217208814</v>
      </c>
      <c r="L3950" s="5">
        <v>8.9192025183630636E-3</v>
      </c>
    </row>
    <row r="3951" spans="7:12">
      <c r="G3951" t="s">
        <v>4599</v>
      </c>
      <c r="H3951" t="s">
        <v>354</v>
      </c>
      <c r="I3951" t="s">
        <v>218</v>
      </c>
      <c r="J3951" s="4">
        <v>2974</v>
      </c>
      <c r="K3951" s="5">
        <v>0.12642905178211164</v>
      </c>
      <c r="L3951" s="5">
        <v>6.3887020847343641E-3</v>
      </c>
    </row>
    <row r="3952" spans="7:12">
      <c r="G3952" t="s">
        <v>4600</v>
      </c>
      <c r="H3952" t="s">
        <v>377</v>
      </c>
      <c r="I3952" t="s">
        <v>4601</v>
      </c>
      <c r="J3952" s="4">
        <v>2207</v>
      </c>
      <c r="K3952" s="5">
        <v>0.12641594925237878</v>
      </c>
      <c r="L3952" s="5">
        <v>1.0874490258269144E-2</v>
      </c>
    </row>
    <row r="3953" spans="7:12">
      <c r="G3953" t="s">
        <v>4602</v>
      </c>
      <c r="H3953" t="s">
        <v>468</v>
      </c>
      <c r="I3953" t="s">
        <v>463</v>
      </c>
      <c r="J3953" s="4">
        <v>2397</v>
      </c>
      <c r="K3953" s="5">
        <v>0.12640801001251564</v>
      </c>
      <c r="L3953" s="5">
        <v>1.0012515644555695E-2</v>
      </c>
    </row>
    <row r="3954" spans="7:12">
      <c r="G3954" t="s">
        <v>4603</v>
      </c>
      <c r="H3954" t="s">
        <v>276</v>
      </c>
      <c r="I3954" t="s">
        <v>134</v>
      </c>
      <c r="J3954" s="4">
        <v>2223</v>
      </c>
      <c r="K3954" s="5">
        <v>0.12640575798470535</v>
      </c>
      <c r="L3954" s="5">
        <v>1.8443544759334234E-2</v>
      </c>
    </row>
    <row r="3955" spans="7:12">
      <c r="G3955" t="s">
        <v>4604</v>
      </c>
      <c r="H3955" t="s">
        <v>317</v>
      </c>
      <c r="I3955" t="s">
        <v>218</v>
      </c>
      <c r="J3955" s="4">
        <v>7764</v>
      </c>
      <c r="K3955" s="5">
        <v>0.12622359608449252</v>
      </c>
      <c r="L3955" s="5">
        <v>1.6872746007212776E-2</v>
      </c>
    </row>
    <row r="3956" spans="7:12">
      <c r="G3956" t="s">
        <v>4605</v>
      </c>
      <c r="H3956" t="s">
        <v>432</v>
      </c>
      <c r="I3956" t="s">
        <v>160</v>
      </c>
      <c r="J3956" s="4">
        <v>4879</v>
      </c>
      <c r="K3956" s="5">
        <v>0.12584546013527362</v>
      </c>
      <c r="L3956" s="5">
        <v>1.3732322197171552E-2</v>
      </c>
    </row>
    <row r="3957" spans="7:12">
      <c r="G3957" t="s">
        <v>4606</v>
      </c>
      <c r="H3957" t="s">
        <v>410</v>
      </c>
      <c r="I3957" t="s">
        <v>322</v>
      </c>
      <c r="J3957" s="4">
        <v>3460</v>
      </c>
      <c r="K3957" s="5">
        <v>0.12572254335260116</v>
      </c>
      <c r="L3957" s="5">
        <v>6.3583815028901737E-3</v>
      </c>
    </row>
    <row r="3958" spans="7:12">
      <c r="G3958" t="s">
        <v>4607</v>
      </c>
      <c r="H3958" t="s">
        <v>4495</v>
      </c>
      <c r="I3958" t="s">
        <v>218</v>
      </c>
      <c r="J3958" s="4">
        <v>1600</v>
      </c>
      <c r="K3958" s="5">
        <v>0.12562499999999999</v>
      </c>
      <c r="L3958" s="5">
        <v>1.1875E-2</v>
      </c>
    </row>
    <row r="3959" spans="7:12">
      <c r="G3959" t="s">
        <v>4608</v>
      </c>
      <c r="H3959" t="s">
        <v>349</v>
      </c>
      <c r="I3959" t="s">
        <v>236</v>
      </c>
      <c r="J3959" s="4">
        <v>2031</v>
      </c>
      <c r="K3959" s="5">
        <v>0.12555391432791729</v>
      </c>
      <c r="L3959" s="5">
        <v>5.9084194977843431E-3</v>
      </c>
    </row>
    <row r="3960" spans="7:12">
      <c r="G3960" t="s">
        <v>4609</v>
      </c>
      <c r="H3960" t="s">
        <v>326</v>
      </c>
      <c r="I3960" t="s">
        <v>529</v>
      </c>
      <c r="J3960" s="4">
        <v>3843</v>
      </c>
      <c r="K3960" s="5">
        <v>0.12542284673432214</v>
      </c>
      <c r="L3960" s="5">
        <v>5.9849076242518865E-3</v>
      </c>
    </row>
    <row r="3961" spans="7:12">
      <c r="G3961" t="s">
        <v>4610</v>
      </c>
      <c r="H3961" t="s">
        <v>459</v>
      </c>
      <c r="I3961" t="s">
        <v>140</v>
      </c>
      <c r="J3961" s="4">
        <v>1508</v>
      </c>
      <c r="K3961" s="5">
        <v>0.12533156498673739</v>
      </c>
      <c r="L3961" s="5">
        <v>4.442970822281167E-2</v>
      </c>
    </row>
    <row r="3962" spans="7:12">
      <c r="G3962" t="s">
        <v>4611</v>
      </c>
      <c r="H3962" t="s">
        <v>344</v>
      </c>
      <c r="I3962" t="s">
        <v>233</v>
      </c>
      <c r="J3962" s="4">
        <v>2597</v>
      </c>
      <c r="K3962" s="5">
        <v>0.12514439738159414</v>
      </c>
      <c r="L3962" s="5">
        <v>6.1609549480169425E-3</v>
      </c>
    </row>
    <row r="3963" spans="7:12">
      <c r="G3963" t="s">
        <v>4612</v>
      </c>
      <c r="H3963" t="s">
        <v>273</v>
      </c>
      <c r="I3963" t="s">
        <v>218</v>
      </c>
      <c r="J3963" s="4">
        <v>1111</v>
      </c>
      <c r="K3963" s="5">
        <v>0.1251125112511251</v>
      </c>
      <c r="L3963" s="5">
        <v>1.4401440144014401E-2</v>
      </c>
    </row>
    <row r="3964" spans="7:12">
      <c r="G3964" t="s">
        <v>4613</v>
      </c>
      <c r="H3964" t="s">
        <v>503</v>
      </c>
      <c r="I3964" t="s">
        <v>398</v>
      </c>
      <c r="J3964" s="4">
        <v>5286</v>
      </c>
      <c r="K3964" s="5">
        <v>0.12504729474082482</v>
      </c>
      <c r="L3964" s="5">
        <v>5.6753688989784334E-3</v>
      </c>
    </row>
    <row r="3965" spans="7:12">
      <c r="G3965" t="s">
        <v>4614</v>
      </c>
      <c r="H3965" t="s">
        <v>360</v>
      </c>
      <c r="I3965" t="s">
        <v>218</v>
      </c>
      <c r="J3965" s="4">
        <v>7143</v>
      </c>
      <c r="K3965" s="5">
        <v>0.12487750244995099</v>
      </c>
      <c r="L3965" s="5">
        <v>1.1059778804423912E-2</v>
      </c>
    </row>
    <row r="3966" spans="7:12">
      <c r="G3966" t="s">
        <v>4615</v>
      </c>
      <c r="H3966" t="s">
        <v>402</v>
      </c>
      <c r="I3966" t="s">
        <v>254</v>
      </c>
      <c r="J3966" s="4">
        <v>1227</v>
      </c>
      <c r="K3966" s="5">
        <v>0.12469437652811736</v>
      </c>
      <c r="L3966" s="5">
        <v>1.7114914425427872E-2</v>
      </c>
    </row>
    <row r="3967" spans="7:12">
      <c r="G3967" t="s">
        <v>4616</v>
      </c>
      <c r="H3967" t="s">
        <v>418</v>
      </c>
      <c r="I3967" t="s">
        <v>434</v>
      </c>
      <c r="J3967" s="4">
        <v>1051</v>
      </c>
      <c r="K3967" s="5">
        <v>0.12464319695528069</v>
      </c>
      <c r="L3967" s="5">
        <v>4.7573739295908657E-3</v>
      </c>
    </row>
    <row r="3968" spans="7:12">
      <c r="G3968" t="s">
        <v>4617</v>
      </c>
      <c r="H3968" t="s">
        <v>245</v>
      </c>
      <c r="I3968" t="s">
        <v>218</v>
      </c>
      <c r="J3968" s="4">
        <v>1100</v>
      </c>
      <c r="K3968" s="5">
        <v>0.12454545454545454</v>
      </c>
      <c r="L3968" s="5">
        <v>1.1818181818181818E-2</v>
      </c>
    </row>
    <row r="3969" spans="7:12">
      <c r="G3969" t="s">
        <v>4618</v>
      </c>
      <c r="H3969" t="s">
        <v>103</v>
      </c>
      <c r="I3969" t="s">
        <v>1701</v>
      </c>
      <c r="J3969" s="4">
        <v>1134</v>
      </c>
      <c r="K3969" s="5">
        <v>0.12433862433862433</v>
      </c>
      <c r="L3969" s="5">
        <v>1.6754850088183421E-2</v>
      </c>
    </row>
    <row r="3970" spans="7:12">
      <c r="G3970" t="s">
        <v>4619</v>
      </c>
      <c r="H3970" t="s">
        <v>221</v>
      </c>
      <c r="I3970" t="s">
        <v>461</v>
      </c>
      <c r="J3970" s="4">
        <v>1192</v>
      </c>
      <c r="K3970" s="5">
        <v>0.12416107382550336</v>
      </c>
      <c r="L3970" s="5">
        <v>6.7114093959731542E-3</v>
      </c>
    </row>
    <row r="3971" spans="7:12">
      <c r="G3971" t="s">
        <v>4620</v>
      </c>
      <c r="H3971" t="s">
        <v>511</v>
      </c>
      <c r="I3971" t="s">
        <v>218</v>
      </c>
      <c r="J3971" s="4">
        <v>4532</v>
      </c>
      <c r="K3971" s="5">
        <v>0.12400706090026478</v>
      </c>
      <c r="L3971" s="5">
        <v>1.2356575463371581E-2</v>
      </c>
    </row>
    <row r="3972" spans="7:12">
      <c r="G3972" t="s">
        <v>4621</v>
      </c>
      <c r="H3972" t="s">
        <v>366</v>
      </c>
      <c r="I3972" t="s">
        <v>322</v>
      </c>
      <c r="J3972" s="4">
        <v>3815</v>
      </c>
      <c r="K3972" s="5">
        <v>0.12398427260812582</v>
      </c>
      <c r="L3972" s="5">
        <v>4.7182175622542599E-3</v>
      </c>
    </row>
    <row r="3973" spans="7:12">
      <c r="G3973" t="s">
        <v>4622</v>
      </c>
      <c r="H3973" t="s">
        <v>436</v>
      </c>
      <c r="I3973" t="s">
        <v>377</v>
      </c>
      <c r="J3973" s="4">
        <v>1210</v>
      </c>
      <c r="K3973" s="5">
        <v>0.12396694214876033</v>
      </c>
      <c r="L3973" s="5">
        <v>1.3223140495867768E-2</v>
      </c>
    </row>
    <row r="3974" spans="7:12">
      <c r="G3974" t="s">
        <v>4623</v>
      </c>
      <c r="H3974" t="s">
        <v>434</v>
      </c>
      <c r="I3974" t="s">
        <v>370</v>
      </c>
      <c r="J3974" s="4">
        <v>6842</v>
      </c>
      <c r="K3974" s="5">
        <v>0.12379421221864952</v>
      </c>
      <c r="L3974" s="5">
        <v>1.7538731365097924E-3</v>
      </c>
    </row>
    <row r="3975" spans="7:12">
      <c r="G3975" t="s">
        <v>4624</v>
      </c>
      <c r="H3975" t="s">
        <v>370</v>
      </c>
      <c r="I3975" t="s">
        <v>451</v>
      </c>
      <c r="J3975" s="4">
        <v>4099</v>
      </c>
      <c r="K3975" s="5">
        <v>0.12368870456208832</v>
      </c>
      <c r="L3975" s="5">
        <v>1.463771651622347E-3</v>
      </c>
    </row>
    <row r="3976" spans="7:12">
      <c r="G3976" t="s">
        <v>4625</v>
      </c>
      <c r="H3976" t="s">
        <v>202</v>
      </c>
      <c r="I3976" t="s">
        <v>461</v>
      </c>
      <c r="J3976" s="4">
        <v>1108</v>
      </c>
      <c r="K3976" s="5">
        <v>0.12364620938628158</v>
      </c>
      <c r="L3976" s="5">
        <v>1.3537906137184115E-2</v>
      </c>
    </row>
    <row r="3977" spans="7:12">
      <c r="G3977" t="s">
        <v>4626</v>
      </c>
      <c r="H3977" t="s">
        <v>392</v>
      </c>
      <c r="I3977" t="s">
        <v>115</v>
      </c>
      <c r="J3977" s="4">
        <v>4831</v>
      </c>
      <c r="K3977" s="5">
        <v>0.12357689919271372</v>
      </c>
      <c r="L3977" s="5">
        <v>9.5218381287518108E-3</v>
      </c>
    </row>
    <row r="3978" spans="7:12">
      <c r="G3978" t="s">
        <v>4627</v>
      </c>
      <c r="H3978" t="s">
        <v>449</v>
      </c>
      <c r="I3978" t="s">
        <v>370</v>
      </c>
      <c r="J3978" s="4">
        <v>13351</v>
      </c>
      <c r="K3978" s="5">
        <v>0.12343644670811176</v>
      </c>
      <c r="L3978" s="5">
        <v>1.0710808179162609E-2</v>
      </c>
    </row>
    <row r="3979" spans="7:12">
      <c r="G3979" t="s">
        <v>4628</v>
      </c>
      <c r="H3979" t="s">
        <v>457</v>
      </c>
      <c r="I3979" t="s">
        <v>218</v>
      </c>
      <c r="J3979" s="4">
        <v>4562</v>
      </c>
      <c r="K3979" s="5">
        <v>0.12341078474353354</v>
      </c>
      <c r="L3979" s="5">
        <v>1.183691363437089E-2</v>
      </c>
    </row>
    <row r="3980" spans="7:12">
      <c r="G3980" t="s">
        <v>4629</v>
      </c>
      <c r="H3980" t="s">
        <v>505</v>
      </c>
      <c r="I3980" t="s">
        <v>268</v>
      </c>
      <c r="J3980" s="4">
        <v>3430</v>
      </c>
      <c r="K3980" s="5">
        <v>0.12332361516034986</v>
      </c>
      <c r="L3980" s="5">
        <v>9.6209912536443145E-3</v>
      </c>
    </row>
    <row r="3981" spans="7:12">
      <c r="G3981" t="s">
        <v>4630</v>
      </c>
      <c r="H3981" t="s">
        <v>449</v>
      </c>
      <c r="I3981" t="s">
        <v>486</v>
      </c>
      <c r="J3981" s="4">
        <v>2084</v>
      </c>
      <c r="K3981" s="5">
        <v>0.12332053742802303</v>
      </c>
      <c r="L3981" s="5">
        <v>1.0076775431861805E-2</v>
      </c>
    </row>
    <row r="3982" spans="7:12">
      <c r="G3982" t="s">
        <v>4631</v>
      </c>
      <c r="H3982" t="s">
        <v>368</v>
      </c>
      <c r="I3982" t="s">
        <v>322</v>
      </c>
      <c r="J3982" s="4">
        <v>1826</v>
      </c>
      <c r="K3982" s="5">
        <v>0.12322015334063527</v>
      </c>
      <c r="L3982" s="5">
        <v>1.8072289156626505E-2</v>
      </c>
    </row>
    <row r="3983" spans="7:12">
      <c r="G3983" t="s">
        <v>4632</v>
      </c>
      <c r="H3983" t="s">
        <v>263</v>
      </c>
      <c r="I3983" t="s">
        <v>218</v>
      </c>
      <c r="J3983" s="4">
        <v>6801</v>
      </c>
      <c r="K3983" s="5">
        <v>0.12321717394500808</v>
      </c>
      <c r="L3983" s="5">
        <v>8.2340832230554332E-3</v>
      </c>
    </row>
    <row r="3984" spans="7:12">
      <c r="G3984" t="s">
        <v>4633</v>
      </c>
      <c r="H3984" t="s">
        <v>443</v>
      </c>
      <c r="I3984" t="s">
        <v>215</v>
      </c>
      <c r="J3984" s="4">
        <v>4755</v>
      </c>
      <c r="K3984" s="5">
        <v>0.12302839116719243</v>
      </c>
      <c r="L3984" s="5">
        <v>8.4121976866456359E-3</v>
      </c>
    </row>
    <row r="3985" spans="7:12">
      <c r="G3985" t="s">
        <v>4634</v>
      </c>
      <c r="H3985" t="s">
        <v>349</v>
      </c>
      <c r="I3985" t="s">
        <v>218</v>
      </c>
      <c r="J3985" s="4">
        <v>3203</v>
      </c>
      <c r="K3985" s="5">
        <v>0.12300967842647519</v>
      </c>
      <c r="L3985" s="5">
        <v>7.8051826412738057E-3</v>
      </c>
    </row>
    <row r="3986" spans="7:12">
      <c r="G3986" t="s">
        <v>4635</v>
      </c>
      <c r="H3986" t="s">
        <v>282</v>
      </c>
      <c r="I3986" t="s">
        <v>134</v>
      </c>
      <c r="J3986" s="4">
        <v>2066</v>
      </c>
      <c r="K3986" s="5">
        <v>0.12294288480154889</v>
      </c>
      <c r="L3986" s="5">
        <v>1.5004840271055178E-2</v>
      </c>
    </row>
    <row r="3987" spans="7:12">
      <c r="G3987" t="s">
        <v>4636</v>
      </c>
      <c r="H3987" t="s">
        <v>334</v>
      </c>
      <c r="I3987" t="s">
        <v>322</v>
      </c>
      <c r="J3987" s="4">
        <v>2344</v>
      </c>
      <c r="K3987" s="5">
        <v>0.12286689419795221</v>
      </c>
      <c r="L3987" s="5">
        <v>6.3993174061433445E-3</v>
      </c>
    </row>
    <row r="3988" spans="7:12">
      <c r="G3988" t="s">
        <v>4637</v>
      </c>
      <c r="H3988" t="s">
        <v>326</v>
      </c>
      <c r="I3988" t="s">
        <v>527</v>
      </c>
      <c r="J3988" s="4">
        <v>1132</v>
      </c>
      <c r="K3988" s="5">
        <v>0.12279151943462897</v>
      </c>
      <c r="L3988" s="5">
        <v>0</v>
      </c>
    </row>
    <row r="3989" spans="7:12">
      <c r="G3989" t="s">
        <v>4638</v>
      </c>
      <c r="H3989" t="s">
        <v>370</v>
      </c>
      <c r="I3989" t="s">
        <v>358</v>
      </c>
      <c r="J3989" s="4">
        <v>2179</v>
      </c>
      <c r="K3989" s="5">
        <v>0.12253327214318495</v>
      </c>
      <c r="L3989" s="5">
        <v>5.9660394676457089E-3</v>
      </c>
    </row>
    <row r="3990" spans="7:12">
      <c r="G3990" t="s">
        <v>4639</v>
      </c>
      <c r="H3990" t="s">
        <v>455</v>
      </c>
      <c r="I3990" t="s">
        <v>100</v>
      </c>
      <c r="J3990" s="4">
        <v>1217</v>
      </c>
      <c r="K3990" s="5">
        <v>0.12243221035332785</v>
      </c>
      <c r="L3990" s="5">
        <v>1.314708299096138E-2</v>
      </c>
    </row>
    <row r="3991" spans="7:12">
      <c r="G3991" t="s">
        <v>4640</v>
      </c>
      <c r="H3991" t="s">
        <v>529</v>
      </c>
      <c r="I3991" t="s">
        <v>89</v>
      </c>
      <c r="J3991" s="4">
        <v>1185</v>
      </c>
      <c r="K3991" s="5">
        <v>0.12236286919831224</v>
      </c>
      <c r="L3991" s="5">
        <v>1.2658227848101266E-2</v>
      </c>
    </row>
    <row r="3992" spans="7:12">
      <c r="G3992" t="s">
        <v>4641</v>
      </c>
      <c r="H3992" t="s">
        <v>370</v>
      </c>
      <c r="I3992" t="s">
        <v>440</v>
      </c>
      <c r="J3992" s="4">
        <v>1480</v>
      </c>
      <c r="K3992" s="5">
        <v>0.1222972972972973</v>
      </c>
      <c r="L3992" s="5">
        <v>8.7837837837837843E-3</v>
      </c>
    </row>
    <row r="3993" spans="7:12">
      <c r="G3993" t="s">
        <v>4642</v>
      </c>
      <c r="H3993" t="s">
        <v>322</v>
      </c>
      <c r="I3993" t="s">
        <v>324</v>
      </c>
      <c r="J3993" s="4">
        <v>1840</v>
      </c>
      <c r="K3993" s="5">
        <v>0.12228260869565218</v>
      </c>
      <c r="L3993" s="5">
        <v>7.0652173913043478E-3</v>
      </c>
    </row>
    <row r="3994" spans="7:12">
      <c r="G3994" t="s">
        <v>4643</v>
      </c>
      <c r="H3994" t="s">
        <v>326</v>
      </c>
      <c r="I3994" t="s">
        <v>440</v>
      </c>
      <c r="J3994" s="4">
        <v>2192</v>
      </c>
      <c r="K3994" s="5">
        <v>0.12226277372262774</v>
      </c>
      <c r="L3994" s="5">
        <v>3.1934306569343066E-3</v>
      </c>
    </row>
    <row r="3995" spans="7:12">
      <c r="G3995" t="s">
        <v>4644</v>
      </c>
      <c r="H3995" t="s">
        <v>372</v>
      </c>
      <c r="I3995" t="s">
        <v>218</v>
      </c>
      <c r="J3995" s="4">
        <v>10157</v>
      </c>
      <c r="K3995" s="5">
        <v>0.12218174657871418</v>
      </c>
      <c r="L3995" s="5">
        <v>1.1519149355124545E-2</v>
      </c>
    </row>
    <row r="3996" spans="7:12">
      <c r="G3996" t="s">
        <v>4645</v>
      </c>
      <c r="H3996" t="s">
        <v>461</v>
      </c>
      <c r="I3996" t="s">
        <v>503</v>
      </c>
      <c r="J3996" s="4">
        <v>4619</v>
      </c>
      <c r="K3996" s="5">
        <v>0.12188785451396406</v>
      </c>
      <c r="L3996" s="5">
        <v>1.9484736956051094E-3</v>
      </c>
    </row>
    <row r="3997" spans="7:12">
      <c r="G3997" t="s">
        <v>4646</v>
      </c>
      <c r="H3997" t="s">
        <v>414</v>
      </c>
      <c r="I3997" t="s">
        <v>322</v>
      </c>
      <c r="J3997" s="4">
        <v>4246</v>
      </c>
      <c r="K3997" s="5">
        <v>0.12176165803108809</v>
      </c>
      <c r="L3997" s="5">
        <v>5.1813471502590676E-3</v>
      </c>
    </row>
    <row r="3998" spans="7:12">
      <c r="G3998" t="s">
        <v>4647</v>
      </c>
      <c r="H3998" t="s">
        <v>422</v>
      </c>
      <c r="I3998" t="s">
        <v>149</v>
      </c>
      <c r="J3998" s="4">
        <v>5356</v>
      </c>
      <c r="K3998" s="5">
        <v>0.12173263629574309</v>
      </c>
      <c r="L3998" s="5">
        <v>1.9417475728155338E-2</v>
      </c>
    </row>
    <row r="3999" spans="7:12">
      <c r="G3999" t="s">
        <v>4648</v>
      </c>
      <c r="H3999" t="s">
        <v>342</v>
      </c>
      <c r="I3999" t="s">
        <v>218</v>
      </c>
      <c r="J3999" s="4">
        <v>8567</v>
      </c>
      <c r="K3999" s="5">
        <v>0.12162950857943271</v>
      </c>
      <c r="L3999" s="5">
        <v>1.0622154779969651E-2</v>
      </c>
    </row>
    <row r="4000" spans="7:12">
      <c r="G4000" t="s">
        <v>4649</v>
      </c>
      <c r="H4000" t="s">
        <v>525</v>
      </c>
      <c r="I4000" t="s">
        <v>486</v>
      </c>
      <c r="J4000" s="4">
        <v>4819</v>
      </c>
      <c r="K4000" s="5">
        <v>0.1213944801826105</v>
      </c>
      <c r="L4000" s="5">
        <v>1.6600954554886907E-3</v>
      </c>
    </row>
    <row r="4001" spans="7:12">
      <c r="G4001" t="s">
        <v>4650</v>
      </c>
      <c r="H4001" t="s">
        <v>358</v>
      </c>
      <c r="I4001" t="s">
        <v>370</v>
      </c>
      <c r="J4001" s="4">
        <v>2178</v>
      </c>
      <c r="K4001" s="5">
        <v>0.12121212121212122</v>
      </c>
      <c r="L4001" s="5">
        <v>5.9687786960514232E-3</v>
      </c>
    </row>
    <row r="4002" spans="7:12">
      <c r="G4002" t="s">
        <v>4651</v>
      </c>
      <c r="H4002" t="s">
        <v>4601</v>
      </c>
      <c r="I4002" t="s">
        <v>377</v>
      </c>
      <c r="J4002" s="4">
        <v>2207</v>
      </c>
      <c r="K4002" s="5">
        <v>0.12097870412324423</v>
      </c>
      <c r="L4002" s="5">
        <v>1.1780697779791573E-2</v>
      </c>
    </row>
    <row r="4003" spans="7:12">
      <c r="G4003" t="s">
        <v>4652</v>
      </c>
      <c r="H4003" t="s">
        <v>370</v>
      </c>
      <c r="I4003" t="s">
        <v>484</v>
      </c>
      <c r="J4003" s="4">
        <v>4211</v>
      </c>
      <c r="K4003" s="5">
        <v>0.12087390168606031</v>
      </c>
      <c r="L4003" s="5">
        <v>1.89978627404417E-3</v>
      </c>
    </row>
    <row r="4004" spans="7:12">
      <c r="G4004" t="s">
        <v>4653</v>
      </c>
      <c r="H4004" t="s">
        <v>406</v>
      </c>
      <c r="I4004" t="s">
        <v>236</v>
      </c>
      <c r="J4004" s="4">
        <v>2321</v>
      </c>
      <c r="K4004" s="5">
        <v>0.12063765618267988</v>
      </c>
      <c r="L4004" s="5">
        <v>6.4627315812149939E-3</v>
      </c>
    </row>
    <row r="4005" spans="7:12">
      <c r="G4005" t="s">
        <v>4654</v>
      </c>
      <c r="H4005" t="s">
        <v>278</v>
      </c>
      <c r="I4005" t="s">
        <v>370</v>
      </c>
      <c r="J4005" s="4">
        <v>1742</v>
      </c>
      <c r="K4005" s="5">
        <v>0.12055109070034443</v>
      </c>
      <c r="L4005" s="5">
        <v>1.1481056257175661E-2</v>
      </c>
    </row>
    <row r="4006" spans="7:12">
      <c r="G4006" t="s">
        <v>4655</v>
      </c>
      <c r="H4006" t="s">
        <v>370</v>
      </c>
      <c r="I4006" t="s">
        <v>305</v>
      </c>
      <c r="J4006" s="4">
        <v>1304</v>
      </c>
      <c r="K4006" s="5">
        <v>0.12039877300613497</v>
      </c>
      <c r="L4006" s="5">
        <v>2.3006134969325155E-3</v>
      </c>
    </row>
    <row r="4007" spans="7:12">
      <c r="G4007" t="s">
        <v>4656</v>
      </c>
      <c r="H4007" t="s">
        <v>449</v>
      </c>
      <c r="I4007" t="s">
        <v>136</v>
      </c>
      <c r="J4007" s="4">
        <v>1695</v>
      </c>
      <c r="K4007" s="5">
        <v>0.12035398230088495</v>
      </c>
      <c r="L4007" s="5">
        <v>3.5398230088495575E-3</v>
      </c>
    </row>
    <row r="4008" spans="7:12">
      <c r="G4008" t="s">
        <v>4657</v>
      </c>
      <c r="H4008" t="s">
        <v>346</v>
      </c>
      <c r="I4008" t="s">
        <v>410</v>
      </c>
      <c r="J4008" s="4">
        <v>1280</v>
      </c>
      <c r="K4008" s="5">
        <v>0.1203125</v>
      </c>
      <c r="L4008" s="5">
        <v>8.5937500000000007E-3</v>
      </c>
    </row>
    <row r="4009" spans="7:12">
      <c r="G4009" t="s">
        <v>4658</v>
      </c>
      <c r="H4009" t="s">
        <v>370</v>
      </c>
      <c r="I4009" t="s">
        <v>406</v>
      </c>
      <c r="J4009" s="4">
        <v>1281</v>
      </c>
      <c r="K4009" s="5">
        <v>0.12021857923497267</v>
      </c>
      <c r="L4009" s="5">
        <v>3.1225604996096799E-3</v>
      </c>
    </row>
    <row r="4010" spans="7:12">
      <c r="G4010" t="s">
        <v>4659</v>
      </c>
      <c r="H4010" t="s">
        <v>414</v>
      </c>
      <c r="I4010" t="s">
        <v>346</v>
      </c>
      <c r="J4010" s="4">
        <v>2513</v>
      </c>
      <c r="K4010" s="5">
        <v>0.12017508953442101</v>
      </c>
      <c r="L4010" s="5">
        <v>1.1142061281337047E-2</v>
      </c>
    </row>
    <row r="4011" spans="7:12">
      <c r="G4011" t="s">
        <v>4660</v>
      </c>
      <c r="H4011" t="s">
        <v>182</v>
      </c>
      <c r="I4011" t="s">
        <v>137</v>
      </c>
      <c r="J4011" s="4">
        <v>2863</v>
      </c>
      <c r="K4011" s="5">
        <v>0.12015368494586098</v>
      </c>
      <c r="L4011" s="5">
        <v>1.1875654907439748E-2</v>
      </c>
    </row>
    <row r="4012" spans="7:12">
      <c r="G4012" t="s">
        <v>4661</v>
      </c>
      <c r="H4012" t="s">
        <v>331</v>
      </c>
      <c r="I4012" t="s">
        <v>322</v>
      </c>
      <c r="J4012" s="4">
        <v>2787</v>
      </c>
      <c r="K4012" s="5">
        <v>0.1198421241478292</v>
      </c>
      <c r="L4012" s="5">
        <v>4.3057050592034442E-3</v>
      </c>
    </row>
    <row r="4013" spans="7:12">
      <c r="G4013" t="s">
        <v>4662</v>
      </c>
      <c r="H4013" t="s">
        <v>491</v>
      </c>
      <c r="I4013" t="s">
        <v>103</v>
      </c>
      <c r="J4013" s="4">
        <v>1636</v>
      </c>
      <c r="K4013" s="5">
        <v>0.11980440097799511</v>
      </c>
      <c r="L4013" s="5">
        <v>1.8337408312958435E-3</v>
      </c>
    </row>
    <row r="4014" spans="7:12">
      <c r="G4014" t="s">
        <v>4663</v>
      </c>
      <c r="H4014" t="s">
        <v>398</v>
      </c>
      <c r="I4014" t="s">
        <v>503</v>
      </c>
      <c r="J4014" s="4">
        <v>5287</v>
      </c>
      <c r="K4014" s="5">
        <v>0.11972763381880083</v>
      </c>
      <c r="L4014" s="5">
        <v>3.5937204463779081E-3</v>
      </c>
    </row>
    <row r="4015" spans="7:12">
      <c r="G4015" t="s">
        <v>4664</v>
      </c>
      <c r="H4015" t="s">
        <v>509</v>
      </c>
      <c r="I4015" t="s">
        <v>218</v>
      </c>
      <c r="J4015" s="4">
        <v>3727</v>
      </c>
      <c r="K4015" s="5">
        <v>0.11966729272873625</v>
      </c>
      <c r="L4015" s="5">
        <v>1.2074054199087738E-2</v>
      </c>
    </row>
    <row r="4016" spans="7:12">
      <c r="G4016" t="s">
        <v>4665</v>
      </c>
      <c r="H4016" t="s">
        <v>461</v>
      </c>
      <c r="I4016" t="s">
        <v>374</v>
      </c>
      <c r="J4016" s="4">
        <v>2126</v>
      </c>
      <c r="K4016" s="5">
        <v>0.11947318908748825</v>
      </c>
      <c r="L4016" s="5">
        <v>1.4111006585136407E-3</v>
      </c>
    </row>
    <row r="4017" spans="7:12">
      <c r="G4017" t="s">
        <v>4666</v>
      </c>
      <c r="H4017" t="s">
        <v>495</v>
      </c>
      <c r="I4017" t="s">
        <v>134</v>
      </c>
      <c r="J4017" s="4">
        <v>1182</v>
      </c>
      <c r="K4017" s="5">
        <v>0.11928934010152284</v>
      </c>
      <c r="L4017" s="5">
        <v>8.4602368866328256E-3</v>
      </c>
    </row>
    <row r="4018" spans="7:12">
      <c r="G4018" t="s">
        <v>4667</v>
      </c>
      <c r="H4018" t="s">
        <v>438</v>
      </c>
      <c r="I4018" t="s">
        <v>103</v>
      </c>
      <c r="J4018" s="4">
        <v>1728</v>
      </c>
      <c r="K4018" s="5">
        <v>0.11921296296296297</v>
      </c>
      <c r="L4018" s="5">
        <v>7.5231481481481477E-3</v>
      </c>
    </row>
    <row r="4019" spans="7:12">
      <c r="G4019" t="s">
        <v>4668</v>
      </c>
      <c r="H4019" t="s">
        <v>352</v>
      </c>
      <c r="I4019" t="s">
        <v>461</v>
      </c>
      <c r="J4019" s="4">
        <v>2981</v>
      </c>
      <c r="K4019" s="5">
        <v>0.11908755451190875</v>
      </c>
      <c r="L4019" s="5">
        <v>9.0573633009057367E-3</v>
      </c>
    </row>
    <row r="4020" spans="7:12">
      <c r="G4020" t="s">
        <v>4669</v>
      </c>
      <c r="H4020" t="s">
        <v>4341</v>
      </c>
      <c r="I4020" t="s">
        <v>377</v>
      </c>
      <c r="J4020" s="4">
        <v>2276</v>
      </c>
      <c r="K4020" s="5">
        <v>0.11906854130052724</v>
      </c>
      <c r="L4020" s="5">
        <v>1.3620386643233744E-2</v>
      </c>
    </row>
    <row r="4021" spans="7:12">
      <c r="G4021" t="s">
        <v>4670</v>
      </c>
      <c r="H4021" t="s">
        <v>382</v>
      </c>
      <c r="I4021" t="s">
        <v>160</v>
      </c>
      <c r="J4021" s="4">
        <v>3891</v>
      </c>
      <c r="K4021" s="5">
        <v>0.11899254690310974</v>
      </c>
      <c r="L4021" s="5">
        <v>1.0280133641737342E-2</v>
      </c>
    </row>
    <row r="4022" spans="7:12">
      <c r="G4022" t="s">
        <v>4671</v>
      </c>
      <c r="H4022" t="s">
        <v>503</v>
      </c>
      <c r="I4022" t="s">
        <v>233</v>
      </c>
      <c r="J4022" s="4">
        <v>1105</v>
      </c>
      <c r="K4022" s="5">
        <v>0.11855203619909502</v>
      </c>
      <c r="L4022" s="5">
        <v>3.6199095022624436E-3</v>
      </c>
    </row>
    <row r="4023" spans="7:12">
      <c r="G4023" t="s">
        <v>4672</v>
      </c>
      <c r="H4023" t="s">
        <v>482</v>
      </c>
      <c r="I4023" t="s">
        <v>218</v>
      </c>
      <c r="J4023" s="4">
        <v>3310</v>
      </c>
      <c r="K4023" s="5">
        <v>0.11842900302114803</v>
      </c>
      <c r="L4023" s="5">
        <v>5.1359516616314204E-3</v>
      </c>
    </row>
    <row r="4024" spans="7:12">
      <c r="G4024" t="s">
        <v>4673</v>
      </c>
      <c r="H4024" t="s">
        <v>149</v>
      </c>
      <c r="I4024" t="s">
        <v>390</v>
      </c>
      <c r="J4024" s="4">
        <v>1098</v>
      </c>
      <c r="K4024" s="5">
        <v>0.11839708561020036</v>
      </c>
      <c r="L4024" s="5">
        <v>4.5537340619307837E-3</v>
      </c>
    </row>
    <row r="4025" spans="7:12">
      <c r="G4025" t="s">
        <v>4674</v>
      </c>
      <c r="H4025" t="s">
        <v>372</v>
      </c>
      <c r="I4025" t="s">
        <v>377</v>
      </c>
      <c r="J4025" s="4">
        <v>2629</v>
      </c>
      <c r="K4025" s="5">
        <v>0.11829593001141119</v>
      </c>
      <c r="L4025" s="5">
        <v>1.2552301255230125E-2</v>
      </c>
    </row>
    <row r="4026" spans="7:12">
      <c r="G4026" t="s">
        <v>4675</v>
      </c>
      <c r="H4026" t="s">
        <v>463</v>
      </c>
      <c r="I4026" t="s">
        <v>4676</v>
      </c>
      <c r="J4026" s="4">
        <v>1522</v>
      </c>
      <c r="K4026" s="5">
        <v>0.11826544021024968</v>
      </c>
      <c r="L4026" s="5">
        <v>2.0367936925098553E-2</v>
      </c>
    </row>
    <row r="4027" spans="7:12">
      <c r="G4027" t="s">
        <v>4677</v>
      </c>
      <c r="H4027" t="s">
        <v>461</v>
      </c>
      <c r="I4027" t="s">
        <v>466</v>
      </c>
      <c r="J4027" s="4">
        <v>3540</v>
      </c>
      <c r="K4027" s="5">
        <v>0.11807909604519774</v>
      </c>
      <c r="L4027" s="5">
        <v>1.1016949152542373E-2</v>
      </c>
    </row>
    <row r="4028" spans="7:12">
      <c r="G4028" t="s">
        <v>4678</v>
      </c>
      <c r="H4028" t="s">
        <v>426</v>
      </c>
      <c r="I4028" t="s">
        <v>259</v>
      </c>
      <c r="J4028" s="4">
        <v>1347</v>
      </c>
      <c r="K4028" s="5">
        <v>0.11804008908685969</v>
      </c>
      <c r="L4028" s="5">
        <v>2.5241276911655532E-2</v>
      </c>
    </row>
    <row r="4029" spans="7:12">
      <c r="G4029" t="s">
        <v>4679</v>
      </c>
      <c r="H4029" t="s">
        <v>489</v>
      </c>
      <c r="I4029" t="s">
        <v>268</v>
      </c>
      <c r="J4029" s="4">
        <v>1085</v>
      </c>
      <c r="K4029" s="5">
        <v>0.11797235023041475</v>
      </c>
      <c r="L4029" s="5">
        <v>3.6866359447004608E-3</v>
      </c>
    </row>
    <row r="4030" spans="7:12">
      <c r="G4030" t="s">
        <v>4680</v>
      </c>
      <c r="H4030" t="s">
        <v>370</v>
      </c>
      <c r="I4030" t="s">
        <v>507</v>
      </c>
      <c r="J4030" s="4">
        <v>2364</v>
      </c>
      <c r="K4030" s="5">
        <v>0.11759729272419628</v>
      </c>
      <c r="L4030" s="5">
        <v>4.6531302876480539E-3</v>
      </c>
    </row>
    <row r="4031" spans="7:12">
      <c r="G4031" t="s">
        <v>4681</v>
      </c>
      <c r="H4031" t="s">
        <v>461</v>
      </c>
      <c r="I4031" t="s">
        <v>527</v>
      </c>
      <c r="J4031" s="4">
        <v>3284</v>
      </c>
      <c r="K4031" s="5">
        <v>0.11753958587088915</v>
      </c>
      <c r="L4031" s="5">
        <v>2.1315468940316688E-3</v>
      </c>
    </row>
    <row r="4032" spans="7:12">
      <c r="G4032" t="s">
        <v>4682</v>
      </c>
      <c r="H4032" t="s">
        <v>422</v>
      </c>
      <c r="I4032" t="s">
        <v>218</v>
      </c>
      <c r="J4032" s="4">
        <v>8408</v>
      </c>
      <c r="K4032" s="5">
        <v>0.11750713606089438</v>
      </c>
      <c r="L4032" s="5">
        <v>9.8715509039010458E-3</v>
      </c>
    </row>
    <row r="4033" spans="7:12">
      <c r="G4033" t="s">
        <v>4683</v>
      </c>
      <c r="H4033" t="s">
        <v>453</v>
      </c>
      <c r="I4033" t="s">
        <v>137</v>
      </c>
      <c r="J4033" s="4">
        <v>1481</v>
      </c>
      <c r="K4033" s="5">
        <v>0.1174881836596894</v>
      </c>
      <c r="L4033" s="5">
        <v>1.8906144496961513E-2</v>
      </c>
    </row>
    <row r="4034" spans="7:12">
      <c r="G4034" t="s">
        <v>4684</v>
      </c>
      <c r="H4034" t="s">
        <v>501</v>
      </c>
      <c r="I4034" t="s">
        <v>131</v>
      </c>
      <c r="J4034" s="4">
        <v>2213</v>
      </c>
      <c r="K4034" s="5">
        <v>0.1174875734297334</v>
      </c>
      <c r="L4034" s="5">
        <v>5.8743786714866696E-3</v>
      </c>
    </row>
    <row r="4035" spans="7:12">
      <c r="G4035" t="s">
        <v>4685</v>
      </c>
      <c r="H4035" t="s">
        <v>507</v>
      </c>
      <c r="I4035" t="s">
        <v>461</v>
      </c>
      <c r="J4035" s="4">
        <v>5066</v>
      </c>
      <c r="K4035" s="5">
        <v>0.1174496644295302</v>
      </c>
      <c r="L4035" s="5">
        <v>5.5270430319778914E-3</v>
      </c>
    </row>
    <row r="4036" spans="7:12">
      <c r="G4036" t="s">
        <v>4686</v>
      </c>
      <c r="H4036" t="s">
        <v>398</v>
      </c>
      <c r="I4036" t="s">
        <v>461</v>
      </c>
      <c r="J4036" s="4">
        <v>5841</v>
      </c>
      <c r="K4036" s="5">
        <v>0.11727443930833761</v>
      </c>
      <c r="L4036" s="5">
        <v>2.5680534155110425E-3</v>
      </c>
    </row>
    <row r="4037" spans="7:12">
      <c r="G4037" t="s">
        <v>4687</v>
      </c>
      <c r="H4037" t="s">
        <v>463</v>
      </c>
      <c r="I4037" t="s">
        <v>449</v>
      </c>
      <c r="J4037" s="4">
        <v>1740</v>
      </c>
      <c r="K4037" s="5">
        <v>0.11666666666666667</v>
      </c>
      <c r="L4037" s="5">
        <v>5.7471264367816091E-3</v>
      </c>
    </row>
    <row r="4038" spans="7:12">
      <c r="G4038" t="s">
        <v>4688</v>
      </c>
      <c r="H4038" t="s">
        <v>445</v>
      </c>
      <c r="I4038" t="s">
        <v>218</v>
      </c>
      <c r="J4038" s="4">
        <v>5419</v>
      </c>
      <c r="K4038" s="5">
        <v>0.11662668389001661</v>
      </c>
      <c r="L4038" s="5">
        <v>1.2548440671710648E-2</v>
      </c>
    </row>
    <row r="4039" spans="7:12">
      <c r="G4039" t="s">
        <v>4689</v>
      </c>
      <c r="H4039" t="s">
        <v>338</v>
      </c>
      <c r="I4039" t="s">
        <v>218</v>
      </c>
      <c r="J4039" s="4">
        <v>2358</v>
      </c>
      <c r="K4039" s="5">
        <v>0.11662425784563189</v>
      </c>
      <c r="L4039" s="5">
        <v>8.0576759966072935E-3</v>
      </c>
    </row>
    <row r="4040" spans="7:12">
      <c r="G4040" t="s">
        <v>4690</v>
      </c>
      <c r="H4040" t="s">
        <v>162</v>
      </c>
      <c r="I4040" t="s">
        <v>410</v>
      </c>
      <c r="J4040" s="4">
        <v>2136</v>
      </c>
      <c r="K4040" s="5">
        <v>0.11657303370786516</v>
      </c>
      <c r="L4040" s="5">
        <v>1.1704119850187267E-2</v>
      </c>
    </row>
    <row r="4041" spans="7:12">
      <c r="G4041" t="s">
        <v>4691</v>
      </c>
      <c r="H4041" t="s">
        <v>324</v>
      </c>
      <c r="I4041" t="s">
        <v>218</v>
      </c>
      <c r="J4041" s="4">
        <v>3511</v>
      </c>
      <c r="K4041" s="5">
        <v>0.11649102819709485</v>
      </c>
      <c r="L4041" s="5">
        <v>9.6838507547707207E-3</v>
      </c>
    </row>
    <row r="4042" spans="7:12">
      <c r="G4042" t="s">
        <v>4692</v>
      </c>
      <c r="H4042" t="s">
        <v>479</v>
      </c>
      <c r="I4042" t="s">
        <v>218</v>
      </c>
      <c r="J4042" s="4">
        <v>8085</v>
      </c>
      <c r="K4042" s="5">
        <v>0.11614100185528757</v>
      </c>
      <c r="L4042" s="5">
        <v>7.6685219542362397E-3</v>
      </c>
    </row>
    <row r="4043" spans="7:12">
      <c r="G4043" t="s">
        <v>4693</v>
      </c>
      <c r="H4043" t="s">
        <v>388</v>
      </c>
      <c r="I4043" t="s">
        <v>259</v>
      </c>
      <c r="J4043" s="4">
        <v>1946</v>
      </c>
      <c r="K4043" s="5">
        <v>0.11613566289825282</v>
      </c>
      <c r="L4043" s="5">
        <v>3.5971223021582732E-2</v>
      </c>
    </row>
    <row r="4044" spans="7:12">
      <c r="G4044" t="s">
        <v>4694</v>
      </c>
      <c r="H4044" t="s">
        <v>374</v>
      </c>
      <c r="I4044" t="s">
        <v>218</v>
      </c>
      <c r="J4044" s="4">
        <v>5950</v>
      </c>
      <c r="K4044" s="5">
        <v>0.1161344537815126</v>
      </c>
      <c r="L4044" s="5">
        <v>8.9075630252100843E-3</v>
      </c>
    </row>
    <row r="4045" spans="7:12">
      <c r="G4045" t="s">
        <v>4695</v>
      </c>
      <c r="H4045" t="s">
        <v>228</v>
      </c>
      <c r="I4045" t="s">
        <v>461</v>
      </c>
      <c r="J4045" s="4">
        <v>3456</v>
      </c>
      <c r="K4045" s="5">
        <v>0.11603009259259259</v>
      </c>
      <c r="L4045" s="5">
        <v>7.2337962962962963E-3</v>
      </c>
    </row>
    <row r="4046" spans="7:12">
      <c r="G4046" t="s">
        <v>4696</v>
      </c>
      <c r="H4046" t="s">
        <v>418</v>
      </c>
      <c r="I4046" t="s">
        <v>461</v>
      </c>
      <c r="J4046" s="4">
        <v>4312</v>
      </c>
      <c r="K4046" s="5">
        <v>0.11595547309833024</v>
      </c>
      <c r="L4046" s="5">
        <v>4.4063079777365488E-3</v>
      </c>
    </row>
    <row r="4047" spans="7:12">
      <c r="G4047" t="s">
        <v>4697</v>
      </c>
      <c r="H4047" t="s">
        <v>256</v>
      </c>
      <c r="I4047" t="s">
        <v>259</v>
      </c>
      <c r="J4047" s="4">
        <v>2363</v>
      </c>
      <c r="K4047" s="5">
        <v>0.11595429538721963</v>
      </c>
      <c r="L4047" s="5">
        <v>4.5281421921286501E-2</v>
      </c>
    </row>
    <row r="4048" spans="7:12">
      <c r="G4048" t="s">
        <v>4698</v>
      </c>
      <c r="H4048" t="s">
        <v>428</v>
      </c>
      <c r="I4048" t="s">
        <v>218</v>
      </c>
      <c r="J4048" s="4">
        <v>3511</v>
      </c>
      <c r="K4048" s="5">
        <v>0.11563657077755625</v>
      </c>
      <c r="L4048" s="5">
        <v>8.5445741953859306E-3</v>
      </c>
    </row>
    <row r="4049" spans="7:12">
      <c r="G4049" t="s">
        <v>4699</v>
      </c>
      <c r="H4049" t="s">
        <v>182</v>
      </c>
      <c r="I4049" t="s">
        <v>370</v>
      </c>
      <c r="J4049" s="4">
        <v>6441</v>
      </c>
      <c r="K4049" s="5">
        <v>0.11551001397298556</v>
      </c>
      <c r="L4049" s="5">
        <v>5.1234280391243593E-3</v>
      </c>
    </row>
    <row r="4050" spans="7:12">
      <c r="G4050" t="s">
        <v>4700</v>
      </c>
      <c r="H4050" t="s">
        <v>463</v>
      </c>
      <c r="I4050" t="s">
        <v>468</v>
      </c>
      <c r="J4050" s="4">
        <v>2398</v>
      </c>
      <c r="K4050" s="5">
        <v>0.11509591326105087</v>
      </c>
      <c r="L4050" s="5">
        <v>7.5062552126772307E-3</v>
      </c>
    </row>
    <row r="4051" spans="7:12">
      <c r="G4051" t="s">
        <v>4701</v>
      </c>
      <c r="H4051" t="s">
        <v>484</v>
      </c>
      <c r="I4051" t="s">
        <v>461</v>
      </c>
      <c r="J4051" s="4">
        <v>5106</v>
      </c>
      <c r="K4051" s="5">
        <v>0.11496278887583235</v>
      </c>
      <c r="L4051" s="5">
        <v>6.4629847238542888E-3</v>
      </c>
    </row>
    <row r="4052" spans="7:12">
      <c r="G4052" t="s">
        <v>4702</v>
      </c>
      <c r="H4052" t="s">
        <v>451</v>
      </c>
      <c r="I4052" t="s">
        <v>218</v>
      </c>
      <c r="J4052" s="4">
        <v>2113</v>
      </c>
      <c r="K4052" s="5">
        <v>0.11452910553715097</v>
      </c>
      <c r="L4052" s="5">
        <v>8.0454330336015151E-3</v>
      </c>
    </row>
    <row r="4053" spans="7:12">
      <c r="G4053" t="s">
        <v>4703</v>
      </c>
      <c r="H4053" t="s">
        <v>218</v>
      </c>
      <c r="I4053" t="s">
        <v>338</v>
      </c>
      <c r="J4053" s="4">
        <v>2359</v>
      </c>
      <c r="K4053" s="5">
        <v>0.11445527766002543</v>
      </c>
      <c r="L4053" s="5">
        <v>6.7825349724459517E-3</v>
      </c>
    </row>
    <row r="4054" spans="7:12">
      <c r="G4054" t="s">
        <v>4704</v>
      </c>
      <c r="H4054" t="s">
        <v>252</v>
      </c>
      <c r="I4054" t="s">
        <v>422</v>
      </c>
      <c r="J4054" s="4">
        <v>2125</v>
      </c>
      <c r="K4054" s="5">
        <v>0.11435294117647059</v>
      </c>
      <c r="L4054" s="5">
        <v>1.0352941176470589E-2</v>
      </c>
    </row>
    <row r="4055" spans="7:12">
      <c r="G4055" t="s">
        <v>4705</v>
      </c>
      <c r="H4055" t="s">
        <v>503</v>
      </c>
      <c r="I4055" t="s">
        <v>461</v>
      </c>
      <c r="J4055" s="4">
        <v>4619</v>
      </c>
      <c r="K4055" s="5">
        <v>0.11409395973154363</v>
      </c>
      <c r="L4055" s="5">
        <v>2.1649707728945661E-3</v>
      </c>
    </row>
    <row r="4056" spans="7:12">
      <c r="G4056" t="s">
        <v>4706</v>
      </c>
      <c r="H4056" t="s">
        <v>461</v>
      </c>
      <c r="I4056" t="s">
        <v>386</v>
      </c>
      <c r="J4056" s="4">
        <v>3436</v>
      </c>
      <c r="K4056" s="5">
        <v>0.1140861466821886</v>
      </c>
      <c r="L4056" s="5">
        <v>4.3655413271245632E-3</v>
      </c>
    </row>
    <row r="4057" spans="7:12">
      <c r="G4057" t="s">
        <v>4707</v>
      </c>
      <c r="H4057" t="s">
        <v>218</v>
      </c>
      <c r="I4057" t="s">
        <v>4708</v>
      </c>
      <c r="J4057" s="4">
        <v>1534</v>
      </c>
      <c r="K4057" s="5">
        <v>0.11408083441981746</v>
      </c>
      <c r="L4057" s="5">
        <v>7.1707953063885263E-3</v>
      </c>
    </row>
    <row r="4058" spans="7:12">
      <c r="G4058" t="s">
        <v>4709</v>
      </c>
      <c r="H4058" t="s">
        <v>484</v>
      </c>
      <c r="I4058" t="s">
        <v>489</v>
      </c>
      <c r="J4058" s="4">
        <v>2113</v>
      </c>
      <c r="K4058" s="5">
        <v>0.11405584477046853</v>
      </c>
      <c r="L4058" s="5">
        <v>1.893043066729768E-3</v>
      </c>
    </row>
    <row r="4059" spans="7:12">
      <c r="G4059" t="s">
        <v>4710</v>
      </c>
      <c r="H4059" t="s">
        <v>461</v>
      </c>
      <c r="I4059" t="s">
        <v>202</v>
      </c>
      <c r="J4059" s="4">
        <v>1107</v>
      </c>
      <c r="K4059" s="5">
        <v>0.11382113821138211</v>
      </c>
      <c r="L4059" s="5">
        <v>1.3550135501355014E-2</v>
      </c>
    </row>
    <row r="4060" spans="7:12">
      <c r="G4060" t="s">
        <v>4711</v>
      </c>
      <c r="H4060" t="s">
        <v>461</v>
      </c>
      <c r="I4060" t="s">
        <v>406</v>
      </c>
      <c r="J4060" s="4">
        <v>2105</v>
      </c>
      <c r="K4060" s="5">
        <v>0.11353919239904989</v>
      </c>
      <c r="L4060" s="5">
        <v>2.8503562945368173E-3</v>
      </c>
    </row>
    <row r="4061" spans="7:12">
      <c r="G4061" t="s">
        <v>4712</v>
      </c>
      <c r="H4061" t="s">
        <v>438</v>
      </c>
      <c r="I4061" t="s">
        <v>370</v>
      </c>
      <c r="J4061" s="4">
        <v>2299</v>
      </c>
      <c r="K4061" s="5">
        <v>0.11352762070465419</v>
      </c>
      <c r="L4061" s="5">
        <v>7.3945193562418446E-3</v>
      </c>
    </row>
    <row r="4062" spans="7:12">
      <c r="G4062" t="s">
        <v>4713</v>
      </c>
      <c r="H4062" t="s">
        <v>263</v>
      </c>
      <c r="I4062" t="s">
        <v>204</v>
      </c>
      <c r="J4062" s="4">
        <v>1084</v>
      </c>
      <c r="K4062" s="5">
        <v>0.11346863468634687</v>
      </c>
      <c r="L4062" s="5">
        <v>6.4575645756457566E-3</v>
      </c>
    </row>
    <row r="4063" spans="7:12">
      <c r="G4063" t="s">
        <v>4714</v>
      </c>
      <c r="H4063" t="s">
        <v>453</v>
      </c>
      <c r="I4063" t="s">
        <v>322</v>
      </c>
      <c r="J4063" s="4">
        <v>1693</v>
      </c>
      <c r="K4063" s="5">
        <v>0.11340815121086828</v>
      </c>
      <c r="L4063" s="5">
        <v>1.0632014176018901E-2</v>
      </c>
    </row>
    <row r="4064" spans="7:12">
      <c r="G4064" t="s">
        <v>4715</v>
      </c>
      <c r="H4064" t="s">
        <v>305</v>
      </c>
      <c r="I4064" t="s">
        <v>218</v>
      </c>
      <c r="J4064" s="4">
        <v>3816</v>
      </c>
      <c r="K4064" s="5">
        <v>0.11320754716981132</v>
      </c>
      <c r="L4064" s="5">
        <v>6.8134171907756813E-3</v>
      </c>
    </row>
    <row r="4065" spans="7:12">
      <c r="G4065" t="s">
        <v>4716</v>
      </c>
      <c r="H4065" t="s">
        <v>362</v>
      </c>
      <c r="I4065" t="s">
        <v>398</v>
      </c>
      <c r="J4065" s="4">
        <v>1434</v>
      </c>
      <c r="K4065" s="5">
        <v>0.11297071129707113</v>
      </c>
      <c r="L4065" s="5">
        <v>4.8814504881450485E-3</v>
      </c>
    </row>
    <row r="4066" spans="7:12">
      <c r="G4066" t="s">
        <v>4717</v>
      </c>
      <c r="H4066" t="s">
        <v>507</v>
      </c>
      <c r="I4066" t="s">
        <v>484</v>
      </c>
      <c r="J4066" s="4">
        <v>1408</v>
      </c>
      <c r="K4066" s="5">
        <v>0.11292613636363637</v>
      </c>
      <c r="L4066" s="5">
        <v>4.261363636363636E-3</v>
      </c>
    </row>
    <row r="4067" spans="7:12">
      <c r="G4067" t="s">
        <v>4718</v>
      </c>
      <c r="H4067" t="s">
        <v>412</v>
      </c>
      <c r="I4067" t="s">
        <v>449</v>
      </c>
      <c r="J4067" s="4">
        <v>1720</v>
      </c>
      <c r="K4067" s="5">
        <v>0.1127906976744186</v>
      </c>
      <c r="L4067" s="5">
        <v>1.7441860465116279E-3</v>
      </c>
    </row>
    <row r="4068" spans="7:12">
      <c r="G4068" t="s">
        <v>4719</v>
      </c>
      <c r="H4068" t="s">
        <v>449</v>
      </c>
      <c r="I4068" t="s">
        <v>461</v>
      </c>
      <c r="J4068" s="4">
        <v>7174</v>
      </c>
      <c r="K4068" s="5">
        <v>0.1126289378310566</v>
      </c>
      <c r="L4068" s="5">
        <v>6.1332589908001112E-3</v>
      </c>
    </row>
    <row r="4069" spans="7:12">
      <c r="G4069" t="s">
        <v>4720</v>
      </c>
      <c r="H4069" t="s">
        <v>412</v>
      </c>
      <c r="I4069" t="s">
        <v>370</v>
      </c>
      <c r="J4069" s="4">
        <v>2307</v>
      </c>
      <c r="K4069" s="5">
        <v>0.11226701343736455</v>
      </c>
      <c r="L4069" s="5">
        <v>2.6007802340702211E-3</v>
      </c>
    </row>
    <row r="4070" spans="7:12">
      <c r="G4070" t="s">
        <v>4721</v>
      </c>
      <c r="H4070" t="s">
        <v>146</v>
      </c>
      <c r="I4070" t="s">
        <v>204</v>
      </c>
      <c r="J4070" s="4">
        <v>1036</v>
      </c>
      <c r="K4070" s="5">
        <v>0.11196911196911197</v>
      </c>
      <c r="L4070" s="5">
        <v>3.3783783783783786E-2</v>
      </c>
    </row>
    <row r="4071" spans="7:12">
      <c r="G4071" t="s">
        <v>4722</v>
      </c>
      <c r="H4071" t="s">
        <v>374</v>
      </c>
      <c r="I4071" t="s">
        <v>461</v>
      </c>
      <c r="J4071" s="4">
        <v>2127</v>
      </c>
      <c r="K4071" s="5">
        <v>0.11189468735307946</v>
      </c>
      <c r="L4071" s="5">
        <v>9.4029149036201217E-4</v>
      </c>
    </row>
    <row r="4072" spans="7:12">
      <c r="G4072" t="s">
        <v>4723</v>
      </c>
      <c r="H4072" t="s">
        <v>503</v>
      </c>
      <c r="I4072" t="s">
        <v>136</v>
      </c>
      <c r="J4072" s="4">
        <v>1377</v>
      </c>
      <c r="K4072" s="5">
        <v>0.11183732752360204</v>
      </c>
      <c r="L4072" s="5">
        <v>1.2345679012345678E-2</v>
      </c>
    </row>
    <row r="4073" spans="7:12">
      <c r="G4073" t="s">
        <v>4724</v>
      </c>
      <c r="H4073" t="s">
        <v>527</v>
      </c>
      <c r="I4073" t="s">
        <v>326</v>
      </c>
      <c r="J4073" s="4">
        <v>1131</v>
      </c>
      <c r="K4073" s="5">
        <v>0.11140583554376658</v>
      </c>
      <c r="L4073" s="5">
        <v>0</v>
      </c>
    </row>
    <row r="4074" spans="7:12">
      <c r="G4074" t="s">
        <v>4725</v>
      </c>
      <c r="H4074" t="s">
        <v>416</v>
      </c>
      <c r="I4074" t="s">
        <v>322</v>
      </c>
      <c r="J4074" s="4">
        <v>2776</v>
      </c>
      <c r="K4074" s="5">
        <v>0.11131123919308357</v>
      </c>
      <c r="L4074" s="5">
        <v>8.285302593659942E-3</v>
      </c>
    </row>
    <row r="4075" spans="7:12">
      <c r="G4075" t="s">
        <v>4726</v>
      </c>
      <c r="H4075" t="s">
        <v>503</v>
      </c>
      <c r="I4075" t="s">
        <v>486</v>
      </c>
      <c r="J4075" s="4">
        <v>1206</v>
      </c>
      <c r="K4075" s="5">
        <v>0.1111111111111111</v>
      </c>
      <c r="L4075" s="5">
        <v>1.824212271973466E-2</v>
      </c>
    </row>
    <row r="4076" spans="7:12">
      <c r="G4076" t="s">
        <v>4727</v>
      </c>
      <c r="H4076" t="s">
        <v>497</v>
      </c>
      <c r="I4076" t="s">
        <v>134</v>
      </c>
      <c r="J4076" s="4">
        <v>1479</v>
      </c>
      <c r="K4076" s="5">
        <v>0.11088573360378634</v>
      </c>
      <c r="L4076" s="5">
        <v>1.1494252873563218E-2</v>
      </c>
    </row>
    <row r="4077" spans="7:12">
      <c r="G4077" t="s">
        <v>4728</v>
      </c>
      <c r="H4077" t="s">
        <v>414</v>
      </c>
      <c r="I4077" t="s">
        <v>115</v>
      </c>
      <c r="J4077" s="4">
        <v>3261</v>
      </c>
      <c r="K4077" s="5">
        <v>0.11070223857712358</v>
      </c>
      <c r="L4077" s="5">
        <v>8.2796688132474698E-3</v>
      </c>
    </row>
    <row r="4078" spans="7:12">
      <c r="G4078" t="s">
        <v>4729</v>
      </c>
      <c r="H4078" t="s">
        <v>218</v>
      </c>
      <c r="I4078" t="s">
        <v>2180</v>
      </c>
      <c r="J4078" s="4">
        <v>1582</v>
      </c>
      <c r="K4078" s="5">
        <v>0.11061946902654868</v>
      </c>
      <c r="L4078" s="5">
        <v>3.7926675094816687E-3</v>
      </c>
    </row>
    <row r="4079" spans="7:12">
      <c r="G4079" t="s">
        <v>4730</v>
      </c>
      <c r="H4079" t="s">
        <v>372</v>
      </c>
      <c r="I4079" t="s">
        <v>322</v>
      </c>
      <c r="J4079" s="4">
        <v>2442</v>
      </c>
      <c r="K4079" s="5">
        <v>0.11056511056511056</v>
      </c>
      <c r="L4079" s="5">
        <v>9.0090090090090089E-3</v>
      </c>
    </row>
    <row r="4080" spans="7:12">
      <c r="G4080" t="s">
        <v>4731</v>
      </c>
      <c r="H4080" t="s">
        <v>410</v>
      </c>
      <c r="I4080" t="s">
        <v>218</v>
      </c>
      <c r="J4080" s="4">
        <v>8550</v>
      </c>
      <c r="K4080" s="5">
        <v>0.11029239766081872</v>
      </c>
      <c r="L4080" s="5">
        <v>9.9415204678362581E-3</v>
      </c>
    </row>
    <row r="4081" spans="7:12">
      <c r="G4081" t="s">
        <v>4732</v>
      </c>
      <c r="H4081" t="s">
        <v>420</v>
      </c>
      <c r="I4081" t="s">
        <v>218</v>
      </c>
      <c r="J4081" s="4">
        <v>6080</v>
      </c>
      <c r="K4081" s="5">
        <v>0.11019736842105263</v>
      </c>
      <c r="L4081" s="5">
        <v>8.2236842105263153E-3</v>
      </c>
    </row>
    <row r="4082" spans="7:12">
      <c r="G4082" t="s">
        <v>4733</v>
      </c>
      <c r="H4082" t="s">
        <v>370</v>
      </c>
      <c r="I4082" t="s">
        <v>228</v>
      </c>
      <c r="J4082" s="4">
        <v>1653</v>
      </c>
      <c r="K4082" s="5">
        <v>0.11010284331518451</v>
      </c>
      <c r="L4082" s="5">
        <v>6.0496067755595887E-3</v>
      </c>
    </row>
    <row r="4083" spans="7:12">
      <c r="G4083" t="s">
        <v>4734</v>
      </c>
      <c r="H4083" t="s">
        <v>252</v>
      </c>
      <c r="I4083" t="s">
        <v>331</v>
      </c>
      <c r="J4083" s="4">
        <v>1254</v>
      </c>
      <c r="K4083" s="5">
        <v>0.11004784688995216</v>
      </c>
      <c r="L4083" s="5">
        <v>9.5693779904306216E-3</v>
      </c>
    </row>
    <row r="4084" spans="7:12">
      <c r="G4084" t="s">
        <v>4735</v>
      </c>
      <c r="H4084" t="s">
        <v>404</v>
      </c>
      <c r="I4084" t="s">
        <v>449</v>
      </c>
      <c r="J4084" s="4">
        <v>1684</v>
      </c>
      <c r="K4084" s="5">
        <v>0.10985748218527316</v>
      </c>
      <c r="L4084" s="5">
        <v>1.3064133016627079E-2</v>
      </c>
    </row>
    <row r="4085" spans="7:12">
      <c r="G4085" t="s">
        <v>4736</v>
      </c>
      <c r="H4085" t="s">
        <v>263</v>
      </c>
      <c r="I4085" t="s">
        <v>236</v>
      </c>
      <c r="J4085" s="4">
        <v>2012</v>
      </c>
      <c r="K4085" s="5">
        <v>0.10984095427435388</v>
      </c>
      <c r="L4085" s="5">
        <v>6.4612326043737576E-3</v>
      </c>
    </row>
    <row r="4086" spans="7:12">
      <c r="G4086" t="s">
        <v>4737</v>
      </c>
      <c r="H4086" t="s">
        <v>475</v>
      </c>
      <c r="I4086" t="s">
        <v>513</v>
      </c>
      <c r="J4086" s="4">
        <v>1087</v>
      </c>
      <c r="K4086" s="5">
        <v>0.10947562097516099</v>
      </c>
      <c r="L4086" s="5">
        <v>3.219871205151794E-2</v>
      </c>
    </row>
    <row r="4087" spans="7:12">
      <c r="G4087" t="s">
        <v>4738</v>
      </c>
      <c r="H4087" t="s">
        <v>346</v>
      </c>
      <c r="I4087" t="s">
        <v>342</v>
      </c>
      <c r="J4087" s="4">
        <v>1993</v>
      </c>
      <c r="K4087" s="5">
        <v>0.10938283993978926</v>
      </c>
      <c r="L4087" s="5">
        <v>1.1038635223281485E-2</v>
      </c>
    </row>
    <row r="4088" spans="7:12">
      <c r="G4088" t="s">
        <v>4739</v>
      </c>
      <c r="H4088" t="s">
        <v>366</v>
      </c>
      <c r="I4088" t="s">
        <v>259</v>
      </c>
      <c r="J4088" s="4">
        <v>1701</v>
      </c>
      <c r="K4088" s="5">
        <v>0.10934744268077601</v>
      </c>
      <c r="L4088" s="5">
        <v>2.3515579071134628E-2</v>
      </c>
    </row>
    <row r="4089" spans="7:12">
      <c r="G4089" t="s">
        <v>4740</v>
      </c>
      <c r="H4089" t="s">
        <v>455</v>
      </c>
      <c r="I4089" t="s">
        <v>461</v>
      </c>
      <c r="J4089" s="4">
        <v>5983</v>
      </c>
      <c r="K4089" s="5">
        <v>0.10914257061674745</v>
      </c>
      <c r="L4089" s="5">
        <v>4.1785057663379574E-3</v>
      </c>
    </row>
    <row r="4090" spans="7:12">
      <c r="G4090" t="s">
        <v>4741</v>
      </c>
      <c r="H4090" t="s">
        <v>370</v>
      </c>
      <c r="I4090" t="s">
        <v>3125</v>
      </c>
      <c r="J4090" s="4">
        <v>1063</v>
      </c>
      <c r="K4090" s="5">
        <v>0.10912511759172154</v>
      </c>
      <c r="L4090" s="5">
        <v>1.8814675446848542E-3</v>
      </c>
    </row>
    <row r="4091" spans="7:12">
      <c r="G4091" t="s">
        <v>4742</v>
      </c>
      <c r="H4091" t="s">
        <v>472</v>
      </c>
      <c r="I4091" t="s">
        <v>160</v>
      </c>
      <c r="J4091" s="4">
        <v>4423</v>
      </c>
      <c r="K4091" s="5">
        <v>0.10897580827492652</v>
      </c>
      <c r="L4091" s="5">
        <v>1.4921998643454669E-2</v>
      </c>
    </row>
    <row r="4092" spans="7:12">
      <c r="G4092" t="s">
        <v>4743</v>
      </c>
      <c r="H4092" t="s">
        <v>486</v>
      </c>
      <c r="I4092" t="s">
        <v>89</v>
      </c>
      <c r="J4092" s="4">
        <v>1240</v>
      </c>
      <c r="K4092" s="5">
        <v>0.10887096774193548</v>
      </c>
      <c r="L4092" s="5">
        <v>2.4193548387096775E-3</v>
      </c>
    </row>
    <row r="4093" spans="7:12">
      <c r="G4093" t="s">
        <v>4744</v>
      </c>
      <c r="H4093" t="s">
        <v>340</v>
      </c>
      <c r="I4093" t="s">
        <v>218</v>
      </c>
      <c r="J4093" s="4">
        <v>6738</v>
      </c>
      <c r="K4093" s="5">
        <v>0.10863757791629564</v>
      </c>
      <c r="L4093" s="5">
        <v>9.2015434847135657E-3</v>
      </c>
    </row>
    <row r="4094" spans="7:12">
      <c r="G4094" t="s">
        <v>4745</v>
      </c>
      <c r="H4094" t="s">
        <v>368</v>
      </c>
      <c r="I4094" t="s">
        <v>218</v>
      </c>
      <c r="J4094" s="4">
        <v>4299</v>
      </c>
      <c r="K4094" s="5">
        <v>0.1086299139334729</v>
      </c>
      <c r="L4094" s="5">
        <v>8.8392649453361248E-3</v>
      </c>
    </row>
    <row r="4095" spans="7:12">
      <c r="G4095" t="s">
        <v>4746</v>
      </c>
      <c r="H4095" t="s">
        <v>495</v>
      </c>
      <c r="I4095" t="s">
        <v>118</v>
      </c>
      <c r="J4095" s="4">
        <v>1231</v>
      </c>
      <c r="K4095" s="5">
        <v>0.10804224207961008</v>
      </c>
      <c r="L4095" s="5">
        <v>6.498781478472786E-3</v>
      </c>
    </row>
    <row r="4096" spans="7:12">
      <c r="G4096" t="s">
        <v>4747</v>
      </c>
      <c r="H4096" t="s">
        <v>342</v>
      </c>
      <c r="I4096" t="s">
        <v>346</v>
      </c>
      <c r="J4096" s="4">
        <v>1991</v>
      </c>
      <c r="K4096" s="5">
        <v>0.10798593671521849</v>
      </c>
      <c r="L4096" s="5">
        <v>1.0547463586137619E-2</v>
      </c>
    </row>
    <row r="4097" spans="7:12">
      <c r="G4097" t="s">
        <v>4748</v>
      </c>
      <c r="H4097" t="s">
        <v>461</v>
      </c>
      <c r="I4097" t="s">
        <v>519</v>
      </c>
      <c r="J4097" s="4">
        <v>2196</v>
      </c>
      <c r="K4097" s="5">
        <v>0.10792349726775956</v>
      </c>
      <c r="L4097" s="5">
        <v>7.7413479052823317E-3</v>
      </c>
    </row>
    <row r="4098" spans="7:12">
      <c r="G4098" t="s">
        <v>4749</v>
      </c>
      <c r="H4098" t="s">
        <v>352</v>
      </c>
      <c r="I4098" t="s">
        <v>322</v>
      </c>
      <c r="J4098" s="4">
        <v>4041</v>
      </c>
      <c r="K4098" s="5">
        <v>0.1078940856223707</v>
      </c>
      <c r="L4098" s="5">
        <v>5.6916604800791885E-3</v>
      </c>
    </row>
    <row r="4099" spans="7:12">
      <c r="G4099" t="s">
        <v>4750</v>
      </c>
      <c r="H4099" t="s">
        <v>215</v>
      </c>
      <c r="I4099" t="s">
        <v>519</v>
      </c>
      <c r="J4099" s="4">
        <v>3236</v>
      </c>
      <c r="K4099" s="5">
        <v>0.10784919653893696</v>
      </c>
      <c r="L4099" s="5">
        <v>9.5797280593325086E-3</v>
      </c>
    </row>
    <row r="4100" spans="7:12">
      <c r="G4100" t="s">
        <v>4751</v>
      </c>
      <c r="H4100" t="s">
        <v>408</v>
      </c>
      <c r="I4100" t="s">
        <v>346</v>
      </c>
      <c r="J4100" s="4">
        <v>3349</v>
      </c>
      <c r="K4100" s="5">
        <v>0.10779337115556882</v>
      </c>
      <c r="L4100" s="5">
        <v>1.1346670647954613E-2</v>
      </c>
    </row>
    <row r="4101" spans="7:12">
      <c r="G4101" t="s">
        <v>4752</v>
      </c>
      <c r="H4101" t="s">
        <v>434</v>
      </c>
      <c r="I4101" t="s">
        <v>218</v>
      </c>
      <c r="J4101" s="4">
        <v>2950</v>
      </c>
      <c r="K4101" s="5">
        <v>0.10745762711864407</v>
      </c>
      <c r="L4101" s="5">
        <v>7.7966101694915257E-3</v>
      </c>
    </row>
    <row r="4102" spans="7:12">
      <c r="G4102" t="s">
        <v>4753</v>
      </c>
      <c r="H4102" t="s">
        <v>370</v>
      </c>
      <c r="I4102" t="s">
        <v>457</v>
      </c>
      <c r="J4102" s="4">
        <v>1369</v>
      </c>
      <c r="K4102" s="5">
        <v>0.10737764791818846</v>
      </c>
      <c r="L4102" s="5">
        <v>7.3046018991964939E-4</v>
      </c>
    </row>
    <row r="4103" spans="7:12">
      <c r="G4103" t="s">
        <v>4754</v>
      </c>
      <c r="H4103" t="s">
        <v>236</v>
      </c>
      <c r="I4103" t="s">
        <v>461</v>
      </c>
      <c r="J4103" s="4">
        <v>2944</v>
      </c>
      <c r="K4103" s="5">
        <v>0.10733695652173914</v>
      </c>
      <c r="L4103" s="5">
        <v>5.434782608695652E-3</v>
      </c>
    </row>
    <row r="4104" spans="7:12">
      <c r="G4104" t="s">
        <v>4755</v>
      </c>
      <c r="H4104" t="s">
        <v>250</v>
      </c>
      <c r="I4104" t="s">
        <v>218</v>
      </c>
      <c r="J4104" s="4">
        <v>6846</v>
      </c>
      <c r="K4104" s="5">
        <v>0.10706982179374817</v>
      </c>
      <c r="L4104" s="5">
        <v>1.0955302366345312E-2</v>
      </c>
    </row>
    <row r="4105" spans="7:12">
      <c r="G4105" t="s">
        <v>4756</v>
      </c>
      <c r="H4105" t="s">
        <v>358</v>
      </c>
      <c r="I4105" t="s">
        <v>346</v>
      </c>
      <c r="J4105" s="4">
        <v>2477</v>
      </c>
      <c r="K4105" s="5">
        <v>0.10698425514735567</v>
      </c>
      <c r="L4105" s="5">
        <v>1.1707710940654016E-2</v>
      </c>
    </row>
    <row r="4106" spans="7:12">
      <c r="G4106" t="s">
        <v>4757</v>
      </c>
      <c r="H4106" t="s">
        <v>519</v>
      </c>
      <c r="I4106" t="s">
        <v>326</v>
      </c>
      <c r="J4106" s="4">
        <v>2178</v>
      </c>
      <c r="K4106" s="5">
        <v>0.10697887970615243</v>
      </c>
      <c r="L4106" s="5">
        <v>3.6730945821854912E-3</v>
      </c>
    </row>
    <row r="4107" spans="7:12">
      <c r="G4107" t="s">
        <v>4758</v>
      </c>
      <c r="H4107" t="s">
        <v>422</v>
      </c>
      <c r="I4107" t="s">
        <v>346</v>
      </c>
      <c r="J4107" s="4">
        <v>2618</v>
      </c>
      <c r="K4107" s="5">
        <v>0.10695187165775401</v>
      </c>
      <c r="L4107" s="5">
        <v>5.7295645530939651E-3</v>
      </c>
    </row>
    <row r="4108" spans="7:12">
      <c r="G4108" t="s">
        <v>4759</v>
      </c>
      <c r="H4108" t="s">
        <v>422</v>
      </c>
      <c r="I4108" t="s">
        <v>252</v>
      </c>
      <c r="J4108" s="4">
        <v>2126</v>
      </c>
      <c r="K4108" s="5">
        <v>0.10630291627469426</v>
      </c>
      <c r="L4108" s="5">
        <v>9.4073377234242701E-3</v>
      </c>
    </row>
    <row r="4109" spans="7:12">
      <c r="G4109" t="s">
        <v>4760</v>
      </c>
      <c r="H4109" t="s">
        <v>440</v>
      </c>
      <c r="I4109" t="s">
        <v>326</v>
      </c>
      <c r="J4109" s="4">
        <v>2192</v>
      </c>
      <c r="K4109" s="5">
        <v>0.10629562043795621</v>
      </c>
      <c r="L4109" s="5">
        <v>4.5620437956204376E-3</v>
      </c>
    </row>
    <row r="4110" spans="7:12">
      <c r="G4110" t="s">
        <v>4761</v>
      </c>
      <c r="H4110" t="s">
        <v>461</v>
      </c>
      <c r="I4110" t="s">
        <v>436</v>
      </c>
      <c r="J4110" s="4">
        <v>3137</v>
      </c>
      <c r="K4110" s="5">
        <v>0.10615237488045903</v>
      </c>
      <c r="L4110" s="5">
        <v>4.7816385081287851E-3</v>
      </c>
    </row>
    <row r="4111" spans="7:12">
      <c r="G4111" t="s">
        <v>4762</v>
      </c>
      <c r="H4111" t="s">
        <v>1645</v>
      </c>
      <c r="I4111" t="s">
        <v>377</v>
      </c>
      <c r="J4111" s="4">
        <v>1461</v>
      </c>
      <c r="K4111" s="5">
        <v>0.10609171800136892</v>
      </c>
      <c r="L4111" s="5">
        <v>9.5824777549623538E-3</v>
      </c>
    </row>
    <row r="4112" spans="7:12">
      <c r="G4112" t="s">
        <v>4763</v>
      </c>
      <c r="H4112" t="s">
        <v>455</v>
      </c>
      <c r="I4112" t="s">
        <v>218</v>
      </c>
      <c r="J4112" s="4">
        <v>2894</v>
      </c>
      <c r="K4112" s="5">
        <v>0.10608154803040774</v>
      </c>
      <c r="L4112" s="5">
        <v>1.0020732550103663E-2</v>
      </c>
    </row>
    <row r="4113" spans="7:12">
      <c r="G4113" t="s">
        <v>4764</v>
      </c>
      <c r="H4113" t="s">
        <v>1377</v>
      </c>
      <c r="I4113" t="s">
        <v>475</v>
      </c>
      <c r="J4113" s="4">
        <v>1095</v>
      </c>
      <c r="K4113" s="5">
        <v>0.10593607305936073</v>
      </c>
      <c r="L4113" s="5">
        <v>1.2785388127853882E-2</v>
      </c>
    </row>
    <row r="4114" spans="7:12">
      <c r="G4114" t="s">
        <v>4765</v>
      </c>
      <c r="H4114" t="s">
        <v>390</v>
      </c>
      <c r="I4114" t="s">
        <v>449</v>
      </c>
      <c r="J4114" s="4">
        <v>3990</v>
      </c>
      <c r="K4114" s="5">
        <v>0.10576441102756892</v>
      </c>
      <c r="L4114" s="5">
        <v>1.3283208020050126E-2</v>
      </c>
    </row>
    <row r="4115" spans="7:12">
      <c r="G4115" t="s">
        <v>4766</v>
      </c>
      <c r="H4115" t="s">
        <v>388</v>
      </c>
      <c r="I4115" t="s">
        <v>218</v>
      </c>
      <c r="J4115" s="4">
        <v>8799</v>
      </c>
      <c r="K4115" s="5">
        <v>0.10569382884418684</v>
      </c>
      <c r="L4115" s="5">
        <v>1.2842368450960337E-2</v>
      </c>
    </row>
    <row r="4116" spans="7:12">
      <c r="G4116" t="s">
        <v>4767</v>
      </c>
      <c r="H4116" t="s">
        <v>459</v>
      </c>
      <c r="I4116" t="s">
        <v>218</v>
      </c>
      <c r="J4116" s="4">
        <v>7435</v>
      </c>
      <c r="K4116" s="5">
        <v>0.10544720914593141</v>
      </c>
      <c r="L4116" s="5">
        <v>9.9529253530598518E-3</v>
      </c>
    </row>
    <row r="4117" spans="7:12">
      <c r="G4117" t="s">
        <v>4768</v>
      </c>
      <c r="H4117" t="s">
        <v>459</v>
      </c>
      <c r="I4117" t="s">
        <v>85</v>
      </c>
      <c r="J4117" s="4">
        <v>1224</v>
      </c>
      <c r="K4117" s="5">
        <v>0.1053921568627451</v>
      </c>
      <c r="L4117" s="5">
        <v>7.3529411764705881E-3</v>
      </c>
    </row>
    <row r="4118" spans="7:12">
      <c r="G4118" t="s">
        <v>4769</v>
      </c>
      <c r="H4118" t="s">
        <v>3125</v>
      </c>
      <c r="I4118" t="s">
        <v>370</v>
      </c>
      <c r="J4118" s="4">
        <v>1064</v>
      </c>
      <c r="K4118" s="5">
        <v>0.10526315789473684</v>
      </c>
      <c r="L4118" s="5">
        <v>1.8796992481203006E-3</v>
      </c>
    </row>
    <row r="4119" spans="7:12">
      <c r="G4119" t="s">
        <v>4770</v>
      </c>
      <c r="H4119" t="s">
        <v>466</v>
      </c>
      <c r="I4119" t="s">
        <v>136</v>
      </c>
      <c r="J4119" s="4">
        <v>1083</v>
      </c>
      <c r="K4119" s="5">
        <v>0.10526315789473684</v>
      </c>
      <c r="L4119" s="5">
        <v>5.5401662049861496E-3</v>
      </c>
    </row>
    <row r="4120" spans="7:12">
      <c r="G4120" t="s">
        <v>4771</v>
      </c>
      <c r="H4120" t="s">
        <v>461</v>
      </c>
      <c r="I4120" t="s">
        <v>434</v>
      </c>
      <c r="J4120" s="4">
        <v>3254</v>
      </c>
      <c r="K4120" s="5">
        <v>0.10510141364474493</v>
      </c>
      <c r="L4120" s="5">
        <v>3.0731407498463428E-3</v>
      </c>
    </row>
    <row r="4121" spans="7:12">
      <c r="G4121" t="s">
        <v>4772</v>
      </c>
      <c r="H4121" t="s">
        <v>224</v>
      </c>
      <c r="I4121" t="s">
        <v>202</v>
      </c>
      <c r="J4121" s="4">
        <v>1095</v>
      </c>
      <c r="K4121" s="5">
        <v>0.1050228310502283</v>
      </c>
      <c r="L4121" s="5">
        <v>1.8264840182648401E-2</v>
      </c>
    </row>
    <row r="4122" spans="7:12">
      <c r="G4122" t="s">
        <v>4773</v>
      </c>
      <c r="H4122" t="s">
        <v>370</v>
      </c>
      <c r="I4122" t="s">
        <v>438</v>
      </c>
      <c r="J4122" s="4">
        <v>2299</v>
      </c>
      <c r="K4122" s="5">
        <v>0.10482818616789909</v>
      </c>
      <c r="L4122" s="5">
        <v>4.7846889952153108E-3</v>
      </c>
    </row>
    <row r="4123" spans="7:12">
      <c r="G4123" t="s">
        <v>4774</v>
      </c>
      <c r="H4123" t="s">
        <v>461</v>
      </c>
      <c r="I4123" t="s">
        <v>457</v>
      </c>
      <c r="J4123" s="4">
        <v>2014</v>
      </c>
      <c r="K4123" s="5">
        <v>0.10427010923535253</v>
      </c>
      <c r="L4123" s="5">
        <v>2.9791459781529296E-3</v>
      </c>
    </row>
    <row r="4124" spans="7:12">
      <c r="G4124" t="s">
        <v>4775</v>
      </c>
      <c r="H4124" t="s">
        <v>221</v>
      </c>
      <c r="I4124" t="s">
        <v>346</v>
      </c>
      <c r="J4124" s="4">
        <v>1933</v>
      </c>
      <c r="K4124" s="5">
        <v>0.10398344542162442</v>
      </c>
      <c r="L4124" s="5">
        <v>1.4485256078634247E-2</v>
      </c>
    </row>
    <row r="4125" spans="7:12">
      <c r="G4125" t="s">
        <v>4776</v>
      </c>
      <c r="H4125" t="s">
        <v>324</v>
      </c>
      <c r="I4125" t="s">
        <v>322</v>
      </c>
      <c r="J4125" s="4">
        <v>1839</v>
      </c>
      <c r="K4125" s="5">
        <v>0.10386079390973355</v>
      </c>
      <c r="L4125" s="5">
        <v>7.6128330614464385E-3</v>
      </c>
    </row>
    <row r="4126" spans="7:12">
      <c r="G4126" t="s">
        <v>4777</v>
      </c>
      <c r="H4126" t="s">
        <v>334</v>
      </c>
      <c r="I4126" t="s">
        <v>218</v>
      </c>
      <c r="J4126" s="4">
        <v>6061</v>
      </c>
      <c r="K4126" s="5">
        <v>0.10361326513776604</v>
      </c>
      <c r="L4126" s="5">
        <v>1.072430292031018E-2</v>
      </c>
    </row>
    <row r="4127" spans="7:12">
      <c r="G4127" t="s">
        <v>4778</v>
      </c>
      <c r="H4127" t="s">
        <v>489</v>
      </c>
      <c r="I4127" t="s">
        <v>525</v>
      </c>
      <c r="J4127" s="4">
        <v>1130</v>
      </c>
      <c r="K4127" s="5">
        <v>0.10353982300884956</v>
      </c>
      <c r="L4127" s="5">
        <v>5.3097345132743362E-3</v>
      </c>
    </row>
    <row r="4128" spans="7:12">
      <c r="G4128" t="s">
        <v>4779</v>
      </c>
      <c r="H4128" t="s">
        <v>295</v>
      </c>
      <c r="I4128" t="s">
        <v>461</v>
      </c>
      <c r="J4128" s="4">
        <v>3173</v>
      </c>
      <c r="K4128" s="5">
        <v>0.10337220296249607</v>
      </c>
      <c r="L4128" s="5">
        <v>6.6183422628427356E-3</v>
      </c>
    </row>
    <row r="4129" spans="7:12">
      <c r="G4129" t="s">
        <v>4780</v>
      </c>
      <c r="H4129" t="s">
        <v>4676</v>
      </c>
      <c r="I4129" t="s">
        <v>463</v>
      </c>
      <c r="J4129" s="4">
        <v>1520</v>
      </c>
      <c r="K4129" s="5">
        <v>0.10263157894736842</v>
      </c>
      <c r="L4129" s="5">
        <v>2.1710526315789475E-2</v>
      </c>
    </row>
    <row r="4130" spans="7:12">
      <c r="G4130" t="s">
        <v>4781</v>
      </c>
      <c r="H4130" t="s">
        <v>461</v>
      </c>
      <c r="I4130" t="s">
        <v>395</v>
      </c>
      <c r="J4130" s="4">
        <v>3249</v>
      </c>
      <c r="K4130" s="5">
        <v>0.10126192674669129</v>
      </c>
      <c r="L4130" s="5">
        <v>3.3856571252693138E-3</v>
      </c>
    </row>
    <row r="4131" spans="7:12">
      <c r="G4131" t="s">
        <v>4782</v>
      </c>
      <c r="H4131" t="s">
        <v>455</v>
      </c>
      <c r="I4131" t="s">
        <v>377</v>
      </c>
      <c r="J4131" s="4">
        <v>1670</v>
      </c>
      <c r="K4131" s="5">
        <v>0.10119760479041916</v>
      </c>
      <c r="L4131" s="5">
        <v>5.3892215568862277E-3</v>
      </c>
    </row>
    <row r="4132" spans="7:12">
      <c r="G4132" t="s">
        <v>4783</v>
      </c>
      <c r="H4132" t="s">
        <v>2180</v>
      </c>
      <c r="I4132" t="s">
        <v>218</v>
      </c>
      <c r="J4132" s="4">
        <v>1582</v>
      </c>
      <c r="K4132" s="5">
        <v>0.1011378002528445</v>
      </c>
      <c r="L4132" s="5">
        <v>3.7926675094816687E-3</v>
      </c>
    </row>
    <row r="4133" spans="7:12">
      <c r="G4133" t="s">
        <v>4784</v>
      </c>
      <c r="H4133" t="s">
        <v>457</v>
      </c>
      <c r="I4133" t="s">
        <v>236</v>
      </c>
      <c r="J4133" s="4">
        <v>2034</v>
      </c>
      <c r="K4133" s="5">
        <v>0.1007866273352999</v>
      </c>
      <c r="L4133" s="5">
        <v>6.8829891838741398E-3</v>
      </c>
    </row>
    <row r="4134" spans="7:12">
      <c r="G4134" t="s">
        <v>4785</v>
      </c>
      <c r="H4134" t="s">
        <v>489</v>
      </c>
      <c r="I4134" t="s">
        <v>377</v>
      </c>
      <c r="J4134" s="4">
        <v>1410</v>
      </c>
      <c r="K4134" s="5">
        <v>0.10070921985815603</v>
      </c>
      <c r="L4134" s="5">
        <v>6.382978723404255E-3</v>
      </c>
    </row>
    <row r="4135" spans="7:12">
      <c r="G4135" t="s">
        <v>4786</v>
      </c>
      <c r="H4135" t="s">
        <v>449</v>
      </c>
      <c r="I4135" t="s">
        <v>390</v>
      </c>
      <c r="J4135" s="4">
        <v>3984</v>
      </c>
      <c r="K4135" s="5">
        <v>0.10065261044176707</v>
      </c>
      <c r="L4135" s="5">
        <v>1.4558232931726908E-2</v>
      </c>
    </row>
    <row r="4136" spans="7:12">
      <c r="G4136" t="s">
        <v>4787</v>
      </c>
      <c r="H4136" t="s">
        <v>400</v>
      </c>
      <c r="I4136" t="s">
        <v>370</v>
      </c>
      <c r="J4136" s="4">
        <v>1943</v>
      </c>
      <c r="K4136" s="5">
        <v>0.10036026762738035</v>
      </c>
      <c r="L4136" s="5">
        <v>1.5440041173443129E-2</v>
      </c>
    </row>
    <row r="4137" spans="7:12">
      <c r="G4137" t="s">
        <v>4788</v>
      </c>
      <c r="H4137" t="s">
        <v>455</v>
      </c>
      <c r="I4137" t="s">
        <v>134</v>
      </c>
      <c r="J4137" s="4">
        <v>1596</v>
      </c>
      <c r="K4137" s="5">
        <v>0.10025062656641603</v>
      </c>
      <c r="L4137" s="5">
        <v>1.0651629072681704E-2</v>
      </c>
    </row>
    <row r="4138" spans="7:12">
      <c r="G4138" t="s">
        <v>4789</v>
      </c>
      <c r="H4138" t="s">
        <v>533</v>
      </c>
      <c r="I4138" t="s">
        <v>486</v>
      </c>
      <c r="J4138" s="4">
        <v>1247</v>
      </c>
      <c r="K4138" s="5">
        <v>0.10024057738572574</v>
      </c>
      <c r="L4138" s="5">
        <v>3.2076984763432237E-3</v>
      </c>
    </row>
    <row r="4139" spans="7:12">
      <c r="G4139" t="s">
        <v>4790</v>
      </c>
      <c r="H4139" t="s">
        <v>366</v>
      </c>
      <c r="I4139" t="s">
        <v>218</v>
      </c>
      <c r="J4139" s="4">
        <v>3059</v>
      </c>
      <c r="K4139" s="5">
        <v>0.10003269042170644</v>
      </c>
      <c r="L4139" s="5">
        <v>9.1533180778032037E-3</v>
      </c>
    </row>
    <row r="4140" spans="7:12">
      <c r="G4140" t="s">
        <v>4791</v>
      </c>
      <c r="H4140" t="s">
        <v>484</v>
      </c>
      <c r="I4140" t="s">
        <v>449</v>
      </c>
      <c r="J4140" s="4">
        <v>3084</v>
      </c>
      <c r="K4140" s="5">
        <v>9.9870298313878086E-2</v>
      </c>
      <c r="L4140" s="5">
        <v>6.8093385214007783E-3</v>
      </c>
    </row>
    <row r="4141" spans="7:12">
      <c r="G4141" t="s">
        <v>4792</v>
      </c>
      <c r="H4141" t="s">
        <v>331</v>
      </c>
      <c r="I4141" t="s">
        <v>346</v>
      </c>
      <c r="J4141" s="4">
        <v>1173</v>
      </c>
      <c r="K4141" s="5">
        <v>9.9744245524296671E-2</v>
      </c>
      <c r="L4141" s="5">
        <v>9.3776641091219103E-3</v>
      </c>
    </row>
    <row r="4142" spans="7:12">
      <c r="G4142" t="s">
        <v>4793</v>
      </c>
      <c r="H4142" t="s">
        <v>372</v>
      </c>
      <c r="I4142" t="s">
        <v>461</v>
      </c>
      <c r="J4142" s="4">
        <v>1097</v>
      </c>
      <c r="K4142" s="5">
        <v>9.9361896080218781E-2</v>
      </c>
      <c r="L4142" s="5">
        <v>4.5578851412944391E-3</v>
      </c>
    </row>
    <row r="4143" spans="7:12">
      <c r="G4143" t="s">
        <v>4794</v>
      </c>
      <c r="H4143" t="s">
        <v>453</v>
      </c>
      <c r="I4143" t="s">
        <v>218</v>
      </c>
      <c r="J4143" s="4">
        <v>9013</v>
      </c>
      <c r="K4143" s="5">
        <v>9.9190058803949849E-2</v>
      </c>
      <c r="L4143" s="5">
        <v>7.5446577166315325E-3</v>
      </c>
    </row>
    <row r="4144" spans="7:12">
      <c r="G4144" t="s">
        <v>4795</v>
      </c>
      <c r="H4144" t="s">
        <v>398</v>
      </c>
      <c r="I4144" t="s">
        <v>400</v>
      </c>
      <c r="J4144" s="4">
        <v>1060</v>
      </c>
      <c r="K4144" s="5">
        <v>9.9056603773584911E-2</v>
      </c>
      <c r="L4144" s="5">
        <v>5.6603773584905656E-3</v>
      </c>
    </row>
    <row r="4145" spans="7:12">
      <c r="G4145" t="s">
        <v>4796</v>
      </c>
      <c r="H4145" t="s">
        <v>461</v>
      </c>
      <c r="I4145" t="s">
        <v>295</v>
      </c>
      <c r="J4145" s="4">
        <v>3174</v>
      </c>
      <c r="K4145" s="5">
        <v>9.8298676748582225E-2</v>
      </c>
      <c r="L4145" s="5">
        <v>5.3560176433522372E-3</v>
      </c>
    </row>
    <row r="4146" spans="7:12">
      <c r="G4146" t="s">
        <v>4797</v>
      </c>
      <c r="H4146" t="s">
        <v>507</v>
      </c>
      <c r="I4146" t="s">
        <v>182</v>
      </c>
      <c r="J4146" s="4">
        <v>1029</v>
      </c>
      <c r="K4146" s="5">
        <v>9.8153547133138966E-2</v>
      </c>
      <c r="L4146" s="5">
        <v>9.7181729834791061E-3</v>
      </c>
    </row>
    <row r="4147" spans="7:12">
      <c r="G4147" t="s">
        <v>4798</v>
      </c>
      <c r="H4147" t="s">
        <v>344</v>
      </c>
      <c r="I4147" t="s">
        <v>218</v>
      </c>
      <c r="J4147" s="4">
        <v>7673</v>
      </c>
      <c r="K4147" s="5">
        <v>9.8136322168643292E-2</v>
      </c>
      <c r="L4147" s="5">
        <v>1.2250749380946176E-2</v>
      </c>
    </row>
    <row r="4148" spans="7:12">
      <c r="G4148" t="s">
        <v>4799</v>
      </c>
      <c r="H4148" t="s">
        <v>305</v>
      </c>
      <c r="I4148" t="s">
        <v>204</v>
      </c>
      <c r="J4148" s="4">
        <v>1085</v>
      </c>
      <c r="K4148" s="5">
        <v>9.7695852534562214E-2</v>
      </c>
      <c r="L4148" s="5">
        <v>1.0138248847926268E-2</v>
      </c>
    </row>
    <row r="4149" spans="7:12">
      <c r="G4149" t="s">
        <v>4800</v>
      </c>
      <c r="H4149" t="s">
        <v>515</v>
      </c>
      <c r="I4149" t="s">
        <v>226</v>
      </c>
      <c r="J4149" s="4">
        <v>1758</v>
      </c>
      <c r="K4149" s="5">
        <v>9.7269624573378843E-2</v>
      </c>
      <c r="L4149" s="5">
        <v>7.3947667804323096E-3</v>
      </c>
    </row>
    <row r="4150" spans="7:12">
      <c r="G4150" t="s">
        <v>4801</v>
      </c>
      <c r="H4150" t="s">
        <v>461</v>
      </c>
      <c r="I4150" t="s">
        <v>400</v>
      </c>
      <c r="J4150" s="4">
        <v>1339</v>
      </c>
      <c r="K4150" s="5">
        <v>9.7087378640776698E-2</v>
      </c>
      <c r="L4150" s="5">
        <v>5.9746079163554896E-3</v>
      </c>
    </row>
    <row r="4151" spans="7:12">
      <c r="G4151" t="s">
        <v>4802</v>
      </c>
      <c r="H4151" t="s">
        <v>507</v>
      </c>
      <c r="I4151" t="s">
        <v>370</v>
      </c>
      <c r="J4151" s="4">
        <v>2367</v>
      </c>
      <c r="K4151" s="5">
        <v>9.6746937051119558E-2</v>
      </c>
      <c r="L4151" s="5">
        <v>5.4921841994085337E-3</v>
      </c>
    </row>
    <row r="4152" spans="7:12">
      <c r="G4152" t="s">
        <v>4803</v>
      </c>
      <c r="H4152" t="s">
        <v>517</v>
      </c>
      <c r="I4152" t="s">
        <v>85</v>
      </c>
      <c r="J4152" s="4">
        <v>1034</v>
      </c>
      <c r="K4152" s="5">
        <v>9.6711798839458407E-2</v>
      </c>
      <c r="L4152" s="5">
        <v>1.7408123791102514E-2</v>
      </c>
    </row>
    <row r="4153" spans="7:12">
      <c r="G4153" t="s">
        <v>4804</v>
      </c>
      <c r="H4153" t="s">
        <v>226</v>
      </c>
      <c r="I4153" t="s">
        <v>515</v>
      </c>
      <c r="J4153" s="4">
        <v>1758</v>
      </c>
      <c r="K4153" s="5">
        <v>9.6131968145620028E-2</v>
      </c>
      <c r="L4153" s="5">
        <v>2.844141069397042E-3</v>
      </c>
    </row>
    <row r="4154" spans="7:12">
      <c r="G4154" t="s">
        <v>4805</v>
      </c>
      <c r="H4154" t="s">
        <v>440</v>
      </c>
      <c r="I4154" t="s">
        <v>461</v>
      </c>
      <c r="J4154" s="4">
        <v>2202</v>
      </c>
      <c r="K4154" s="5">
        <v>9.5367847411444148E-2</v>
      </c>
      <c r="L4154" s="5">
        <v>6.3578564940962763E-3</v>
      </c>
    </row>
    <row r="4155" spans="7:12">
      <c r="G4155" t="s">
        <v>4806</v>
      </c>
      <c r="H4155" t="s">
        <v>416</v>
      </c>
      <c r="I4155" t="s">
        <v>346</v>
      </c>
      <c r="J4155" s="4">
        <v>1961</v>
      </c>
      <c r="K4155" s="5">
        <v>9.5359510453850077E-2</v>
      </c>
      <c r="L4155" s="5">
        <v>1.1728709841917389E-2</v>
      </c>
    </row>
    <row r="4156" spans="7:12">
      <c r="G4156" t="s">
        <v>4807</v>
      </c>
      <c r="H4156" t="s">
        <v>513</v>
      </c>
      <c r="I4156" t="s">
        <v>475</v>
      </c>
      <c r="J4156" s="4">
        <v>1086</v>
      </c>
      <c r="K4156" s="5">
        <v>9.4843462246777158E-2</v>
      </c>
      <c r="L4156" s="5">
        <v>2.9465930018416207E-2</v>
      </c>
    </row>
    <row r="4157" spans="7:12">
      <c r="G4157" t="s">
        <v>4808</v>
      </c>
      <c r="H4157" t="s">
        <v>519</v>
      </c>
      <c r="I4157" t="s">
        <v>461</v>
      </c>
      <c r="J4157" s="4">
        <v>2196</v>
      </c>
      <c r="K4157" s="5">
        <v>9.4262295081967207E-2</v>
      </c>
      <c r="L4157" s="5">
        <v>8.1967213114754103E-3</v>
      </c>
    </row>
    <row r="4158" spans="7:12">
      <c r="G4158" t="s">
        <v>4809</v>
      </c>
      <c r="H4158" t="s">
        <v>4708</v>
      </c>
      <c r="I4158" t="s">
        <v>218</v>
      </c>
      <c r="J4158" s="4">
        <v>1535</v>
      </c>
      <c r="K4158" s="5">
        <v>9.3811074918566772E-2</v>
      </c>
      <c r="L4158" s="5">
        <v>7.8175895765472316E-3</v>
      </c>
    </row>
    <row r="4159" spans="7:12">
      <c r="G4159" t="s">
        <v>4810</v>
      </c>
      <c r="H4159" t="s">
        <v>461</v>
      </c>
      <c r="I4159" t="s">
        <v>497</v>
      </c>
      <c r="J4159" s="4">
        <v>3270</v>
      </c>
      <c r="K4159" s="5">
        <v>9.3577981651376152E-2</v>
      </c>
      <c r="L4159" s="5">
        <v>1.2232415902140672E-3</v>
      </c>
    </row>
    <row r="4160" spans="7:12">
      <c r="G4160" t="s">
        <v>4811</v>
      </c>
      <c r="H4160" t="s">
        <v>406</v>
      </c>
      <c r="I4160" t="s">
        <v>461</v>
      </c>
      <c r="J4160" s="4">
        <v>2106</v>
      </c>
      <c r="K4160" s="5">
        <v>9.3542260208926878E-2</v>
      </c>
      <c r="L4160" s="5">
        <v>3.3238366571699905E-3</v>
      </c>
    </row>
    <row r="4161" spans="7:12">
      <c r="G4161" t="s">
        <v>4812</v>
      </c>
      <c r="H4161" t="s">
        <v>519</v>
      </c>
      <c r="I4161" t="s">
        <v>215</v>
      </c>
      <c r="J4161" s="4">
        <v>3237</v>
      </c>
      <c r="K4161" s="5">
        <v>9.3296261970960762E-2</v>
      </c>
      <c r="L4161" s="5">
        <v>9.8856966326845847E-3</v>
      </c>
    </row>
    <row r="4162" spans="7:12">
      <c r="G4162" t="s">
        <v>4813</v>
      </c>
      <c r="H4162" t="s">
        <v>461</v>
      </c>
      <c r="I4162" t="s">
        <v>4814</v>
      </c>
      <c r="J4162" s="4">
        <v>1878</v>
      </c>
      <c r="K4162" s="5">
        <v>9.3184238551650686E-2</v>
      </c>
      <c r="L4162" s="5">
        <v>6.3897763578274758E-3</v>
      </c>
    </row>
    <row r="4163" spans="7:12">
      <c r="G4163" t="s">
        <v>4815</v>
      </c>
      <c r="H4163" t="s">
        <v>432</v>
      </c>
      <c r="I4163" t="s">
        <v>326</v>
      </c>
      <c r="J4163" s="4">
        <v>1095</v>
      </c>
      <c r="K4163" s="5">
        <v>9.3150684931506855E-2</v>
      </c>
      <c r="L4163" s="5">
        <v>2.7397260273972603E-3</v>
      </c>
    </row>
    <row r="4164" spans="7:12">
      <c r="G4164" t="s">
        <v>4816</v>
      </c>
      <c r="H4164" t="s">
        <v>370</v>
      </c>
      <c r="I4164" t="s">
        <v>374</v>
      </c>
      <c r="J4164" s="4">
        <v>2298</v>
      </c>
      <c r="K4164" s="5">
        <v>9.3124456048738036E-2</v>
      </c>
      <c r="L4164" s="5">
        <v>1.7406440382941688E-3</v>
      </c>
    </row>
    <row r="4165" spans="7:12">
      <c r="G4165" t="s">
        <v>4817</v>
      </c>
      <c r="H4165" t="s">
        <v>466</v>
      </c>
      <c r="I4165" t="s">
        <v>218</v>
      </c>
      <c r="J4165" s="4">
        <v>2918</v>
      </c>
      <c r="K4165" s="5">
        <v>9.2871830020562027E-2</v>
      </c>
      <c r="L4165" s="5">
        <v>1.4736120630568882E-2</v>
      </c>
    </row>
    <row r="4166" spans="7:12">
      <c r="G4166" t="s">
        <v>4818</v>
      </c>
      <c r="H4166" t="s">
        <v>457</v>
      </c>
      <c r="I4166" t="s">
        <v>461</v>
      </c>
      <c r="J4166" s="4">
        <v>2014</v>
      </c>
      <c r="K4166" s="5">
        <v>9.2353525322740812E-2</v>
      </c>
      <c r="L4166" s="5">
        <v>3.4756703078450842E-3</v>
      </c>
    </row>
    <row r="4167" spans="7:12">
      <c r="G4167" t="s">
        <v>4819</v>
      </c>
      <c r="H4167" t="s">
        <v>395</v>
      </c>
      <c r="I4167" t="s">
        <v>461</v>
      </c>
      <c r="J4167" s="4">
        <v>3249</v>
      </c>
      <c r="K4167" s="5">
        <v>9.141274238227147E-2</v>
      </c>
      <c r="L4167" s="5">
        <v>3.3856571252693138E-3</v>
      </c>
    </row>
    <row r="4168" spans="7:12">
      <c r="G4168" t="s">
        <v>4820</v>
      </c>
      <c r="H4168" t="s">
        <v>461</v>
      </c>
      <c r="I4168" t="s">
        <v>523</v>
      </c>
      <c r="J4168" s="4">
        <v>4313</v>
      </c>
      <c r="K4168" s="5">
        <v>9.1351727335961044E-2</v>
      </c>
      <c r="L4168" s="5">
        <v>1.159285879897983E-3</v>
      </c>
    </row>
    <row r="4169" spans="7:12">
      <c r="G4169" t="s">
        <v>4821</v>
      </c>
      <c r="H4169" t="s">
        <v>484</v>
      </c>
      <c r="I4169" t="s">
        <v>370</v>
      </c>
      <c r="J4169" s="4">
        <v>4228</v>
      </c>
      <c r="K4169" s="5">
        <v>9.1296121097445601E-2</v>
      </c>
      <c r="L4169" s="5">
        <v>3.3112582781456954E-3</v>
      </c>
    </row>
    <row r="4170" spans="7:12">
      <c r="G4170" t="s">
        <v>4822</v>
      </c>
      <c r="H4170" t="s">
        <v>489</v>
      </c>
      <c r="I4170" t="s">
        <v>461</v>
      </c>
      <c r="J4170" s="4">
        <v>5508</v>
      </c>
      <c r="K4170" s="5">
        <v>9.1140159767610751E-2</v>
      </c>
      <c r="L4170" s="5">
        <v>4.720406681190995E-3</v>
      </c>
    </row>
    <row r="4171" spans="7:12">
      <c r="G4171" t="s">
        <v>4823</v>
      </c>
      <c r="H4171" t="s">
        <v>4824</v>
      </c>
      <c r="I4171" t="s">
        <v>463</v>
      </c>
      <c r="J4171" s="4">
        <v>1254</v>
      </c>
      <c r="K4171" s="5">
        <v>9.0909090909090912E-2</v>
      </c>
      <c r="L4171" s="5">
        <v>5.4226475279106859E-2</v>
      </c>
    </row>
    <row r="4172" spans="7:12">
      <c r="G4172" t="s">
        <v>4825</v>
      </c>
      <c r="H4172" t="s">
        <v>449</v>
      </c>
      <c r="I4172" t="s">
        <v>377</v>
      </c>
      <c r="J4172" s="4">
        <v>3926</v>
      </c>
      <c r="K4172" s="5">
        <v>9.0677534386143663E-2</v>
      </c>
      <c r="L4172" s="5">
        <v>4.8395313295975552E-3</v>
      </c>
    </row>
    <row r="4173" spans="7:12">
      <c r="G4173" t="s">
        <v>4826</v>
      </c>
      <c r="H4173" t="s">
        <v>436</v>
      </c>
      <c r="I4173" t="s">
        <v>461</v>
      </c>
      <c r="J4173" s="4">
        <v>3137</v>
      </c>
      <c r="K4173" s="5">
        <v>9.0532355753905003E-2</v>
      </c>
      <c r="L4173" s="5">
        <v>6.0567421102964616E-3</v>
      </c>
    </row>
    <row r="4174" spans="7:12">
      <c r="G4174" t="s">
        <v>4827</v>
      </c>
      <c r="H4174" t="s">
        <v>461</v>
      </c>
      <c r="I4174" t="s">
        <v>404</v>
      </c>
      <c r="J4174" s="4">
        <v>2984</v>
      </c>
      <c r="K4174" s="5">
        <v>9.048257372654156E-2</v>
      </c>
      <c r="L4174" s="5">
        <v>2.6809651474530832E-3</v>
      </c>
    </row>
    <row r="4175" spans="7:12">
      <c r="G4175" t="s">
        <v>4828</v>
      </c>
      <c r="H4175" t="s">
        <v>461</v>
      </c>
      <c r="I4175" t="s">
        <v>440</v>
      </c>
      <c r="J4175" s="4">
        <v>2202</v>
      </c>
      <c r="K4175" s="5">
        <v>8.8101725703905537E-2</v>
      </c>
      <c r="L4175" s="5">
        <v>4.9954586739327884E-3</v>
      </c>
    </row>
    <row r="4176" spans="7:12">
      <c r="G4176" t="s">
        <v>4829</v>
      </c>
      <c r="H4176" t="s">
        <v>372</v>
      </c>
      <c r="I4176" t="s">
        <v>162</v>
      </c>
      <c r="J4176" s="4">
        <v>1475</v>
      </c>
      <c r="K4176" s="5">
        <v>8.7457627118644063E-2</v>
      </c>
      <c r="L4176" s="5">
        <v>1.0169491525423728E-2</v>
      </c>
    </row>
    <row r="4177" spans="7:12">
      <c r="G4177" t="s">
        <v>4830</v>
      </c>
      <c r="H4177" t="s">
        <v>486</v>
      </c>
      <c r="I4177" t="s">
        <v>103</v>
      </c>
      <c r="J4177" s="4">
        <v>1090</v>
      </c>
      <c r="K4177" s="5">
        <v>8.7155963302752298E-2</v>
      </c>
      <c r="L4177" s="5">
        <v>2.3853211009174313E-2</v>
      </c>
    </row>
    <row r="4178" spans="7:12">
      <c r="G4178" t="s">
        <v>4831</v>
      </c>
      <c r="H4178" t="s">
        <v>426</v>
      </c>
      <c r="I4178" t="s">
        <v>218</v>
      </c>
      <c r="J4178" s="4">
        <v>4024</v>
      </c>
      <c r="K4178" s="5">
        <v>8.6978131212723658E-2</v>
      </c>
      <c r="L4178" s="5">
        <v>7.7037773359840958E-3</v>
      </c>
    </row>
    <row r="4179" spans="7:12">
      <c r="G4179" t="s">
        <v>4832</v>
      </c>
      <c r="H4179" t="s">
        <v>497</v>
      </c>
      <c r="I4179" t="s">
        <v>218</v>
      </c>
      <c r="J4179" s="4">
        <v>2393</v>
      </c>
      <c r="K4179" s="5">
        <v>8.6084412870873386E-2</v>
      </c>
      <c r="L4179" s="5">
        <v>9.1934809862097792E-3</v>
      </c>
    </row>
    <row r="4180" spans="7:12">
      <c r="G4180" t="s">
        <v>4833</v>
      </c>
      <c r="H4180" t="s">
        <v>466</v>
      </c>
      <c r="I4180" t="s">
        <v>461</v>
      </c>
      <c r="J4180" s="4">
        <v>3539</v>
      </c>
      <c r="K4180" s="5">
        <v>8.4769708957332573E-2</v>
      </c>
      <c r="L4180" s="5">
        <v>1.2150324950551003E-2</v>
      </c>
    </row>
    <row r="4181" spans="7:12">
      <c r="G4181" t="s">
        <v>4834</v>
      </c>
      <c r="H4181" t="s">
        <v>461</v>
      </c>
      <c r="I4181" t="s">
        <v>443</v>
      </c>
      <c r="J4181" s="4">
        <v>2196</v>
      </c>
      <c r="K4181" s="5">
        <v>8.4699453551912565E-2</v>
      </c>
      <c r="L4181" s="5">
        <v>5.9198542805100184E-3</v>
      </c>
    </row>
    <row r="4182" spans="7:12">
      <c r="G4182" t="s">
        <v>4835</v>
      </c>
      <c r="H4182" t="s">
        <v>356</v>
      </c>
      <c r="I4182" t="s">
        <v>233</v>
      </c>
      <c r="J4182" s="4">
        <v>2674</v>
      </c>
      <c r="K4182" s="5">
        <v>8.4517576664173519E-2</v>
      </c>
      <c r="L4182" s="5">
        <v>4.8616305160807775E-3</v>
      </c>
    </row>
    <row r="4183" spans="7:12">
      <c r="G4183" t="s">
        <v>4836</v>
      </c>
      <c r="H4183" t="s">
        <v>386</v>
      </c>
      <c r="I4183" t="s">
        <v>461</v>
      </c>
      <c r="J4183" s="4">
        <v>3436</v>
      </c>
      <c r="K4183" s="5">
        <v>8.4109429569266592E-2</v>
      </c>
      <c r="L4183" s="5">
        <v>5.5296856810244472E-3</v>
      </c>
    </row>
    <row r="4184" spans="7:12">
      <c r="G4184" t="s">
        <v>4837</v>
      </c>
      <c r="H4184" t="s">
        <v>3777</v>
      </c>
      <c r="I4184" t="s">
        <v>495</v>
      </c>
      <c r="J4184" s="4">
        <v>1096</v>
      </c>
      <c r="K4184" s="5">
        <v>8.211678832116788E-2</v>
      </c>
      <c r="L4184" s="5">
        <v>1.6423357664233577E-2</v>
      </c>
    </row>
    <row r="4185" spans="7:12">
      <c r="G4185" t="s">
        <v>4838</v>
      </c>
      <c r="H4185" t="s">
        <v>4839</v>
      </c>
      <c r="I4185" t="s">
        <v>461</v>
      </c>
      <c r="J4185" s="4">
        <v>1096</v>
      </c>
      <c r="K4185" s="5">
        <v>8.211678832116788E-2</v>
      </c>
      <c r="L4185" s="5">
        <v>9.1240875912408756E-4</v>
      </c>
    </row>
    <row r="4186" spans="7:12">
      <c r="G4186" t="s">
        <v>4840</v>
      </c>
      <c r="H4186" t="s">
        <v>374</v>
      </c>
      <c r="I4186" t="s">
        <v>377</v>
      </c>
      <c r="J4186" s="4">
        <v>1098</v>
      </c>
      <c r="K4186" s="5">
        <v>8.1967213114754092E-2</v>
      </c>
      <c r="L4186" s="5">
        <v>6.375227686703097E-3</v>
      </c>
    </row>
    <row r="4187" spans="7:12">
      <c r="G4187" t="s">
        <v>4841</v>
      </c>
      <c r="H4187" t="s">
        <v>4814</v>
      </c>
      <c r="I4187" t="s">
        <v>461</v>
      </c>
      <c r="J4187" s="4">
        <v>1878</v>
      </c>
      <c r="K4187" s="5">
        <v>8.1469648562300323E-2</v>
      </c>
      <c r="L4187" s="5">
        <v>6.9222577209797657E-3</v>
      </c>
    </row>
    <row r="4188" spans="7:12">
      <c r="G4188" t="s">
        <v>4842</v>
      </c>
      <c r="H4188" t="s">
        <v>461</v>
      </c>
      <c r="I4188" t="s">
        <v>4839</v>
      </c>
      <c r="J4188" s="4">
        <v>1096</v>
      </c>
      <c r="K4188" s="5">
        <v>8.1204379562043794E-2</v>
      </c>
      <c r="L4188" s="5">
        <v>0</v>
      </c>
    </row>
    <row r="4189" spans="7:12">
      <c r="G4189" t="s">
        <v>4843</v>
      </c>
      <c r="H4189" t="s">
        <v>443</v>
      </c>
      <c r="I4189" t="s">
        <v>461</v>
      </c>
      <c r="J4189" s="4">
        <v>2196</v>
      </c>
      <c r="K4189" s="5">
        <v>7.9234972677595633E-2</v>
      </c>
      <c r="L4189" s="5">
        <v>5.9198542805100184E-3</v>
      </c>
    </row>
    <row r="4190" spans="7:12">
      <c r="G4190" t="s">
        <v>4844</v>
      </c>
      <c r="H4190" t="s">
        <v>400</v>
      </c>
      <c r="I4190" t="s">
        <v>461</v>
      </c>
      <c r="J4190" s="4">
        <v>1338</v>
      </c>
      <c r="K4190" s="5">
        <v>7.9222720478325862E-2</v>
      </c>
      <c r="L4190" s="5">
        <v>7.4738415545590429E-3</v>
      </c>
    </row>
    <row r="4191" spans="7:12">
      <c r="G4191" t="s">
        <v>4845</v>
      </c>
      <c r="H4191" t="s">
        <v>489</v>
      </c>
      <c r="I4191" t="s">
        <v>218</v>
      </c>
      <c r="J4191" s="4">
        <v>2486</v>
      </c>
      <c r="K4191" s="5">
        <v>7.7634754625905064E-2</v>
      </c>
      <c r="L4191" s="5">
        <v>8.4473049074818979E-3</v>
      </c>
    </row>
    <row r="4192" spans="7:12">
      <c r="G4192" t="s">
        <v>4846</v>
      </c>
      <c r="H4192" t="s">
        <v>461</v>
      </c>
      <c r="I4192" t="s">
        <v>4847</v>
      </c>
      <c r="J4192" s="4">
        <v>1710</v>
      </c>
      <c r="K4192" s="5">
        <v>7.7192982456140355E-2</v>
      </c>
      <c r="L4192" s="5">
        <v>4.0935672514619886E-3</v>
      </c>
    </row>
    <row r="4193" spans="7:12">
      <c r="G4193" t="s">
        <v>4848</v>
      </c>
      <c r="H4193" t="s">
        <v>291</v>
      </c>
      <c r="I4193" t="s">
        <v>461</v>
      </c>
      <c r="J4193" s="4">
        <v>1428</v>
      </c>
      <c r="K4193" s="5">
        <v>7.7030812324929976E-2</v>
      </c>
      <c r="L4193" s="5">
        <v>2.8011204481792717E-3</v>
      </c>
    </row>
    <row r="4194" spans="7:12">
      <c r="G4194" t="s">
        <v>4849</v>
      </c>
      <c r="H4194" t="s">
        <v>523</v>
      </c>
      <c r="I4194" t="s">
        <v>461</v>
      </c>
      <c r="J4194" s="4">
        <v>4313</v>
      </c>
      <c r="K4194" s="5">
        <v>7.6976582425226064E-2</v>
      </c>
      <c r="L4194" s="5">
        <v>1.159285879897983E-3</v>
      </c>
    </row>
    <row r="4195" spans="7:12">
      <c r="G4195" t="s">
        <v>4850</v>
      </c>
      <c r="H4195" t="s">
        <v>515</v>
      </c>
      <c r="I4195" t="s">
        <v>326</v>
      </c>
      <c r="J4195" s="4">
        <v>1156</v>
      </c>
      <c r="K4195" s="5">
        <v>7.6124567474048443E-2</v>
      </c>
      <c r="L4195" s="5">
        <v>2.5951557093425604E-3</v>
      </c>
    </row>
    <row r="4196" spans="7:12">
      <c r="G4196" t="s">
        <v>4851</v>
      </c>
      <c r="H4196" t="s">
        <v>527</v>
      </c>
      <c r="I4196" t="s">
        <v>461</v>
      </c>
      <c r="J4196" s="4">
        <v>3284</v>
      </c>
      <c r="K4196" s="5">
        <v>7.5517661388550553E-2</v>
      </c>
      <c r="L4196" s="5">
        <v>1.2180267965895249E-3</v>
      </c>
    </row>
    <row r="4197" spans="7:12">
      <c r="G4197" t="s">
        <v>4852</v>
      </c>
      <c r="H4197" t="s">
        <v>531</v>
      </c>
      <c r="I4197" t="s">
        <v>461</v>
      </c>
      <c r="J4197" s="4">
        <v>3113</v>
      </c>
      <c r="K4197" s="5">
        <v>7.3883713459685196E-2</v>
      </c>
      <c r="L4197" s="5">
        <v>2.2486347574686796E-3</v>
      </c>
    </row>
    <row r="4198" spans="7:12">
      <c r="G4198" t="s">
        <v>4853</v>
      </c>
      <c r="H4198" t="s">
        <v>461</v>
      </c>
      <c r="I4198" t="s">
        <v>412</v>
      </c>
      <c r="J4198" s="4">
        <v>3389</v>
      </c>
      <c r="K4198" s="5">
        <v>7.3768073177928592E-2</v>
      </c>
      <c r="L4198" s="5">
        <v>1.7704337562702863E-3</v>
      </c>
    </row>
    <row r="4199" spans="7:12">
      <c r="G4199" t="s">
        <v>4854</v>
      </c>
      <c r="H4199" t="s">
        <v>527</v>
      </c>
      <c r="I4199" t="s">
        <v>377</v>
      </c>
      <c r="J4199" s="4">
        <v>1096</v>
      </c>
      <c r="K4199" s="5">
        <v>7.2992700729927001E-2</v>
      </c>
      <c r="L4199" s="5">
        <v>3.6496350364963502E-3</v>
      </c>
    </row>
    <row r="4200" spans="7:12">
      <c r="G4200" t="s">
        <v>4855</v>
      </c>
      <c r="H4200" t="s">
        <v>461</v>
      </c>
      <c r="I4200" t="s">
        <v>4856</v>
      </c>
      <c r="J4200" s="4">
        <v>1905</v>
      </c>
      <c r="K4200" s="5">
        <v>7.1391076115485563E-2</v>
      </c>
      <c r="L4200" s="5">
        <v>2.0997375328083989E-3</v>
      </c>
    </row>
    <row r="4201" spans="7:12">
      <c r="G4201" t="s">
        <v>4857</v>
      </c>
      <c r="H4201" t="s">
        <v>525</v>
      </c>
      <c r="I4201" t="s">
        <v>103</v>
      </c>
      <c r="J4201" s="4">
        <v>1096</v>
      </c>
      <c r="K4201" s="5">
        <v>7.0255474452554742E-2</v>
      </c>
      <c r="L4201" s="5">
        <v>1.7335766423357664E-2</v>
      </c>
    </row>
    <row r="4202" spans="7:12">
      <c r="G4202" t="s">
        <v>4858</v>
      </c>
      <c r="H4202" t="s">
        <v>412</v>
      </c>
      <c r="I4202" t="s">
        <v>461</v>
      </c>
      <c r="J4202" s="4">
        <v>3389</v>
      </c>
      <c r="K4202" s="5">
        <v>6.9637061079964591E-2</v>
      </c>
      <c r="L4202" s="5">
        <v>1.7704337562702863E-3</v>
      </c>
    </row>
    <row r="4203" spans="7:12">
      <c r="G4203" t="s">
        <v>4859</v>
      </c>
      <c r="H4203" t="s">
        <v>340</v>
      </c>
      <c r="I4203" t="s">
        <v>322</v>
      </c>
      <c r="J4203" s="4">
        <v>1012</v>
      </c>
      <c r="K4203" s="5">
        <v>6.9169960474308304E-2</v>
      </c>
      <c r="L4203" s="5">
        <v>7.9051383399209481E-3</v>
      </c>
    </row>
    <row r="4204" spans="7:12">
      <c r="G4204" t="s">
        <v>4860</v>
      </c>
      <c r="H4204" t="s">
        <v>461</v>
      </c>
      <c r="I4204" t="s">
        <v>4861</v>
      </c>
      <c r="J4204" s="4">
        <v>1237</v>
      </c>
      <c r="K4204" s="5">
        <v>6.8714632174616E-2</v>
      </c>
      <c r="L4204" s="5">
        <v>3.2336297493936943E-3</v>
      </c>
    </row>
    <row r="4205" spans="7:12">
      <c r="G4205" t="s">
        <v>4862</v>
      </c>
      <c r="H4205" t="s">
        <v>434</v>
      </c>
      <c r="I4205" t="s">
        <v>461</v>
      </c>
      <c r="J4205" s="4">
        <v>3254</v>
      </c>
      <c r="K4205" s="5">
        <v>6.7916410571604177E-2</v>
      </c>
      <c r="L4205" s="5">
        <v>3.0731407498463428E-3</v>
      </c>
    </row>
    <row r="4206" spans="7:12">
      <c r="G4206" t="s">
        <v>4863</v>
      </c>
      <c r="H4206" t="s">
        <v>434</v>
      </c>
      <c r="I4206" t="s">
        <v>398</v>
      </c>
      <c r="J4206" s="4">
        <v>1001</v>
      </c>
      <c r="K4206" s="5">
        <v>6.5934065934065936E-2</v>
      </c>
      <c r="L4206" s="5">
        <v>0</v>
      </c>
    </row>
    <row r="4207" spans="7:12">
      <c r="G4207" t="s">
        <v>4864</v>
      </c>
      <c r="H4207" t="s">
        <v>461</v>
      </c>
      <c r="I4207" t="s">
        <v>4865</v>
      </c>
      <c r="J4207" s="4">
        <v>1733</v>
      </c>
      <c r="K4207" s="5">
        <v>6.5781881130986722E-2</v>
      </c>
      <c r="L4207" s="5">
        <v>1.1540680900173109E-3</v>
      </c>
    </row>
    <row r="4208" spans="7:12">
      <c r="G4208" t="s">
        <v>4866</v>
      </c>
      <c r="H4208" t="s">
        <v>515</v>
      </c>
      <c r="I4208" t="s">
        <v>131</v>
      </c>
      <c r="J4208" s="4">
        <v>1096</v>
      </c>
      <c r="K4208" s="5">
        <v>6.569343065693431E-2</v>
      </c>
      <c r="L4208" s="5">
        <v>9.1240875912408756E-4</v>
      </c>
    </row>
    <row r="4209" spans="7:12">
      <c r="G4209" t="s">
        <v>4867</v>
      </c>
      <c r="H4209" t="s">
        <v>4856</v>
      </c>
      <c r="I4209" t="s">
        <v>461</v>
      </c>
      <c r="J4209" s="4">
        <v>1905</v>
      </c>
      <c r="K4209" s="5">
        <v>6.5091863517060367E-2</v>
      </c>
      <c r="L4209" s="5">
        <v>2.0997375328083989E-3</v>
      </c>
    </row>
    <row r="4210" spans="7:12">
      <c r="G4210" t="s">
        <v>4868</v>
      </c>
      <c r="H4210" t="s">
        <v>461</v>
      </c>
      <c r="I4210" t="s">
        <v>531</v>
      </c>
      <c r="J4210" s="4">
        <v>3113</v>
      </c>
      <c r="K4210" s="5">
        <v>6.4889174429810473E-2</v>
      </c>
      <c r="L4210" s="5">
        <v>1.9274012206874397E-3</v>
      </c>
    </row>
    <row r="4211" spans="7:12">
      <c r="G4211" t="s">
        <v>4869</v>
      </c>
      <c r="H4211" t="s">
        <v>521</v>
      </c>
      <c r="I4211" t="s">
        <v>461</v>
      </c>
      <c r="J4211" s="4">
        <v>2625</v>
      </c>
      <c r="K4211" s="5">
        <v>6.4761904761904757E-2</v>
      </c>
      <c r="L4211" s="5">
        <v>6.0952380952380954E-3</v>
      </c>
    </row>
    <row r="4212" spans="7:12">
      <c r="G4212" t="s">
        <v>4870</v>
      </c>
      <c r="H4212" t="s">
        <v>525</v>
      </c>
      <c r="I4212" t="s">
        <v>326</v>
      </c>
      <c r="J4212" s="4">
        <v>1156</v>
      </c>
      <c r="K4212" s="5">
        <v>6.3148788927335636E-2</v>
      </c>
      <c r="L4212" s="5">
        <v>5.1903114186851208E-3</v>
      </c>
    </row>
    <row r="4213" spans="7:12">
      <c r="G4213" t="s">
        <v>4871</v>
      </c>
      <c r="H4213" t="s">
        <v>410</v>
      </c>
      <c r="I4213" t="s">
        <v>346</v>
      </c>
      <c r="J4213" s="4">
        <v>1278</v>
      </c>
      <c r="K4213" s="5">
        <v>6.1815336463223784E-2</v>
      </c>
      <c r="L4213" s="5">
        <v>5.4773082942097028E-3</v>
      </c>
    </row>
    <row r="4214" spans="7:12">
      <c r="G4214" t="s">
        <v>4872</v>
      </c>
      <c r="H4214" t="s">
        <v>461</v>
      </c>
      <c r="I4214" t="s">
        <v>521</v>
      </c>
      <c r="J4214" s="4">
        <v>2625</v>
      </c>
      <c r="K4214" s="5">
        <v>6.1714285714285715E-2</v>
      </c>
      <c r="L4214" s="5">
        <v>6.0952380952380954E-3</v>
      </c>
    </row>
    <row r="4215" spans="7:12">
      <c r="G4215" t="s">
        <v>4873</v>
      </c>
      <c r="H4215" t="s">
        <v>404</v>
      </c>
      <c r="I4215" t="s">
        <v>461</v>
      </c>
      <c r="J4215" s="4">
        <v>2984</v>
      </c>
      <c r="K4215" s="5">
        <v>6.1662198391420911E-2</v>
      </c>
      <c r="L4215" s="5">
        <v>4.0214477211796247E-3</v>
      </c>
    </row>
    <row r="4216" spans="7:12">
      <c r="G4216" t="s">
        <v>4874</v>
      </c>
      <c r="H4216" t="s">
        <v>4875</v>
      </c>
      <c r="I4216" t="s">
        <v>3777</v>
      </c>
      <c r="J4216" s="4">
        <v>1125</v>
      </c>
      <c r="K4216" s="5">
        <v>6.133333333333333E-2</v>
      </c>
      <c r="L4216" s="5">
        <v>8.8888888888888889E-3</v>
      </c>
    </row>
    <row r="4217" spans="7:12">
      <c r="G4217" t="s">
        <v>4876</v>
      </c>
      <c r="H4217" t="s">
        <v>4865</v>
      </c>
      <c r="I4217" t="s">
        <v>461</v>
      </c>
      <c r="J4217" s="4">
        <v>1734</v>
      </c>
      <c r="K4217" s="5">
        <v>5.6516724336793542E-2</v>
      </c>
      <c r="L4217" s="5">
        <v>1.1534025374855825E-3</v>
      </c>
    </row>
    <row r="4218" spans="7:12">
      <c r="G4218" t="s">
        <v>4877</v>
      </c>
      <c r="H4218" t="s">
        <v>497</v>
      </c>
      <c r="I4218" t="s">
        <v>461</v>
      </c>
      <c r="J4218" s="4">
        <v>3270</v>
      </c>
      <c r="K4218" s="5">
        <v>5.565749235474006E-2</v>
      </c>
      <c r="L4218" s="5">
        <v>9.1743119266055051E-4</v>
      </c>
    </row>
    <row r="4219" spans="7:12">
      <c r="G4219" t="s">
        <v>4878</v>
      </c>
      <c r="H4219" t="s">
        <v>1908</v>
      </c>
      <c r="I4219" t="s">
        <v>461</v>
      </c>
      <c r="J4219" s="4">
        <v>2190</v>
      </c>
      <c r="K4219" s="5">
        <v>5.5251141552511415E-2</v>
      </c>
      <c r="L4219" s="5">
        <v>4.10958904109589E-3</v>
      </c>
    </row>
    <row r="4220" spans="7:12">
      <c r="G4220" t="s">
        <v>4879</v>
      </c>
      <c r="H4220" t="s">
        <v>4861</v>
      </c>
      <c r="I4220" t="s">
        <v>461</v>
      </c>
      <c r="J4220" s="4">
        <v>1236</v>
      </c>
      <c r="K4220" s="5">
        <v>5.5016181229773461E-2</v>
      </c>
      <c r="L4220" s="5">
        <v>3.2362459546925568E-3</v>
      </c>
    </row>
    <row r="4221" spans="7:12">
      <c r="G4221" t="s">
        <v>4880</v>
      </c>
      <c r="H4221" t="s">
        <v>4847</v>
      </c>
      <c r="I4221" t="s">
        <v>461</v>
      </c>
      <c r="J4221" s="4">
        <v>1710</v>
      </c>
      <c r="K4221" s="5">
        <v>5.3216374269005849E-2</v>
      </c>
      <c r="L4221" s="5">
        <v>6.4327485380116962E-3</v>
      </c>
    </row>
    <row r="4222" spans="7:12">
      <c r="G4222" t="s">
        <v>4881</v>
      </c>
      <c r="H4222" t="s">
        <v>486</v>
      </c>
      <c r="I4222" t="s">
        <v>326</v>
      </c>
      <c r="J4222" s="4">
        <v>2255</v>
      </c>
      <c r="K4222" s="5">
        <v>5.2328159645232818E-2</v>
      </c>
      <c r="L4222" s="5">
        <v>2.2172949002217295E-3</v>
      </c>
    </row>
    <row r="4223" spans="7:12">
      <c r="G4223" t="s">
        <v>4882</v>
      </c>
      <c r="H4223" t="s">
        <v>515</v>
      </c>
      <c r="I4223" t="s">
        <v>103</v>
      </c>
      <c r="J4223" s="4">
        <v>1128</v>
      </c>
      <c r="K4223" s="5">
        <v>5.1418439716312055E-2</v>
      </c>
      <c r="L4223" s="5">
        <v>1.3297872340425532E-2</v>
      </c>
    </row>
    <row r="4224" spans="7:12">
      <c r="G4224" t="s">
        <v>4883</v>
      </c>
      <c r="H4224" t="s">
        <v>525</v>
      </c>
      <c r="I4224" t="s">
        <v>515</v>
      </c>
      <c r="J4224" s="4">
        <v>1097</v>
      </c>
      <c r="K4224" s="5">
        <v>5.0136736554238837E-2</v>
      </c>
      <c r="L4224" s="5">
        <v>1.8231540565177757E-3</v>
      </c>
    </row>
    <row r="4225" spans="7:12">
      <c r="G4225" t="s">
        <v>4884</v>
      </c>
      <c r="H4225" t="s">
        <v>461</v>
      </c>
      <c r="I4225" t="s">
        <v>1908</v>
      </c>
      <c r="J4225" s="4">
        <v>2190</v>
      </c>
      <c r="K4225" s="5">
        <v>4.8401826484018265E-2</v>
      </c>
      <c r="L4225" s="5">
        <v>3.6529680365296802E-3</v>
      </c>
    </row>
    <row r="4226" spans="7:12">
      <c r="G4226" t="s">
        <v>4885</v>
      </c>
      <c r="H4226" t="s">
        <v>525</v>
      </c>
      <c r="I4226" t="s">
        <v>131</v>
      </c>
      <c r="J4226" s="4">
        <v>1096</v>
      </c>
      <c r="K4226" s="5">
        <v>4.288321167883212E-2</v>
      </c>
      <c r="L4226" s="5">
        <v>2.7372262773722629E-3</v>
      </c>
    </row>
    <row r="4227" spans="7:12">
      <c r="G4227" t="s">
        <v>4886</v>
      </c>
      <c r="H4227" t="s">
        <v>3777</v>
      </c>
      <c r="I4227" t="s">
        <v>4875</v>
      </c>
      <c r="J4227" s="4">
        <v>1125</v>
      </c>
      <c r="K4227" s="5">
        <v>4.1777777777777775E-2</v>
      </c>
      <c r="L4227" s="5">
        <v>8.8888888888888889E-3</v>
      </c>
    </row>
  </sheetData>
  <mergeCells count="3">
    <mergeCell ref="A1:S1"/>
    <mergeCell ref="A2:S2"/>
    <mergeCell ref="N212:S216"/>
  </mergeCells>
  <pageMargins left="0.7" right="0.7" top="0.75" bottom="0.75" header="0.3" footer="0.3"/>
  <drawing r:id="rId1"/>
  <tableParts count="3">
    <tablePart r:id="rId2"/>
    <tablePart r:id="rId3"/>
    <tablePart r:id="rId4"/>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J16"/>
  <sheetViews>
    <sheetView showGridLines="0" workbookViewId="0"/>
  </sheetViews>
  <sheetFormatPr defaultRowHeight="14.25"/>
  <cols>
    <col min="1" max="1" width="28" customWidth="1"/>
    <col min="2" max="3" width="22" customWidth="1"/>
    <col min="4" max="4" width="12" customWidth="1"/>
    <col min="5" max="5" width="3" customWidth="1"/>
    <col min="6" max="6" width="24" customWidth="1"/>
    <col min="7" max="7" width="38" customWidth="1"/>
    <col min="8" max="8" width="35" customWidth="1"/>
    <col min="9" max="10" width="4" customWidth="1"/>
  </cols>
  <sheetData>
    <row r="1" spans="1:10" ht="30" customHeight="1">
      <c r="A1" s="57" t="s">
        <v>4887</v>
      </c>
      <c r="B1" s="57"/>
      <c r="C1" s="57"/>
      <c r="D1" s="57"/>
      <c r="E1" s="57"/>
      <c r="F1" s="57"/>
      <c r="G1" s="57"/>
      <c r="H1" s="57"/>
      <c r="I1" s="57"/>
      <c r="J1" s="57"/>
    </row>
    <row r="2" spans="1:10" ht="30" customHeight="1">
      <c r="A2" s="58" t="s">
        <v>4888</v>
      </c>
      <c r="B2" s="58"/>
      <c r="C2" s="58"/>
      <c r="D2" s="58"/>
      <c r="E2" s="58"/>
      <c r="F2" s="58"/>
      <c r="G2" s="58"/>
      <c r="H2" s="58"/>
      <c r="I2" s="58"/>
      <c r="J2" s="58"/>
    </row>
    <row r="4" spans="1:10" ht="26.1" customHeight="1">
      <c r="A4" s="1" t="s">
        <v>4889</v>
      </c>
      <c r="B4" s="2" t="s">
        <v>4890</v>
      </c>
      <c r="C4" s="2" t="s">
        <v>4891</v>
      </c>
      <c r="D4" s="3" t="s">
        <v>4892</v>
      </c>
      <c r="F4" s="15" t="s">
        <v>4893</v>
      </c>
      <c r="G4" s="16" t="s">
        <v>4894</v>
      </c>
      <c r="H4" s="17" t="s">
        <v>4895</v>
      </c>
    </row>
    <row r="5" spans="1:10" ht="42" customHeight="1">
      <c r="A5" s="7" t="s">
        <v>4896</v>
      </c>
      <c r="B5" s="4">
        <v>20928579</v>
      </c>
      <c r="C5" s="4">
        <f>'Data Quality'!B5</f>
        <v>20928579</v>
      </c>
      <c r="D5" s="22" t="str">
        <f t="shared" ref="D5:D11" si="0">IF(B5=C5,"PASS","FAIL")</f>
        <v>PASS</v>
      </c>
      <c r="F5" s="31" t="s">
        <v>4897</v>
      </c>
      <c r="G5" s="25" t="s">
        <v>4898</v>
      </c>
      <c r="H5" s="26" t="s">
        <v>4899</v>
      </c>
    </row>
    <row r="6" spans="1:10" ht="42" customHeight="1">
      <c r="A6" s="7" t="s">
        <v>4900</v>
      </c>
      <c r="B6" s="4">
        <v>20928579</v>
      </c>
      <c r="C6" s="4">
        <f>'Data Quality'!B6</f>
        <v>20928579</v>
      </c>
      <c r="D6" s="22" t="str">
        <f t="shared" si="0"/>
        <v>PASS</v>
      </c>
      <c r="F6" s="32" t="s">
        <v>4901</v>
      </c>
      <c r="G6" s="27" t="s">
        <v>4902</v>
      </c>
      <c r="H6" s="28" t="s">
        <v>4903</v>
      </c>
    </row>
    <row r="7" spans="1:10" ht="42" customHeight="1">
      <c r="A7" s="7" t="s">
        <v>4904</v>
      </c>
      <c r="B7" s="4">
        <v>0</v>
      </c>
      <c r="C7" s="4">
        <f>'Data Quality'!B7</f>
        <v>0</v>
      </c>
      <c r="D7" s="22" t="str">
        <f t="shared" si="0"/>
        <v>PASS</v>
      </c>
      <c r="F7" s="32" t="s">
        <v>4905</v>
      </c>
      <c r="G7" s="27" t="s">
        <v>4906</v>
      </c>
      <c r="H7" s="28" t="s">
        <v>4907</v>
      </c>
    </row>
    <row r="8" spans="1:10" ht="42" customHeight="1">
      <c r="A8" s="7" t="s">
        <v>4908</v>
      </c>
      <c r="B8" s="4">
        <v>20928579</v>
      </c>
      <c r="C8" s="4">
        <f>SUM('Delay Trends'!D5:D40)</f>
        <v>20928579</v>
      </c>
      <c r="D8" s="22" t="str">
        <f t="shared" si="0"/>
        <v>PASS</v>
      </c>
      <c r="F8" s="32" t="s">
        <v>4909</v>
      </c>
      <c r="G8" s="27" t="s">
        <v>4910</v>
      </c>
      <c r="H8" s="28" t="s">
        <v>4911</v>
      </c>
    </row>
    <row r="9" spans="1:10" ht="42" customHeight="1">
      <c r="A9" s="7" t="s">
        <v>4912</v>
      </c>
      <c r="B9" s="4">
        <v>287134</v>
      </c>
      <c r="C9" s="4">
        <f>ROUND(SUM('Delay Trends'!M5:M40),0)</f>
        <v>287134</v>
      </c>
      <c r="D9" s="22" t="str">
        <f t="shared" si="0"/>
        <v>PASS</v>
      </c>
      <c r="F9" s="32" t="s">
        <v>4913</v>
      </c>
      <c r="G9" s="27" t="s">
        <v>4914</v>
      </c>
      <c r="H9" s="28" t="s">
        <v>4915</v>
      </c>
    </row>
    <row r="10" spans="1:10" ht="42" customHeight="1">
      <c r="A10" s="7" t="s">
        <v>4916</v>
      </c>
      <c r="B10" s="4">
        <v>53309</v>
      </c>
      <c r="C10" s="4">
        <f>ROUND(SUM('Delay Trends'!N5:N40),0)</f>
        <v>53309</v>
      </c>
      <c r="D10" s="22" t="str">
        <f t="shared" si="0"/>
        <v>PASS</v>
      </c>
      <c r="F10" s="32" t="s">
        <v>4917</v>
      </c>
      <c r="G10" s="27" t="s">
        <v>4918</v>
      </c>
      <c r="H10" s="28" t="s">
        <v>4919</v>
      </c>
    </row>
    <row r="11" spans="1:10" ht="42" customHeight="1">
      <c r="A11" s="9" t="s">
        <v>4920</v>
      </c>
      <c r="B11" s="10" t="s">
        <v>4921</v>
      </c>
      <c r="C11" s="10" t="str">
        <f>"2023-01-01 to 2025-12-31"</f>
        <v>2023-01-01 to 2025-12-31</v>
      </c>
      <c r="D11" s="24" t="str">
        <f t="shared" si="0"/>
        <v>PASS</v>
      </c>
      <c r="F11" s="32" t="s">
        <v>4922</v>
      </c>
      <c r="G11" s="27" t="s">
        <v>4923</v>
      </c>
      <c r="H11" s="28" t="s">
        <v>4924</v>
      </c>
    </row>
    <row r="12" spans="1:10" ht="42" customHeight="1">
      <c r="F12" s="33" t="s">
        <v>4925</v>
      </c>
      <c r="G12" s="29" t="s">
        <v>4926</v>
      </c>
      <c r="H12" s="30" t="str">
        <f>COUNTIFS('Delay Trends'!$D$5:$D$40,"&gt;0")&amp;" populated months; expected 36."</f>
        <v>36 populated months; expected 36.</v>
      </c>
    </row>
    <row r="14" spans="1:10">
      <c r="A14" s="106" t="s">
        <v>4927</v>
      </c>
      <c r="B14" s="107"/>
      <c r="C14" s="107"/>
      <c r="D14" s="107"/>
      <c r="E14" s="107"/>
      <c r="F14" s="107"/>
      <c r="G14" s="107"/>
      <c r="H14" s="107"/>
      <c r="I14" s="107"/>
      <c r="J14" s="108"/>
    </row>
    <row r="15" spans="1:10">
      <c r="A15" s="109"/>
      <c r="B15" s="110"/>
      <c r="C15" s="110"/>
      <c r="D15" s="110"/>
      <c r="E15" s="110"/>
      <c r="F15" s="110"/>
      <c r="G15" s="110"/>
      <c r="H15" s="110"/>
      <c r="I15" s="110"/>
      <c r="J15" s="111"/>
    </row>
    <row r="16" spans="1:10">
      <c r="A16" s="112"/>
      <c r="B16" s="113"/>
      <c r="C16" s="113"/>
      <c r="D16" s="113"/>
      <c r="E16" s="113"/>
      <c r="F16" s="113"/>
      <c r="G16" s="113"/>
      <c r="H16" s="113"/>
      <c r="I16" s="113"/>
      <c r="J16" s="114"/>
    </row>
  </sheetData>
  <mergeCells count="3">
    <mergeCell ref="A1:J1"/>
    <mergeCell ref="A2:J2"/>
    <mergeCell ref="A14:J16"/>
  </mergeCells>
  <conditionalFormatting sqref="D5:D11">
    <cfRule type="containsText" dxfId="1" priority="1" operator="containsText" text="PASS"/>
    <cfRule type="containsText" dxfId="0" priority="2" operator="containsText" text="FAIL"/>
  </conditionalFormatting>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18"/>
  <sheetViews>
    <sheetView showGridLines="0" workbookViewId="0"/>
  </sheetViews>
  <sheetFormatPr defaultRowHeight="14.25"/>
  <cols>
    <col min="1" max="1" width="25" customWidth="1"/>
    <col min="2" max="2" width="60" customWidth="1"/>
    <col min="3" max="3" width="3" customWidth="1"/>
    <col min="4" max="4" width="23" customWidth="1"/>
    <col min="5" max="5" width="48" customWidth="1"/>
    <col min="6" max="8" width="15" customWidth="1"/>
  </cols>
  <sheetData>
    <row r="1" spans="1:8" ht="30" customHeight="1">
      <c r="A1" s="57" t="s">
        <v>4928</v>
      </c>
      <c r="B1" s="57"/>
      <c r="C1" s="57"/>
      <c r="D1" s="57"/>
      <c r="E1" s="57"/>
      <c r="F1" s="57"/>
      <c r="G1" s="57"/>
      <c r="H1" s="57"/>
    </row>
    <row r="2" spans="1:8" ht="30" customHeight="1">
      <c r="A2" s="58" t="s">
        <v>4929</v>
      </c>
      <c r="B2" s="58"/>
      <c r="C2" s="58"/>
      <c r="D2" s="58"/>
      <c r="E2" s="58"/>
      <c r="F2" s="58"/>
      <c r="G2" s="58"/>
      <c r="H2" s="58"/>
    </row>
    <row r="4" spans="1:8" ht="26.1" customHeight="1">
      <c r="A4" s="1" t="s">
        <v>4930</v>
      </c>
      <c r="B4" s="3" t="s">
        <v>4931</v>
      </c>
      <c r="D4" s="15" t="s">
        <v>4932</v>
      </c>
      <c r="E4" s="17" t="s">
        <v>4933</v>
      </c>
    </row>
    <row r="5" spans="1:8" ht="35.1" customHeight="1">
      <c r="A5" s="45" t="s">
        <v>4934</v>
      </c>
      <c r="B5" s="26" t="s">
        <v>4935</v>
      </c>
      <c r="D5" s="31" t="s">
        <v>4936</v>
      </c>
      <c r="E5" s="26" t="s">
        <v>4937</v>
      </c>
    </row>
    <row r="6" spans="1:8" ht="35.1" customHeight="1">
      <c r="A6" s="46" t="s">
        <v>4938</v>
      </c>
      <c r="B6" s="28" t="s">
        <v>4939</v>
      </c>
      <c r="D6" s="32" t="s">
        <v>4940</v>
      </c>
      <c r="E6" s="28" t="s">
        <v>4941</v>
      </c>
    </row>
    <row r="7" spans="1:8" ht="35.1" customHeight="1">
      <c r="A7" s="46" t="s">
        <v>4942</v>
      </c>
      <c r="B7" s="28" t="s">
        <v>4943</v>
      </c>
      <c r="D7" s="32" t="s">
        <v>4944</v>
      </c>
      <c r="E7" s="28" t="s">
        <v>4945</v>
      </c>
    </row>
    <row r="8" spans="1:8" ht="35.1" customHeight="1">
      <c r="A8" s="46" t="s">
        <v>4946</v>
      </c>
      <c r="B8" s="28" t="s">
        <v>4947</v>
      </c>
      <c r="D8" s="32" t="s">
        <v>4948</v>
      </c>
      <c r="E8" s="28" t="s">
        <v>4949</v>
      </c>
    </row>
    <row r="9" spans="1:8" ht="35.1" customHeight="1">
      <c r="A9" s="46" t="s">
        <v>72</v>
      </c>
      <c r="B9" s="28" t="s">
        <v>4950</v>
      </c>
      <c r="D9" s="33" t="s">
        <v>4951</v>
      </c>
      <c r="E9" s="30" t="s">
        <v>4952</v>
      </c>
    </row>
    <row r="10" spans="1:8" ht="35.1" customHeight="1">
      <c r="A10" s="46" t="s">
        <v>4953</v>
      </c>
      <c r="B10" s="28" t="s">
        <v>4954</v>
      </c>
    </row>
    <row r="11" spans="1:8" ht="35.1" customHeight="1">
      <c r="A11" s="46" t="s">
        <v>4955</v>
      </c>
      <c r="B11" s="28" t="s">
        <v>4956</v>
      </c>
      <c r="D11" s="124" t="s">
        <v>4957</v>
      </c>
      <c r="E11" s="124"/>
      <c r="F11" s="124"/>
      <c r="G11" s="124"/>
      <c r="H11" s="124"/>
    </row>
    <row r="12" spans="1:8" ht="35.1" customHeight="1">
      <c r="A12" s="46" t="s">
        <v>4958</v>
      </c>
      <c r="B12" s="28" t="s">
        <v>4959</v>
      </c>
      <c r="D12" s="118" t="s">
        <v>4960</v>
      </c>
      <c r="E12" s="119"/>
      <c r="F12" s="119"/>
      <c r="G12" s="119"/>
      <c r="H12" s="120"/>
    </row>
    <row r="13" spans="1:8" ht="35.1" customHeight="1">
      <c r="A13" s="46" t="s">
        <v>4961</v>
      </c>
      <c r="B13" s="28" t="s">
        <v>4962</v>
      </c>
      <c r="D13" s="121"/>
      <c r="E13" s="122"/>
      <c r="F13" s="122"/>
      <c r="G13" s="122"/>
      <c r="H13" s="123"/>
    </row>
    <row r="14" spans="1:8" ht="35.1" customHeight="1">
      <c r="A14" s="47" t="s">
        <v>4963</v>
      </c>
      <c r="B14" s="30" t="s">
        <v>4964</v>
      </c>
    </row>
    <row r="15" spans="1:8">
      <c r="D15" s="106" t="s">
        <v>4965</v>
      </c>
      <c r="E15" s="107"/>
      <c r="F15" s="107"/>
      <c r="G15" s="107"/>
      <c r="H15" s="108"/>
    </row>
    <row r="16" spans="1:8">
      <c r="D16" s="109"/>
      <c r="E16" s="110"/>
      <c r="F16" s="110"/>
      <c r="G16" s="110"/>
      <c r="H16" s="111"/>
    </row>
    <row r="17" spans="4:8">
      <c r="D17" s="109"/>
      <c r="E17" s="110"/>
      <c r="F17" s="110"/>
      <c r="G17" s="110"/>
      <c r="H17" s="111"/>
    </row>
    <row r="18" spans="4:8">
      <c r="D18" s="112"/>
      <c r="E18" s="113"/>
      <c r="F18" s="113"/>
      <c r="G18" s="113"/>
      <c r="H18" s="114"/>
    </row>
  </sheetData>
  <mergeCells count="5">
    <mergeCell ref="A1:H1"/>
    <mergeCell ref="A2:H2"/>
    <mergeCell ref="D11:H11"/>
    <mergeCell ref="D12:H13"/>
    <mergeCell ref="D15:H18"/>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V40"/>
  <sheetViews>
    <sheetView showGridLines="0" topLeftCell="K1" workbookViewId="0">
      <selection activeCell="P13" sqref="P13"/>
    </sheetView>
  </sheetViews>
  <sheetFormatPr defaultRowHeight="14.25"/>
  <cols>
    <col min="1" max="1" width="13" customWidth="1"/>
    <col min="2" max="3" width="9" customWidth="1"/>
    <col min="4" max="5" width="16" customWidth="1"/>
    <col min="6" max="6" width="12" customWidth="1"/>
    <col min="7" max="7" width="15" customWidth="1"/>
    <col min="8" max="8" width="14" customWidth="1"/>
    <col min="9" max="9" width="12" customWidth="1"/>
    <col min="10" max="12" width="17" customWidth="1"/>
    <col min="13" max="14" width="18" customWidth="1"/>
    <col min="16" max="16" width="10" customWidth="1"/>
    <col min="17" max="18" width="16" customWidth="1"/>
    <col min="19" max="19" width="13" customWidth="1"/>
    <col min="20" max="20" width="16" customWidth="1"/>
    <col min="21" max="21" width="14" customWidth="1"/>
    <col min="22" max="22" width="13" customWidth="1"/>
  </cols>
  <sheetData>
    <row r="1" spans="1:22" ht="30" customHeight="1">
      <c r="A1" s="57" t="s">
        <v>4966</v>
      </c>
      <c r="B1" s="57"/>
      <c r="C1" s="57"/>
      <c r="D1" s="57"/>
      <c r="E1" s="57"/>
      <c r="F1" s="57"/>
      <c r="G1" s="57"/>
      <c r="H1" s="57"/>
      <c r="I1" s="57"/>
      <c r="J1" s="57"/>
      <c r="K1" s="57"/>
      <c r="L1" s="57"/>
      <c r="M1" s="57"/>
      <c r="N1" s="57"/>
      <c r="O1" s="57"/>
      <c r="P1" s="57"/>
      <c r="Q1" s="57"/>
      <c r="R1" s="57"/>
      <c r="S1" s="57"/>
      <c r="T1" s="57"/>
      <c r="U1" s="57"/>
      <c r="V1" s="57"/>
    </row>
    <row r="2" spans="1:22" ht="30" customHeight="1">
      <c r="A2" s="58" t="s">
        <v>4967</v>
      </c>
      <c r="B2" s="58"/>
      <c r="C2" s="58"/>
      <c r="D2" s="58"/>
      <c r="E2" s="58"/>
      <c r="F2" s="58"/>
      <c r="G2" s="58"/>
      <c r="H2" s="58"/>
      <c r="I2" s="58"/>
      <c r="J2" s="58"/>
      <c r="K2" s="58"/>
      <c r="L2" s="58"/>
      <c r="M2" s="58"/>
      <c r="N2" s="58"/>
      <c r="O2" s="58"/>
      <c r="P2" s="58"/>
      <c r="Q2" s="58"/>
      <c r="R2" s="58"/>
      <c r="S2" s="58"/>
      <c r="T2" s="58"/>
      <c r="U2" s="58"/>
      <c r="V2" s="58"/>
    </row>
    <row r="4" spans="1:22" ht="26.1" customHeight="1">
      <c r="A4" s="1" t="s">
        <v>47</v>
      </c>
      <c r="B4" s="2" t="s">
        <v>38</v>
      </c>
      <c r="C4" s="2" t="s">
        <v>4968</v>
      </c>
      <c r="D4" s="2" t="s">
        <v>2</v>
      </c>
      <c r="E4" s="2" t="s">
        <v>4969</v>
      </c>
      <c r="F4" s="2" t="s">
        <v>3</v>
      </c>
      <c r="G4" s="2" t="s">
        <v>4</v>
      </c>
      <c r="H4" s="2" t="s">
        <v>5</v>
      </c>
      <c r="I4" s="2" t="s">
        <v>76</v>
      </c>
      <c r="J4" s="2" t="s">
        <v>4970</v>
      </c>
      <c r="K4" s="2" t="s">
        <v>4971</v>
      </c>
      <c r="L4" s="2" t="s">
        <v>4972</v>
      </c>
      <c r="M4" s="2" t="s">
        <v>4973</v>
      </c>
      <c r="N4" s="3" t="s">
        <v>4974</v>
      </c>
      <c r="P4" s="15" t="s">
        <v>38</v>
      </c>
      <c r="Q4" s="16" t="s">
        <v>2</v>
      </c>
      <c r="R4" s="16" t="s">
        <v>4969</v>
      </c>
      <c r="S4" s="16" t="s">
        <v>3</v>
      </c>
      <c r="T4" s="16" t="s">
        <v>4</v>
      </c>
      <c r="U4" s="16" t="s">
        <v>5</v>
      </c>
      <c r="V4" s="17" t="s">
        <v>76</v>
      </c>
    </row>
    <row r="5" spans="1:22">
      <c r="A5" s="7" t="s">
        <v>4975</v>
      </c>
      <c r="B5">
        <v>2023</v>
      </c>
      <c r="C5">
        <v>1</v>
      </c>
      <c r="D5" s="4">
        <v>538837</v>
      </c>
      <c r="E5" s="4">
        <v>527197</v>
      </c>
      <c r="F5" s="5">
        <v>0.76179623893682136</v>
      </c>
      <c r="G5" s="5">
        <v>0.2166016810278433</v>
      </c>
      <c r="H5" s="5">
        <v>1.910596339894996E-2</v>
      </c>
      <c r="I5" s="5">
        <v>2.4961166363854006E-3</v>
      </c>
      <c r="J5" s="6">
        <v>7.7763928853919886</v>
      </c>
      <c r="K5" s="4">
        <f t="shared" ref="K5:K40" si="0">E5*F5</f>
        <v>401616.69177877542</v>
      </c>
      <c r="L5" s="4">
        <f t="shared" ref="L5:L40" si="1">E5*G5</f>
        <v>114191.7564328359</v>
      </c>
      <c r="M5" s="4">
        <f t="shared" ref="M5:M40" si="2">D5*H5</f>
        <v>10295</v>
      </c>
      <c r="N5" s="8">
        <f t="shared" ref="N5:N40" si="3">D5*I5</f>
        <v>1345</v>
      </c>
      <c r="P5" s="7">
        <v>2023</v>
      </c>
      <c r="Q5" s="4">
        <f>SUMIFS($D$5:$D$40,$B$5:$B$40,$P5)</f>
        <v>6847899</v>
      </c>
      <c r="R5" s="4">
        <f>SUMIFS($E$5:$E$40,$B$5:$B$40,$P5)</f>
        <v>6743404</v>
      </c>
      <c r="S5" s="5">
        <f>SUMIFS($K$5:$K$40,$B$5:$B$40,$P5)/R5</f>
        <v>0.78262030209292277</v>
      </c>
      <c r="T5" s="5">
        <f>SUMIFS($L$5:$L$40,$B$5:$B$40,$P5)/R5</f>
        <v>0.20218527665552058</v>
      </c>
      <c r="U5" s="5">
        <f>SUMIFS($M$5:$M$40,$B$5:$B$40,$P5)/Q5</f>
        <v>1.2842333100999298E-2</v>
      </c>
      <c r="V5" s="18">
        <f>SUMIFS($N$5:$N$40,$B$5:$B$40,$P5)/Q5</f>
        <v>2.4170917240455797E-3</v>
      </c>
    </row>
    <row r="6" spans="1:22">
      <c r="A6" s="7" t="s">
        <v>4976</v>
      </c>
      <c r="B6">
        <v>2023</v>
      </c>
      <c r="C6">
        <v>2</v>
      </c>
      <c r="D6" s="4">
        <v>502749</v>
      </c>
      <c r="E6" s="4">
        <v>492747</v>
      </c>
      <c r="F6" s="5">
        <v>0.79518407793948864</v>
      </c>
      <c r="G6" s="5">
        <v>0.18492130267787704</v>
      </c>
      <c r="H6" s="5">
        <v>1.7939369347328388E-2</v>
      </c>
      <c r="I6" s="5">
        <v>1.9552500353058884E-3</v>
      </c>
      <c r="J6" s="6">
        <v>4.1419876731872547</v>
      </c>
      <c r="K6" s="4">
        <f t="shared" si="0"/>
        <v>391824.56885244919</v>
      </c>
      <c r="L6" s="4">
        <f t="shared" si="1"/>
        <v>91119.417130615882</v>
      </c>
      <c r="M6" s="4">
        <f t="shared" si="2"/>
        <v>9019</v>
      </c>
      <c r="N6" s="8">
        <f t="shared" si="3"/>
        <v>983.00000000000011</v>
      </c>
      <c r="P6" s="7">
        <v>2024</v>
      </c>
      <c r="Q6" s="4">
        <f>SUMIFS($D$5:$D$40,$B$5:$B$40,$P6)</f>
        <v>7079061</v>
      </c>
      <c r="R6" s="4">
        <f>SUMIFS($E$5:$E$40,$B$5:$B$40,$P6)</f>
        <v>6965247</v>
      </c>
      <c r="S6" s="5">
        <f>SUMIFS($K$5:$K$40,$B$5:$B$40,$P6)/R6</f>
        <v>0.77955182282104696</v>
      </c>
      <c r="T6" s="5">
        <f>SUMIFS($L$5:$L$40,$B$5:$B$40,$P6)/R6</f>
        <v>0.20447765766285689</v>
      </c>
      <c r="U6" s="5">
        <f>SUMIFS($M$5:$M$40,$B$5:$B$40,$P6)/Q6</f>
        <v>1.3605618033239154E-2</v>
      </c>
      <c r="V6" s="18">
        <f>SUMIFS($N$5:$N$40,$B$5:$B$40,$P6)/Q6</f>
        <v>2.4719380155079889E-3</v>
      </c>
    </row>
    <row r="7" spans="1:22">
      <c r="A7" s="7" t="s">
        <v>4977</v>
      </c>
      <c r="B7">
        <v>2023</v>
      </c>
      <c r="C7">
        <v>3</v>
      </c>
      <c r="D7" s="4">
        <v>580322</v>
      </c>
      <c r="E7" s="4">
        <v>571533</v>
      </c>
      <c r="F7" s="5">
        <v>0.75042648736391171</v>
      </c>
      <c r="G7" s="5">
        <v>0.23442847246873288</v>
      </c>
      <c r="H7" s="5">
        <v>1.2761880473254503E-2</v>
      </c>
      <c r="I7" s="5">
        <v>2.3831596941008611E-3</v>
      </c>
      <c r="J7" s="6">
        <v>9.0699067245460885</v>
      </c>
      <c r="K7" s="4">
        <f t="shared" si="0"/>
        <v>428893.50160255854</v>
      </c>
      <c r="L7" s="4">
        <f t="shared" si="1"/>
        <v>133983.60815547232</v>
      </c>
      <c r="M7" s="4">
        <f t="shared" si="2"/>
        <v>7406</v>
      </c>
      <c r="N7" s="8">
        <f t="shared" si="3"/>
        <v>1383</v>
      </c>
      <c r="P7" s="9">
        <v>2025</v>
      </c>
      <c r="Q7" s="11">
        <f>SUMIFS($D$5:$D$40,$B$5:$B$40,$P7)</f>
        <v>7001619</v>
      </c>
      <c r="R7" s="11">
        <f>SUMIFS($E$5:$E$40,$B$5:$B$40,$P7)</f>
        <v>6879485</v>
      </c>
      <c r="S7" s="12">
        <f>SUMIFS($K$5:$K$40,$B$5:$B$40,$P7)/R7</f>
        <v>0.76353635755839944</v>
      </c>
      <c r="T7" s="12">
        <f>SUMIFS($L$5:$L$40,$B$5:$B$40,$P7)/R7</f>
        <v>0.21908351418460573</v>
      </c>
      <c r="U7" s="12">
        <f>SUMIFS($M$5:$M$40,$B$5:$B$40,$P7)/Q7</f>
        <v>1.469317310753413E-2</v>
      </c>
      <c r="V7" s="19">
        <f>SUMIFS($N$5:$N$40,$B$5:$B$40,$P7)/Q7</f>
        <v>2.7505067042351205E-3</v>
      </c>
    </row>
    <row r="8" spans="1:22">
      <c r="A8" s="7" t="s">
        <v>4978</v>
      </c>
      <c r="B8">
        <v>2023</v>
      </c>
      <c r="C8">
        <v>4</v>
      </c>
      <c r="D8" s="4">
        <v>561441</v>
      </c>
      <c r="E8" s="4">
        <v>550249</v>
      </c>
      <c r="F8" s="5">
        <v>0.7558532419256877</v>
      </c>
      <c r="G8" s="5">
        <v>0.22421233931971479</v>
      </c>
      <c r="H8" s="5">
        <v>1.7079265675289123E-2</v>
      </c>
      <c r="I8" s="5">
        <v>2.8551530793084223E-3</v>
      </c>
      <c r="J8" s="6">
        <v>9.1129597691227069</v>
      </c>
      <c r="K8" s="4">
        <f t="shared" si="0"/>
        <v>415907.49051636772</v>
      </c>
      <c r="L8" s="4">
        <f t="shared" si="1"/>
        <v>123372.61549833375</v>
      </c>
      <c r="M8" s="4">
        <f t="shared" si="2"/>
        <v>9589</v>
      </c>
      <c r="N8" s="8">
        <f t="shared" si="3"/>
        <v>1603</v>
      </c>
    </row>
    <row r="9" spans="1:22">
      <c r="A9" s="7" t="s">
        <v>4979</v>
      </c>
      <c r="B9">
        <v>2023</v>
      </c>
      <c r="C9">
        <v>5</v>
      </c>
      <c r="D9" s="4">
        <v>579958</v>
      </c>
      <c r="E9" s="4">
        <v>575430</v>
      </c>
      <c r="F9" s="5">
        <v>0.8126640204980361</v>
      </c>
      <c r="G9" s="5">
        <v>0.17952851758230767</v>
      </c>
      <c r="H9" s="5">
        <v>5.7073098396780457E-3</v>
      </c>
      <c r="I9" s="5">
        <v>2.1001520799782051E-3</v>
      </c>
      <c r="J9" s="6">
        <v>3.8132541112804534</v>
      </c>
      <c r="K9" s="4">
        <f t="shared" si="0"/>
        <v>467631.25731518492</v>
      </c>
      <c r="L9" s="4">
        <f t="shared" si="1"/>
        <v>103306.0948723873</v>
      </c>
      <c r="M9" s="4">
        <f t="shared" si="2"/>
        <v>3310</v>
      </c>
      <c r="N9" s="8">
        <f t="shared" si="3"/>
        <v>1218</v>
      </c>
      <c r="P9" s="59" t="s">
        <v>4980</v>
      </c>
      <c r="Q9" s="60"/>
      <c r="R9" s="60"/>
      <c r="S9" s="60"/>
      <c r="T9" s="60"/>
      <c r="U9" s="60"/>
      <c r="V9" s="61"/>
    </row>
    <row r="10" spans="1:22">
      <c r="A10" s="7" t="s">
        <v>4981</v>
      </c>
      <c r="B10">
        <v>2023</v>
      </c>
      <c r="C10">
        <v>6</v>
      </c>
      <c r="D10" s="4">
        <v>577262</v>
      </c>
      <c r="E10" s="4">
        <v>562804</v>
      </c>
      <c r="F10" s="5">
        <v>0.71117793999951495</v>
      </c>
      <c r="G10" s="5">
        <v>0.26377624025139362</v>
      </c>
      <c r="H10" s="5">
        <v>2.1167164996136936E-2</v>
      </c>
      <c r="I10" s="5">
        <v>3.8786547529544644E-3</v>
      </c>
      <c r="J10" s="6">
        <v>14.405798466251129</v>
      </c>
      <c r="K10" s="4">
        <f t="shared" si="0"/>
        <v>400253.78934348701</v>
      </c>
      <c r="L10" s="4">
        <f t="shared" si="1"/>
        <v>148454.32311844535</v>
      </c>
      <c r="M10" s="4">
        <f t="shared" si="2"/>
        <v>12219</v>
      </c>
      <c r="N10" s="8">
        <f t="shared" si="3"/>
        <v>2239</v>
      </c>
      <c r="P10" s="62"/>
      <c r="Q10" s="63"/>
      <c r="R10" s="63"/>
      <c r="S10" s="63"/>
      <c r="T10" s="63"/>
      <c r="U10" s="63"/>
      <c r="V10" s="64"/>
    </row>
    <row r="11" spans="1:22">
      <c r="A11" s="7" t="s">
        <v>4982</v>
      </c>
      <c r="B11">
        <v>2023</v>
      </c>
      <c r="C11">
        <v>7</v>
      </c>
      <c r="D11" s="4">
        <v>601866</v>
      </c>
      <c r="E11" s="4">
        <v>585058</v>
      </c>
      <c r="F11" s="5">
        <v>0.69447019768519902</v>
      </c>
      <c r="G11" s="5">
        <v>0.27760332034040802</v>
      </c>
      <c r="H11" s="5">
        <v>2.4267860287838158E-2</v>
      </c>
      <c r="I11" s="5">
        <v>3.6586216865548147E-3</v>
      </c>
      <c r="J11" s="6">
        <v>16.641825254931991</v>
      </c>
      <c r="K11" s="4">
        <f t="shared" si="0"/>
        <v>406305.34491730714</v>
      </c>
      <c r="L11" s="4">
        <f t="shared" si="1"/>
        <v>162414.04339171844</v>
      </c>
      <c r="M11" s="4">
        <f t="shared" si="2"/>
        <v>14606.000000000002</v>
      </c>
      <c r="N11" s="8">
        <f t="shared" si="3"/>
        <v>2202</v>
      </c>
    </row>
    <row r="12" spans="1:22">
      <c r="A12" s="7" t="s">
        <v>4983</v>
      </c>
      <c r="B12">
        <v>2023</v>
      </c>
      <c r="C12">
        <v>8</v>
      </c>
      <c r="D12" s="4">
        <v>602987</v>
      </c>
      <c r="E12" s="4">
        <v>592142</v>
      </c>
      <c r="F12" s="5">
        <v>0.76900994548804535</v>
      </c>
      <c r="G12" s="5">
        <v>0.21300459213880232</v>
      </c>
      <c r="H12" s="5">
        <v>1.5210941529419373E-2</v>
      </c>
      <c r="I12" s="5">
        <v>2.7745208437329493E-3</v>
      </c>
      <c r="J12" s="6">
        <v>8.4402660172728847</v>
      </c>
      <c r="K12" s="4">
        <f t="shared" si="0"/>
        <v>455363.08714118216</v>
      </c>
      <c r="L12" s="4">
        <f t="shared" si="1"/>
        <v>126128.96519825468</v>
      </c>
      <c r="M12" s="4">
        <f t="shared" si="2"/>
        <v>9172</v>
      </c>
      <c r="N12" s="8">
        <f t="shared" si="3"/>
        <v>1673</v>
      </c>
      <c r="P12" t="s">
        <v>4984</v>
      </c>
      <c r="Q12" t="s">
        <v>4985</v>
      </c>
    </row>
    <row r="13" spans="1:22">
      <c r="A13" s="7" t="s">
        <v>4986</v>
      </c>
      <c r="B13">
        <v>2023</v>
      </c>
      <c r="C13">
        <v>9</v>
      </c>
      <c r="D13" s="4">
        <v>569338</v>
      </c>
      <c r="E13" s="4">
        <v>560887</v>
      </c>
      <c r="F13" s="5">
        <v>0.80126041121442804</v>
      </c>
      <c r="G13" s="5">
        <v>0.18389603363906853</v>
      </c>
      <c r="H13" s="5">
        <v>1.2396853889956405E-2</v>
      </c>
      <c r="I13" s="5">
        <v>2.4467012565470773E-3</v>
      </c>
      <c r="J13" s="6">
        <v>5.3939741873140221</v>
      </c>
      <c r="K13" s="4">
        <f t="shared" si="0"/>
        <v>449416.54826482688</v>
      </c>
      <c r="L13" s="4">
        <f t="shared" si="1"/>
        <v>103144.89461971623</v>
      </c>
      <c r="M13" s="4">
        <f t="shared" si="2"/>
        <v>7058</v>
      </c>
      <c r="N13" s="8">
        <f t="shared" si="3"/>
        <v>1393</v>
      </c>
      <c r="P13" t="s">
        <v>4987</v>
      </c>
      <c r="Q13" s="4">
        <v>6847899</v>
      </c>
    </row>
    <row r="14" spans="1:22">
      <c r="A14" s="7" t="s">
        <v>4988</v>
      </c>
      <c r="B14">
        <v>2023</v>
      </c>
      <c r="C14">
        <v>10</v>
      </c>
      <c r="D14" s="4">
        <v>598968</v>
      </c>
      <c r="E14" s="4">
        <v>596003</v>
      </c>
      <c r="F14" s="5">
        <v>0.8398078027540703</v>
      </c>
      <c r="G14" s="5">
        <v>0.15524201626798093</v>
      </c>
      <c r="H14" s="5">
        <v>3.5728119031400675E-3</v>
      </c>
      <c r="I14" s="5">
        <v>1.377369074808671E-3</v>
      </c>
      <c r="J14" s="6">
        <v>1.1862557738803328</v>
      </c>
      <c r="K14" s="4">
        <f t="shared" si="0"/>
        <v>500527.96986483416</v>
      </c>
      <c r="L14" s="4">
        <f t="shared" si="1"/>
        <v>92524.70742176543</v>
      </c>
      <c r="M14" s="4">
        <f t="shared" si="2"/>
        <v>2140</v>
      </c>
      <c r="N14" s="8">
        <f t="shared" si="3"/>
        <v>825.00000000000011</v>
      </c>
      <c r="P14" t="s">
        <v>4989</v>
      </c>
      <c r="Q14" s="4">
        <v>7079061</v>
      </c>
    </row>
    <row r="15" spans="1:22">
      <c r="A15" s="7" t="s">
        <v>4990</v>
      </c>
      <c r="B15">
        <v>2023</v>
      </c>
      <c r="C15">
        <v>11</v>
      </c>
      <c r="D15" s="4">
        <v>563777</v>
      </c>
      <c r="E15" s="4">
        <v>562413</v>
      </c>
      <c r="F15" s="5">
        <v>0.86215826470395207</v>
      </c>
      <c r="G15" s="5">
        <v>0.13542233897445266</v>
      </c>
      <c r="H15" s="5">
        <v>1.4527020435384913E-3</v>
      </c>
      <c r="I15" s="5">
        <v>9.6669427805674943E-4</v>
      </c>
      <c r="J15" s="6">
        <v>-1.2563383136591793</v>
      </c>
      <c r="K15" s="4">
        <f t="shared" si="0"/>
        <v>484889.01612694381</v>
      </c>
      <c r="L15" s="4">
        <f t="shared" si="1"/>
        <v>76163.283929638841</v>
      </c>
      <c r="M15" s="4">
        <f t="shared" si="2"/>
        <v>819</v>
      </c>
      <c r="N15" s="8">
        <f t="shared" si="3"/>
        <v>545</v>
      </c>
      <c r="P15" t="s">
        <v>4991</v>
      </c>
      <c r="Q15" s="4">
        <v>7001619</v>
      </c>
    </row>
    <row r="16" spans="1:22">
      <c r="A16" s="7" t="s">
        <v>4992</v>
      </c>
      <c r="B16">
        <v>2023</v>
      </c>
      <c r="C16">
        <v>12</v>
      </c>
      <c r="D16" s="4">
        <v>570394</v>
      </c>
      <c r="E16" s="4">
        <v>566941</v>
      </c>
      <c r="F16" s="5">
        <v>0.83764555728145806</v>
      </c>
      <c r="G16" s="5">
        <v>0.15630073247614806</v>
      </c>
      <c r="H16" s="5">
        <v>4.0498322212365488E-3</v>
      </c>
      <c r="I16" s="5">
        <v>2.0038780211573052E-3</v>
      </c>
      <c r="J16" s="6">
        <v>0.50933165884986265</v>
      </c>
      <c r="K16" s="4">
        <f t="shared" si="0"/>
        <v>474895.60989070713</v>
      </c>
      <c r="L16" s="4">
        <f t="shared" si="1"/>
        <v>88613.293570759866</v>
      </c>
      <c r="M16" s="4">
        <f t="shared" si="2"/>
        <v>2310</v>
      </c>
      <c r="N16" s="8">
        <f t="shared" si="3"/>
        <v>1143</v>
      </c>
      <c r="P16" t="s">
        <v>4993</v>
      </c>
      <c r="Q16" s="4">
        <v>20928579</v>
      </c>
    </row>
    <row r="17" spans="1:14">
      <c r="A17" s="7" t="s">
        <v>4994</v>
      </c>
      <c r="B17">
        <v>2024</v>
      </c>
      <c r="C17">
        <v>1</v>
      </c>
      <c r="D17" s="4">
        <v>547271</v>
      </c>
      <c r="E17" s="4">
        <v>525370</v>
      </c>
      <c r="F17" s="5">
        <v>0.72899897856820484</v>
      </c>
      <c r="G17" s="5">
        <v>0.2309824565891487</v>
      </c>
      <c r="H17" s="5">
        <v>3.7255765425173268E-2</v>
      </c>
      <c r="I17" s="5">
        <v>2.7627994174732446E-3</v>
      </c>
      <c r="J17" s="6">
        <v>10.3522983801892</v>
      </c>
      <c r="K17" s="4">
        <f t="shared" si="0"/>
        <v>382994.19337037776</v>
      </c>
      <c r="L17" s="4">
        <f t="shared" si="1"/>
        <v>121351.25321824105</v>
      </c>
      <c r="M17" s="4">
        <f t="shared" si="2"/>
        <v>20389</v>
      </c>
      <c r="N17" s="8">
        <f t="shared" si="3"/>
        <v>1512</v>
      </c>
    </row>
    <row r="18" spans="1:14">
      <c r="A18" s="7" t="s">
        <v>4995</v>
      </c>
      <c r="B18">
        <v>2024</v>
      </c>
      <c r="C18">
        <v>2</v>
      </c>
      <c r="D18" s="4">
        <v>519221</v>
      </c>
      <c r="E18" s="4">
        <v>515269</v>
      </c>
      <c r="F18" s="5">
        <v>0.83439036556687807</v>
      </c>
      <c r="G18" s="5">
        <v>0.15799823196673479</v>
      </c>
      <c r="H18" s="5">
        <v>5.7817384119671581E-3</v>
      </c>
      <c r="I18" s="5">
        <v>1.8296640544199869E-3</v>
      </c>
      <c r="J18" s="6">
        <v>0.59345506909982937</v>
      </c>
      <c r="K18" s="4">
        <f t="shared" si="0"/>
        <v>429935.48927527969</v>
      </c>
      <c r="L18" s="4">
        <f t="shared" si="1"/>
        <v>81411.590987267467</v>
      </c>
      <c r="M18" s="4">
        <f t="shared" si="2"/>
        <v>3002</v>
      </c>
      <c r="N18" s="8">
        <f t="shared" si="3"/>
        <v>950</v>
      </c>
    </row>
    <row r="19" spans="1:14">
      <c r="A19" s="7" t="s">
        <v>4996</v>
      </c>
      <c r="B19">
        <v>2024</v>
      </c>
      <c r="C19">
        <v>3</v>
      </c>
      <c r="D19" s="4">
        <v>591767</v>
      </c>
      <c r="E19" s="4">
        <v>585413</v>
      </c>
      <c r="F19" s="5">
        <v>0.78304636791169502</v>
      </c>
      <c r="G19" s="5">
        <v>0.20621629796862617</v>
      </c>
      <c r="H19" s="5">
        <v>8.652053933389324E-3</v>
      </c>
      <c r="I19" s="5">
        <v>2.0852801862895364E-3</v>
      </c>
      <c r="J19" s="6">
        <v>6.504476326969165</v>
      </c>
      <c r="K19" s="4">
        <f t="shared" si="0"/>
        <v>458405.52337828913</v>
      </c>
      <c r="L19" s="4">
        <f t="shared" si="1"/>
        <v>120721.70164270735</v>
      </c>
      <c r="M19" s="4">
        <f t="shared" si="2"/>
        <v>5120</v>
      </c>
      <c r="N19" s="8">
        <f t="shared" si="3"/>
        <v>1234</v>
      </c>
    </row>
    <row r="20" spans="1:14">
      <c r="A20" s="7" t="s">
        <v>4997</v>
      </c>
      <c r="B20">
        <v>2024</v>
      </c>
      <c r="C20">
        <v>4</v>
      </c>
      <c r="D20" s="4">
        <v>582185</v>
      </c>
      <c r="E20" s="4">
        <v>576915</v>
      </c>
      <c r="F20" s="5">
        <v>0.80209383615173868</v>
      </c>
      <c r="G20" s="5">
        <v>0.18885405841785688</v>
      </c>
      <c r="H20" s="5">
        <v>6.9307866056322305E-3</v>
      </c>
      <c r="I20" s="5">
        <v>2.1213188247721942E-3</v>
      </c>
      <c r="J20" s="6">
        <v>5.3605435809434665</v>
      </c>
      <c r="K20" s="4">
        <f t="shared" si="0"/>
        <v>462739.96548348031</v>
      </c>
      <c r="L20" s="4">
        <f t="shared" si="1"/>
        <v>108952.7391121379</v>
      </c>
      <c r="M20" s="4">
        <f t="shared" si="2"/>
        <v>4035</v>
      </c>
      <c r="N20" s="8">
        <f t="shared" si="3"/>
        <v>1234.9999999999998</v>
      </c>
    </row>
    <row r="21" spans="1:14">
      <c r="A21" s="7" t="s">
        <v>4998</v>
      </c>
      <c r="B21">
        <v>2024</v>
      </c>
      <c r="C21">
        <v>5</v>
      </c>
      <c r="D21" s="4">
        <v>609743</v>
      </c>
      <c r="E21" s="4">
        <v>599226</v>
      </c>
      <c r="F21" s="5">
        <v>0.72317353376750537</v>
      </c>
      <c r="G21" s="5">
        <v>0.25957821574007411</v>
      </c>
      <c r="H21" s="5">
        <v>1.3520450419275005E-2</v>
      </c>
      <c r="I21" s="5">
        <v>3.7278000731455711E-3</v>
      </c>
      <c r="J21" s="6">
        <v>14.049410406090523</v>
      </c>
      <c r="K21" s="4">
        <f t="shared" si="0"/>
        <v>433344.38394536718</v>
      </c>
      <c r="L21" s="4">
        <f t="shared" si="1"/>
        <v>155546.01590506165</v>
      </c>
      <c r="M21" s="4">
        <f t="shared" si="2"/>
        <v>8244</v>
      </c>
      <c r="N21" s="8">
        <f t="shared" si="3"/>
        <v>2273</v>
      </c>
    </row>
    <row r="22" spans="1:14">
      <c r="A22" s="7" t="s">
        <v>4999</v>
      </c>
      <c r="B22">
        <v>2024</v>
      </c>
      <c r="C22">
        <v>6</v>
      </c>
      <c r="D22" s="4">
        <v>611132</v>
      </c>
      <c r="E22" s="4">
        <v>601272</v>
      </c>
      <c r="F22" s="5">
        <v>0.73850984729976499</v>
      </c>
      <c r="G22" s="5">
        <v>0.2453561587349378</v>
      </c>
      <c r="H22" s="5">
        <v>1.2887559479785055E-2</v>
      </c>
      <c r="I22" s="5">
        <v>3.2464344855121317E-3</v>
      </c>
      <c r="J22" s="6">
        <v>11.807215370082092</v>
      </c>
      <c r="K22" s="4">
        <f t="shared" si="0"/>
        <v>444045.29290562432</v>
      </c>
      <c r="L22" s="4">
        <f t="shared" si="1"/>
        <v>147525.78827487351</v>
      </c>
      <c r="M22" s="4">
        <f t="shared" si="2"/>
        <v>7876</v>
      </c>
      <c r="N22" s="8">
        <f t="shared" si="3"/>
        <v>1984</v>
      </c>
    </row>
    <row r="23" spans="1:14">
      <c r="A23" s="7" t="s">
        <v>5000</v>
      </c>
      <c r="B23">
        <v>2024</v>
      </c>
      <c r="C23">
        <v>7</v>
      </c>
      <c r="D23" s="4">
        <v>634613</v>
      </c>
      <c r="E23" s="4">
        <v>613938</v>
      </c>
      <c r="F23" s="5">
        <v>0.68084486135644873</v>
      </c>
      <c r="G23" s="5">
        <v>0.28657622834703983</v>
      </c>
      <c r="H23" s="5">
        <v>2.8949926963361922E-2</v>
      </c>
      <c r="I23" s="5">
        <v>3.6289833331494942E-3</v>
      </c>
      <c r="J23" s="6">
        <v>18.092325283660564</v>
      </c>
      <c r="K23" s="4">
        <f t="shared" si="0"/>
        <v>417996.53249145544</v>
      </c>
      <c r="L23" s="4">
        <f t="shared" si="1"/>
        <v>175940.03647892494</v>
      </c>
      <c r="M23" s="4">
        <f t="shared" si="2"/>
        <v>18372</v>
      </c>
      <c r="N23" s="8">
        <f t="shared" si="3"/>
        <v>2303</v>
      </c>
    </row>
    <row r="24" spans="1:14">
      <c r="A24" s="7" t="s">
        <v>5001</v>
      </c>
      <c r="B24">
        <v>2024</v>
      </c>
      <c r="C24">
        <v>8</v>
      </c>
      <c r="D24" s="4">
        <v>619025</v>
      </c>
      <c r="E24" s="4">
        <v>604303</v>
      </c>
      <c r="F24" s="5">
        <v>0.747128145066839</v>
      </c>
      <c r="G24" s="5">
        <v>0.22908929364726788</v>
      </c>
      <c r="H24" s="5">
        <v>2.0538750454343523E-2</v>
      </c>
      <c r="I24" s="5">
        <v>3.2438108315496145E-3</v>
      </c>
      <c r="J24" s="6">
        <v>10.587576100069006</v>
      </c>
      <c r="K24" s="4">
        <f t="shared" si="0"/>
        <v>451491.77944832604</v>
      </c>
      <c r="L24" s="4">
        <f t="shared" si="1"/>
        <v>138439.34741892491</v>
      </c>
      <c r="M24" s="4">
        <f t="shared" si="2"/>
        <v>12713.999999999998</v>
      </c>
      <c r="N24" s="8">
        <f t="shared" si="3"/>
        <v>2008.0000000000002</v>
      </c>
    </row>
    <row r="25" spans="1:14">
      <c r="A25" s="7" t="s">
        <v>5002</v>
      </c>
      <c r="B25">
        <v>2024</v>
      </c>
      <c r="C25">
        <v>9</v>
      </c>
      <c r="D25" s="4">
        <v>582622</v>
      </c>
      <c r="E25" s="4">
        <v>578262</v>
      </c>
      <c r="F25" s="5">
        <v>0.83859517834891228</v>
      </c>
      <c r="G25" s="5">
        <v>0.15392141045137328</v>
      </c>
      <c r="H25" s="5">
        <v>6.0056091256423545E-3</v>
      </c>
      <c r="I25" s="5">
        <v>1.4778020740720398E-3</v>
      </c>
      <c r="J25" s="6">
        <v>0.99677481833494164</v>
      </c>
      <c r="K25" s="4">
        <f t="shared" si="0"/>
        <v>484927.72502239869</v>
      </c>
      <c r="L25" s="4">
        <f t="shared" si="1"/>
        <v>89006.902650432021</v>
      </c>
      <c r="M25" s="4">
        <f t="shared" si="2"/>
        <v>3499</v>
      </c>
      <c r="N25" s="8">
        <f t="shared" si="3"/>
        <v>861</v>
      </c>
    </row>
    <row r="26" spans="1:14">
      <c r="A26" s="7" t="s">
        <v>5003</v>
      </c>
      <c r="B26">
        <v>2024</v>
      </c>
      <c r="C26">
        <v>10</v>
      </c>
      <c r="D26" s="4">
        <v>615497</v>
      </c>
      <c r="E26" s="4">
        <v>608514</v>
      </c>
      <c r="F26" s="5">
        <v>0.85812116062304122</v>
      </c>
      <c r="G26" s="5">
        <v>0.13053353631293085</v>
      </c>
      <c r="H26" s="5">
        <v>1.0209635465323146E-2</v>
      </c>
      <c r="I26" s="5">
        <v>1.1356675987047866E-3</v>
      </c>
      <c r="J26" s="6">
        <v>-1.2827363051630694</v>
      </c>
      <c r="K26" s="4">
        <f t="shared" si="0"/>
        <v>522178.73993536929</v>
      </c>
      <c r="L26" s="4">
        <f t="shared" si="1"/>
        <v>79431.484315926806</v>
      </c>
      <c r="M26" s="4">
        <f t="shared" si="2"/>
        <v>6284.0000000000009</v>
      </c>
      <c r="N26" s="8">
        <f t="shared" si="3"/>
        <v>699</v>
      </c>
    </row>
    <row r="27" spans="1:14">
      <c r="A27" s="7" t="s">
        <v>5004</v>
      </c>
      <c r="B27">
        <v>2024</v>
      </c>
      <c r="C27">
        <v>11</v>
      </c>
      <c r="D27" s="4">
        <v>575404</v>
      </c>
      <c r="E27" s="4">
        <v>571933</v>
      </c>
      <c r="F27" s="5">
        <v>0.84815712090983031</v>
      </c>
      <c r="G27" s="5">
        <v>0.14581059568581378</v>
      </c>
      <c r="H27" s="5">
        <v>4.5689637194041054E-3</v>
      </c>
      <c r="I27" s="5">
        <v>1.4633196849517904E-3</v>
      </c>
      <c r="J27" s="6">
        <v>-0.32461144924318058</v>
      </c>
      <c r="K27" s="4">
        <f t="shared" si="0"/>
        <v>485089.04663332197</v>
      </c>
      <c r="L27" s="4">
        <f t="shared" si="1"/>
        <v>83393.891422374538</v>
      </c>
      <c r="M27" s="4">
        <f t="shared" si="2"/>
        <v>2629</v>
      </c>
      <c r="N27" s="8">
        <f t="shared" si="3"/>
        <v>842</v>
      </c>
    </row>
    <row r="28" spans="1:14">
      <c r="A28" s="7" t="s">
        <v>5005</v>
      </c>
      <c r="B28">
        <v>2024</v>
      </c>
      <c r="C28">
        <v>12</v>
      </c>
      <c r="D28" s="4">
        <v>590581</v>
      </c>
      <c r="E28" s="4">
        <v>584832</v>
      </c>
      <c r="F28" s="5">
        <v>0.78077520272409717</v>
      </c>
      <c r="G28" s="5">
        <v>0.20949031546900426</v>
      </c>
      <c r="H28" s="5">
        <v>7.028671765600316E-3</v>
      </c>
      <c r="I28" s="5">
        <v>2.7058100412983145E-3</v>
      </c>
      <c r="J28" s="6">
        <v>7.116440276865835</v>
      </c>
      <c r="K28" s="4">
        <f t="shared" si="0"/>
        <v>456622.32335953921</v>
      </c>
      <c r="L28" s="4">
        <f t="shared" si="1"/>
        <v>122516.6401763687</v>
      </c>
      <c r="M28" s="4">
        <f t="shared" si="2"/>
        <v>4151</v>
      </c>
      <c r="N28" s="8">
        <f t="shared" si="3"/>
        <v>1597.9999999999998</v>
      </c>
    </row>
    <row r="29" spans="1:14">
      <c r="A29" s="7" t="s">
        <v>5006</v>
      </c>
      <c r="B29">
        <v>2025</v>
      </c>
      <c r="C29">
        <v>1</v>
      </c>
      <c r="D29" s="4">
        <v>539747</v>
      </c>
      <c r="E29" s="4">
        <v>522269</v>
      </c>
      <c r="F29" s="5">
        <v>0.78581075948546264</v>
      </c>
      <c r="G29" s="5">
        <v>0.18180740235703025</v>
      </c>
      <c r="H29" s="5">
        <v>3.0221566771098312E-2</v>
      </c>
      <c r="I29" s="5">
        <v>2.1602713864088173E-3</v>
      </c>
      <c r="J29" s="6">
        <v>3.7566139288374383</v>
      </c>
      <c r="K29" s="4">
        <f t="shared" si="0"/>
        <v>410404.59954571311</v>
      </c>
      <c r="L29" s="4">
        <f t="shared" si="1"/>
        <v>94952.370221603836</v>
      </c>
      <c r="M29" s="4">
        <f t="shared" si="2"/>
        <v>16312</v>
      </c>
      <c r="N29" s="8">
        <f t="shared" si="3"/>
        <v>1166</v>
      </c>
    </row>
    <row r="30" spans="1:14">
      <c r="A30" s="7" t="s">
        <v>5007</v>
      </c>
      <c r="B30">
        <v>2025</v>
      </c>
      <c r="C30">
        <v>2</v>
      </c>
      <c r="D30" s="4">
        <v>504884</v>
      </c>
      <c r="E30" s="4">
        <v>496476</v>
      </c>
      <c r="F30" s="5">
        <v>0.77913738601342086</v>
      </c>
      <c r="G30" s="5">
        <v>0.2042092837166557</v>
      </c>
      <c r="H30" s="5">
        <v>1.4666735329303364E-2</v>
      </c>
      <c r="I30" s="5">
        <v>1.9865949406200237E-3</v>
      </c>
      <c r="J30" s="6">
        <v>5.7189290116742804</v>
      </c>
      <c r="K30" s="4">
        <f t="shared" si="0"/>
        <v>386823.01285839913</v>
      </c>
      <c r="L30" s="4">
        <f t="shared" si="1"/>
        <v>101385.00834251035</v>
      </c>
      <c r="M30" s="4">
        <f t="shared" si="2"/>
        <v>7405</v>
      </c>
      <c r="N30" s="8">
        <f t="shared" si="3"/>
        <v>1003</v>
      </c>
    </row>
    <row r="31" spans="1:14">
      <c r="A31" s="7" t="s">
        <v>5008</v>
      </c>
      <c r="B31">
        <v>2025</v>
      </c>
      <c r="C31">
        <v>3</v>
      </c>
      <c r="D31" s="4">
        <v>600872</v>
      </c>
      <c r="E31" s="4">
        <v>592301</v>
      </c>
      <c r="F31" s="5">
        <v>0.7926263829900545</v>
      </c>
      <c r="G31" s="5">
        <v>0.19310934774793967</v>
      </c>
      <c r="H31" s="5">
        <v>1.1521588624532347E-2</v>
      </c>
      <c r="I31" s="5">
        <v>2.7426806374735383E-3</v>
      </c>
      <c r="J31" s="6">
        <v>5.4515423745696863</v>
      </c>
      <c r="K31" s="4">
        <f t="shared" si="0"/>
        <v>469473.39927139226</v>
      </c>
      <c r="L31" s="4">
        <f t="shared" si="1"/>
        <v>114378.85978045242</v>
      </c>
      <c r="M31" s="4">
        <f t="shared" si="2"/>
        <v>6923</v>
      </c>
      <c r="N31" s="8">
        <f t="shared" si="3"/>
        <v>1648</v>
      </c>
    </row>
    <row r="32" spans="1:14">
      <c r="A32" s="7" t="s">
        <v>5009</v>
      </c>
      <c r="B32">
        <v>2025</v>
      </c>
      <c r="C32">
        <v>4</v>
      </c>
      <c r="D32" s="4">
        <v>583950</v>
      </c>
      <c r="E32" s="4">
        <v>577730</v>
      </c>
      <c r="F32" s="5">
        <v>0.79480434968747327</v>
      </c>
      <c r="G32" s="5">
        <v>0.19454405342923195</v>
      </c>
      <c r="H32" s="5">
        <v>8.4151040328795269E-3</v>
      </c>
      <c r="I32" s="5">
        <v>2.2364928504152752E-3</v>
      </c>
      <c r="J32" s="6">
        <v>5.6642722378965953</v>
      </c>
      <c r="K32" s="4">
        <f t="shared" si="0"/>
        <v>459182.31694494392</v>
      </c>
      <c r="L32" s="4">
        <f t="shared" si="1"/>
        <v>112393.93598767018</v>
      </c>
      <c r="M32" s="4">
        <f t="shared" si="2"/>
        <v>4914</v>
      </c>
      <c r="N32" s="8">
        <f t="shared" si="3"/>
        <v>1306</v>
      </c>
    </row>
    <row r="33" spans="1:14">
      <c r="A33" s="7" t="s">
        <v>5010</v>
      </c>
      <c r="B33">
        <v>2025</v>
      </c>
      <c r="C33">
        <v>5</v>
      </c>
      <c r="D33" s="4">
        <v>605648</v>
      </c>
      <c r="E33" s="4">
        <v>597574</v>
      </c>
      <c r="F33" s="5">
        <v>0.75379758539613773</v>
      </c>
      <c r="G33" s="5">
        <v>0.23287123873933374</v>
      </c>
      <c r="H33" s="5">
        <v>1.0474731196998916E-2</v>
      </c>
      <c r="I33" s="5">
        <v>2.856444667529654E-3</v>
      </c>
      <c r="J33" s="6">
        <v>10.188485442807083</v>
      </c>
      <c r="K33" s="4">
        <f t="shared" si="0"/>
        <v>450449.83829551161</v>
      </c>
      <c r="L33" s="4">
        <f t="shared" si="1"/>
        <v>139157.79761841861</v>
      </c>
      <c r="M33" s="4">
        <f t="shared" si="2"/>
        <v>6344</v>
      </c>
      <c r="N33" s="8">
        <f t="shared" si="3"/>
        <v>1730</v>
      </c>
    </row>
    <row r="34" spans="1:14">
      <c r="A34" s="7" t="s">
        <v>5011</v>
      </c>
      <c r="B34">
        <v>2025</v>
      </c>
      <c r="C34">
        <v>6</v>
      </c>
      <c r="D34" s="4">
        <v>611575</v>
      </c>
      <c r="E34" s="4">
        <v>599472</v>
      </c>
      <c r="F34" s="5">
        <v>0.70321219801332624</v>
      </c>
      <c r="G34" s="5">
        <v>0.27699791521890199</v>
      </c>
      <c r="H34" s="5">
        <v>1.5919551976454237E-2</v>
      </c>
      <c r="I34" s="5">
        <v>3.8703347913174998E-3</v>
      </c>
      <c r="J34" s="6">
        <v>15.59239297248245</v>
      </c>
      <c r="K34" s="4">
        <f t="shared" si="0"/>
        <v>421556.02276744472</v>
      </c>
      <c r="L34" s="4">
        <f t="shared" si="1"/>
        <v>166052.49423210562</v>
      </c>
      <c r="M34" s="4">
        <f t="shared" si="2"/>
        <v>9736</v>
      </c>
      <c r="N34" s="8">
        <f t="shared" si="3"/>
        <v>2367</v>
      </c>
    </row>
    <row r="35" spans="1:14">
      <c r="A35" s="7" t="s">
        <v>5012</v>
      </c>
      <c r="B35">
        <v>2025</v>
      </c>
      <c r="C35">
        <v>7</v>
      </c>
      <c r="D35" s="4">
        <v>631428</v>
      </c>
      <c r="E35" s="4">
        <v>612811</v>
      </c>
      <c r="F35" s="5">
        <v>0.69018003636202385</v>
      </c>
      <c r="G35" s="5">
        <v>0.28033600030407269</v>
      </c>
      <c r="H35" s="5">
        <v>2.4504773307487158E-2</v>
      </c>
      <c r="I35" s="5">
        <v>4.9791900264163132E-3</v>
      </c>
      <c r="J35" s="6">
        <v>17.3460691795676</v>
      </c>
      <c r="K35" s="4">
        <f t="shared" si="0"/>
        <v>422949.91826304822</v>
      </c>
      <c r="L35" s="4">
        <f t="shared" si="1"/>
        <v>171792.9846823391</v>
      </c>
      <c r="M35" s="4">
        <f t="shared" si="2"/>
        <v>15473.000000000002</v>
      </c>
      <c r="N35" s="8">
        <f t="shared" si="3"/>
        <v>3144</v>
      </c>
    </row>
    <row r="36" spans="1:14">
      <c r="A36" s="7" t="s">
        <v>5013</v>
      </c>
      <c r="B36">
        <v>2025</v>
      </c>
      <c r="C36">
        <v>8</v>
      </c>
      <c r="D36" s="4">
        <v>602378</v>
      </c>
      <c r="E36" s="4">
        <v>593733</v>
      </c>
      <c r="F36" s="5">
        <v>0.76332967007427233</v>
      </c>
      <c r="G36" s="5">
        <v>0.22231887618737736</v>
      </c>
      <c r="H36" s="5">
        <v>1.0762345238371919E-2</v>
      </c>
      <c r="I36" s="5">
        <v>3.5891084999784191E-3</v>
      </c>
      <c r="J36" s="6">
        <v>9.242209882219786</v>
      </c>
      <c r="K36" s="4">
        <f t="shared" si="0"/>
        <v>453214.01500220795</v>
      </c>
      <c r="L36" s="4">
        <f t="shared" si="1"/>
        <v>131998.05331536013</v>
      </c>
      <c r="M36" s="4">
        <f t="shared" si="2"/>
        <v>6483</v>
      </c>
      <c r="N36" s="8">
        <f t="shared" si="3"/>
        <v>2162</v>
      </c>
    </row>
    <row r="37" spans="1:14">
      <c r="A37" s="7" t="s">
        <v>5014</v>
      </c>
      <c r="B37">
        <v>2025</v>
      </c>
      <c r="C37">
        <v>9</v>
      </c>
      <c r="D37" s="4">
        <v>562439</v>
      </c>
      <c r="E37" s="4">
        <v>558329</v>
      </c>
      <c r="F37" s="5">
        <v>0.82759196997363271</v>
      </c>
      <c r="G37" s="5">
        <v>0.16510057090635608</v>
      </c>
      <c r="H37" s="5">
        <v>5.1312231193071604E-3</v>
      </c>
      <c r="I37" s="5">
        <v>2.1762360007040763E-3</v>
      </c>
      <c r="J37" s="6">
        <v>2.3162477969938817</v>
      </c>
      <c r="K37" s="4">
        <f t="shared" si="0"/>
        <v>462068.59700340836</v>
      </c>
      <c r="L37" s="4">
        <f t="shared" si="1"/>
        <v>92180.436653574885</v>
      </c>
      <c r="M37" s="4">
        <f t="shared" si="2"/>
        <v>2886</v>
      </c>
      <c r="N37" s="8">
        <f t="shared" si="3"/>
        <v>1224</v>
      </c>
    </row>
    <row r="38" spans="1:14">
      <c r="A38" s="7" t="s">
        <v>5015</v>
      </c>
      <c r="B38">
        <v>2025</v>
      </c>
      <c r="C38">
        <v>10</v>
      </c>
      <c r="D38" s="4">
        <v>605844</v>
      </c>
      <c r="E38" s="4">
        <v>601570</v>
      </c>
      <c r="F38" s="5">
        <v>0.79115911026600905</v>
      </c>
      <c r="G38" s="5">
        <v>0.20178626841233058</v>
      </c>
      <c r="H38" s="5">
        <v>5.2884901063640147E-3</v>
      </c>
      <c r="I38" s="5">
        <v>1.7661312152963469E-3</v>
      </c>
      <c r="J38" s="6">
        <v>5.5855461542297657</v>
      </c>
      <c r="K38" s="4">
        <f t="shared" si="0"/>
        <v>475937.58596272307</v>
      </c>
      <c r="L38" s="4">
        <f t="shared" si="1"/>
        <v>121388.5654888057</v>
      </c>
      <c r="M38" s="4">
        <f t="shared" si="2"/>
        <v>3204</v>
      </c>
      <c r="N38" s="8">
        <f t="shared" si="3"/>
        <v>1070</v>
      </c>
    </row>
    <row r="39" spans="1:14">
      <c r="A39" s="7" t="s">
        <v>5016</v>
      </c>
      <c r="B39">
        <v>2025</v>
      </c>
      <c r="C39">
        <v>11</v>
      </c>
      <c r="D39" s="4">
        <v>570550</v>
      </c>
      <c r="E39" s="4">
        <v>555296</v>
      </c>
      <c r="F39" s="5">
        <v>0.77315923231969153</v>
      </c>
      <c r="G39" s="5">
        <v>0.20010516168609235</v>
      </c>
      <c r="H39" s="5">
        <v>2.4879502234685831E-2</v>
      </c>
      <c r="I39" s="5">
        <v>1.8561037595302779E-3</v>
      </c>
      <c r="J39" s="6">
        <v>6.3728407912176568</v>
      </c>
      <c r="K39" s="4">
        <f t="shared" si="0"/>
        <v>429332.2290701954</v>
      </c>
      <c r="L39" s="4">
        <f t="shared" si="1"/>
        <v>111117.59586364034</v>
      </c>
      <c r="M39" s="4">
        <f t="shared" si="2"/>
        <v>14195</v>
      </c>
      <c r="N39" s="8">
        <f t="shared" si="3"/>
        <v>1059</v>
      </c>
    </row>
    <row r="40" spans="1:14">
      <c r="A40" s="9" t="s">
        <v>5017</v>
      </c>
      <c r="B40" s="10">
        <v>2025</v>
      </c>
      <c r="C40" s="10">
        <v>12</v>
      </c>
      <c r="D40" s="11">
        <v>582304</v>
      </c>
      <c r="E40" s="11">
        <v>571924</v>
      </c>
      <c r="F40" s="12">
        <v>0.71923084849150964</v>
      </c>
      <c r="G40" s="12">
        <v>0.26294341100181351</v>
      </c>
      <c r="H40" s="12">
        <v>1.5457561685992197E-2</v>
      </c>
      <c r="I40" s="12">
        <v>2.3681788206847284E-3</v>
      </c>
      <c r="J40" s="13">
        <v>13.041888432728824</v>
      </c>
      <c r="K40" s="11">
        <f t="shared" si="0"/>
        <v>411345.38379265816</v>
      </c>
      <c r="L40" s="11">
        <f t="shared" si="1"/>
        <v>150383.64739380119</v>
      </c>
      <c r="M40" s="11">
        <f t="shared" si="2"/>
        <v>9001</v>
      </c>
      <c r="N40" s="14">
        <f t="shared" si="3"/>
        <v>1379</v>
      </c>
    </row>
  </sheetData>
  <mergeCells count="3">
    <mergeCell ref="A1:V1"/>
    <mergeCell ref="A2:V2"/>
    <mergeCell ref="P9:V10"/>
  </mergeCells>
  <pageMargins left="0.7" right="0.7" top="0.75" bottom="0.75" header="0.3" footer="0.3"/>
  <drawing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2026-07-29T18:13:44Z</dcterms:created>
  <dcterms:modified xsi:type="dcterms:W3CDTF">2026-07-29T18:33:21Z</dcterms:modified>
  <cp:category/>
  <cp:contentStatus/>
</cp:coreProperties>
</file>